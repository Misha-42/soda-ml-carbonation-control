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0" windowWidth="23256" windowHeight="12336" tabRatio="535" firstSheet="1" activeTab="1"/>
  </bookViews>
  <sheets>
    <sheet name="Диаграмма1" sheetId="1" state="hidden" r:id="rId1"/>
    <sheet name="Лист контроля  " sheetId="2" r:id="rId2"/>
    <sheet name="Доп.анализы" sheetId="3" r:id="rId3"/>
    <sheet name="Анализ возд.среды " sheetId="7" r:id="rId4"/>
    <sheet name="Декадные анализы" sheetId="9" r:id="rId5"/>
    <sheet name="Анализы на период ОКР" sheetId="10" r:id="rId6"/>
    <sheet name="ПАК " sheetId="13" r:id="rId7"/>
    <sheet name="Техкарта " sheetId="14" r:id="rId8"/>
    <sheet name="Авт.контроль" sheetId="16" r:id="rId9"/>
    <sheet name="Обозначения и сокращения" sheetId="8" r:id="rId10"/>
    <sheet name="Качеств.показатели" sheetId="15" r:id="rId11"/>
  </sheets>
  <definedNames>
    <definedName name="_GoBack" localSheetId="6">'ПАК '!$E$18</definedName>
    <definedName name="Z_088AEEB3_F71F_4FD6_B49B_55643D920FC6_.wvu.Cols" localSheetId="1" hidden="1">'Лист контроля  '!$CB:$CL</definedName>
    <definedName name="Z_088AEEB3_F71F_4FD6_B49B_55643D920FC6_.wvu.PrintArea" localSheetId="8" hidden="1">Авт.контроль!$A$1:$G$41</definedName>
    <definedName name="Z_088AEEB3_F71F_4FD6_B49B_55643D920FC6_.wvu.PrintArea" localSheetId="5" hidden="1">'Анализы на период ОКР'!$A$1:$J$43</definedName>
    <definedName name="Z_088AEEB3_F71F_4FD6_B49B_55643D920FC6_.wvu.PrintArea" localSheetId="1" hidden="1">'Лист контроля  '!$A$1:$DU$195</definedName>
    <definedName name="Z_088AEEB3_F71F_4FD6_B49B_55643D920FC6_.wvu.PrintArea" localSheetId="9" hidden="1">'Обозначения и сокращения'!$A$1:$H$90</definedName>
    <definedName name="Z_088AEEB3_F71F_4FD6_B49B_55643D920FC6_.wvu.PrintArea" localSheetId="7" hidden="1">'Техкарта '!$A$1:$G$87</definedName>
    <definedName name="Z_088AEEB3_F71F_4FD6_B49B_55643D920FC6_.wvu.Rows" localSheetId="6" hidden="1">'ПАК '!#REF!</definedName>
    <definedName name="Z_29BD9A5E_D50F_4A88_A654_39BA9D666C53_.wvu.Cols" localSheetId="1" hidden="1">'Лист контроля  '!$CB:$CL</definedName>
    <definedName name="Z_29BD9A5E_D50F_4A88_A654_39BA9D666C53_.wvu.PrintArea" localSheetId="8" hidden="1">Авт.контроль!$A$1:$G$41</definedName>
    <definedName name="Z_29BD9A5E_D50F_4A88_A654_39BA9D666C53_.wvu.PrintArea" localSheetId="5" hidden="1">'Анализы на период ОКР'!$A$1:$J$43</definedName>
    <definedName name="Z_29BD9A5E_D50F_4A88_A654_39BA9D666C53_.wvu.PrintArea" localSheetId="1" hidden="1">'Лист контроля  '!$A$1:$DU$195</definedName>
    <definedName name="Z_29BD9A5E_D50F_4A88_A654_39BA9D666C53_.wvu.PrintArea" localSheetId="9" hidden="1">'Обозначения и сокращения'!$A$1:$H$90</definedName>
    <definedName name="Z_29BD9A5E_D50F_4A88_A654_39BA9D666C53_.wvu.PrintArea" localSheetId="7" hidden="1">'Техкарта '!$A$1:$G$87</definedName>
    <definedName name="Z_29BD9A5E_D50F_4A88_A654_39BA9D666C53_.wvu.Rows" localSheetId="6" hidden="1">'ПАК '!#REF!</definedName>
    <definedName name="Z_9AA7F8D2_F967_49D0_A431_45AC7CAADBAA_.wvu.Cols" localSheetId="1" hidden="1">'Лист контроля  '!$CB:$CL</definedName>
    <definedName name="Z_9AA7F8D2_F967_49D0_A431_45AC7CAADBAA_.wvu.PrintArea" localSheetId="8" hidden="1">Авт.контроль!$A$1:$G$41</definedName>
    <definedName name="Z_9AA7F8D2_F967_49D0_A431_45AC7CAADBAA_.wvu.PrintArea" localSheetId="5" hidden="1">'Анализы на период ОКР'!$A$1:$J$43</definedName>
    <definedName name="Z_9AA7F8D2_F967_49D0_A431_45AC7CAADBAA_.wvu.PrintArea" localSheetId="1" hidden="1">'Лист контроля  '!$A$1:$DU$195</definedName>
    <definedName name="Z_9AA7F8D2_F967_49D0_A431_45AC7CAADBAA_.wvu.PrintArea" localSheetId="9" hidden="1">'Обозначения и сокращения'!$A$1:$H$90</definedName>
    <definedName name="Z_9AA7F8D2_F967_49D0_A431_45AC7CAADBAA_.wvu.PrintArea" localSheetId="7" hidden="1">'Техкарта '!$A$1:$G$87</definedName>
    <definedName name="Z_9AA7F8D2_F967_49D0_A431_45AC7CAADBAA_.wvu.Rows" localSheetId="6" hidden="1">'ПАК '!#REF!</definedName>
    <definedName name="Z_B2A463F0_D351_4C59_A7CF_DC4487562EFC_.wvu.Cols" localSheetId="1" hidden="1">'Лист контроля  '!$CB:$CL</definedName>
    <definedName name="Z_B2A463F0_D351_4C59_A7CF_DC4487562EFC_.wvu.PrintArea" localSheetId="8" hidden="1">Авт.контроль!$A$1:$G$41</definedName>
    <definedName name="Z_B2A463F0_D351_4C59_A7CF_DC4487562EFC_.wvu.PrintArea" localSheetId="5" hidden="1">'Анализы на период ОКР'!$A$1:$J$43</definedName>
    <definedName name="Z_B2A463F0_D351_4C59_A7CF_DC4487562EFC_.wvu.PrintArea" localSheetId="1" hidden="1">'Лист контроля  '!$A$1:$DU$195</definedName>
    <definedName name="Z_B2A463F0_D351_4C59_A7CF_DC4487562EFC_.wvu.PrintArea" localSheetId="9" hidden="1">'Обозначения и сокращения'!$A$1:$H$90</definedName>
    <definedName name="Z_B2A463F0_D351_4C59_A7CF_DC4487562EFC_.wvu.PrintArea" localSheetId="7" hidden="1">'Техкарта '!$A$1:$G$87</definedName>
    <definedName name="Z_B2A463F0_D351_4C59_A7CF_DC4487562EFC_.wvu.Rows" localSheetId="6" hidden="1">'ПАК '!#REF!</definedName>
    <definedName name="Z_CFB4A573_2790_4D20_894C_21E3B146481E_.wvu.Cols" localSheetId="1" hidden="1">'Лист контроля  '!$CB:$CL</definedName>
    <definedName name="Z_CFB4A573_2790_4D20_894C_21E3B146481E_.wvu.PrintArea" localSheetId="8" hidden="1">Авт.контроль!$A$1:$G$41</definedName>
    <definedName name="Z_CFB4A573_2790_4D20_894C_21E3B146481E_.wvu.PrintArea" localSheetId="5" hidden="1">'Анализы на период ОКР'!$A$1:$J$43</definedName>
    <definedName name="Z_CFB4A573_2790_4D20_894C_21E3B146481E_.wvu.PrintArea" localSheetId="1" hidden="1">'Лист контроля  '!$A$1:$DU$195</definedName>
    <definedName name="Z_CFB4A573_2790_4D20_894C_21E3B146481E_.wvu.PrintArea" localSheetId="9" hidden="1">'Обозначения и сокращения'!$A$1:$H$90</definedName>
    <definedName name="Z_CFB4A573_2790_4D20_894C_21E3B146481E_.wvu.PrintArea" localSheetId="7" hidden="1">'Техкарта '!$A$1:$G$87</definedName>
    <definedName name="Z_CFB4A573_2790_4D20_894C_21E3B146481E_.wvu.Rows" localSheetId="6" hidden="1">'ПАК '!#REF!</definedName>
    <definedName name="Z_D9EA6DAB_3BBE_4AEB_835D_410DB85E8702_.wvu.Cols" localSheetId="1" hidden="1">'Лист контроля  '!$CB:$CL</definedName>
    <definedName name="Z_D9EA6DAB_3BBE_4AEB_835D_410DB85E8702_.wvu.PrintArea" localSheetId="8" hidden="1">Авт.контроль!$A$1:$G$41</definedName>
    <definedName name="Z_D9EA6DAB_3BBE_4AEB_835D_410DB85E8702_.wvu.PrintArea" localSheetId="5" hidden="1">'Анализы на период ОКР'!$A$1:$J$43</definedName>
    <definedName name="Z_D9EA6DAB_3BBE_4AEB_835D_410DB85E8702_.wvu.PrintArea" localSheetId="1" hidden="1">'Лист контроля  '!$A$1:$DU$195</definedName>
    <definedName name="Z_D9EA6DAB_3BBE_4AEB_835D_410DB85E8702_.wvu.PrintArea" localSheetId="9" hidden="1">'Обозначения и сокращения'!$A$1:$H$90</definedName>
    <definedName name="Z_D9EA6DAB_3BBE_4AEB_835D_410DB85E8702_.wvu.PrintArea" localSheetId="7" hidden="1">'Техкарта '!$A$1:$G$87</definedName>
    <definedName name="Z_D9EA6DAB_3BBE_4AEB_835D_410DB85E8702_.wvu.Rows" localSheetId="6" hidden="1">'ПАК '!#REF!</definedName>
    <definedName name="_xlnm.Print_Area" localSheetId="8">Авт.контроль!$A$1:$G$41</definedName>
    <definedName name="_xlnm.Print_Area" localSheetId="5">'Анализы на период ОКР'!$A$1:$K$46</definedName>
    <definedName name="_xlnm.Print_Area" localSheetId="1">'Лист контроля  '!$A$1:$HL$195</definedName>
    <definedName name="_xlnm.Print_Area" localSheetId="9">'Обозначения и сокращения'!$A$1:$F$90</definedName>
    <definedName name="_xlnm.Print_Area" localSheetId="6">'ПАК '!$A$1:$G$238</definedName>
    <definedName name="_xlnm.Print_Area" localSheetId="7">'Техкарта '!$A$1:$G$99</definedName>
  </definedNames>
  <calcPr calcId="145621"/>
  <customWorkbookViews>
    <customWorkbookView name="Trishina.TV - Личное представление" guid="{9AA7F8D2-F967-49D0-A431-45AC7CAADBAA}" mergeInterval="0" personalView="1" maximized="1" xWindow="1" yWindow="1" windowWidth="1916" windowHeight="850" tabRatio="546" activeSheetId="2"/>
    <customWorkbookView name="Valyaeva.KE - Личное представление" guid="{088AEEB3-F71F-4FD6-B49B-55643D920FC6}" mergeInterval="0" personalView="1" maximized="1" xWindow="1" yWindow="1" windowWidth="1020" windowHeight="547" tabRatio="654" activeSheetId="2"/>
    <customWorkbookView name="Kapralova.OV - Личное представление" guid="{29BD9A5E-D50F-4A88-A654-39BA9D666C53}" mergeInterval="0" personalView="1" maximized="1" xWindow="1" yWindow="1" windowWidth="1916" windowHeight="858" tabRatio="654" activeSheetId="2"/>
    <customWorkbookView name="Safina.RI - Личное представление" guid="{D9EA6DAB-3BBE-4AEB-835D-410DB85E8702}" mergeInterval="0" personalView="1" maximized="1" xWindow="1" yWindow="1" windowWidth="1276" windowHeight="803" tabRatio="654" activeSheetId="2"/>
    <customWorkbookView name="Voronina.LYU - Личное представление" guid="{CFB4A573-2790-4D20-894C-21E3B146481E}" mergeInterval="0" personalView="1" maximized="1" xWindow="1" yWindow="1" windowWidth="1020" windowHeight="547" tabRatio="654" activeSheetId="2"/>
    <customWorkbookView name="Barmenkova.OI - Личное представление" guid="{B2A463F0-D351-4C59-A7CF-DC4487562EFC}" mergeInterval="0" personalView="1" maximized="1" xWindow="1" yWindow="1" windowWidth="1276" windowHeight="803" tabRatio="654" activeSheetId="2"/>
  </customWorkbookViews>
</workbook>
</file>

<file path=xl/calcChain.xml><?xml version="1.0" encoding="utf-8"?>
<calcChain xmlns="http://schemas.openxmlformats.org/spreadsheetml/2006/main">
  <c r="AU46" i="2" l="1"/>
  <c r="BJ21" i="2"/>
  <c r="BF21" i="2"/>
  <c r="BB21" i="2"/>
  <c r="AU40" i="2" l="1"/>
  <c r="BJ9" i="2"/>
  <c r="BF9" i="2"/>
  <c r="BB9" i="2"/>
  <c r="M48" i="2" l="1"/>
  <c r="M44" i="2"/>
  <c r="T17" i="2"/>
  <c r="X17" i="2"/>
  <c r="AB17" i="2"/>
  <c r="AB9" i="2"/>
  <c r="X9" i="2"/>
  <c r="T9" i="2"/>
  <c r="M40" i="2" l="1"/>
  <c r="F190" i="2" l="1"/>
  <c r="E190" i="2"/>
  <c r="D190" i="2"/>
  <c r="DQ190" i="2" l="1"/>
  <c r="AF55" i="2"/>
  <c r="DS190" i="2"/>
  <c r="DE190" i="2"/>
  <c r="DC190" i="2"/>
  <c r="DD190" i="2"/>
  <c r="DB190" i="2"/>
  <c r="CX190" i="2"/>
  <c r="CY190" i="2"/>
  <c r="CZ190" i="2"/>
  <c r="DA190" i="2"/>
  <c r="CW190" i="2"/>
  <c r="CV190" i="2"/>
  <c r="CR190" i="2"/>
  <c r="CU190" i="2"/>
  <c r="DT189" i="2" l="1"/>
  <c r="DS189" i="2"/>
  <c r="DR189" i="2"/>
  <c r="DQ189" i="2"/>
  <c r="DP189" i="2"/>
  <c r="DO189" i="2"/>
  <c r="DN189" i="2"/>
  <c r="DM189" i="2"/>
  <c r="DL189" i="2"/>
  <c r="DK189" i="2"/>
  <c r="DJ189" i="2"/>
  <c r="DI189" i="2"/>
  <c r="DH189" i="2"/>
  <c r="DG189" i="2"/>
  <c r="DF189" i="2"/>
  <c r="DE189" i="2"/>
  <c r="DD189" i="2"/>
  <c r="DC189" i="2"/>
  <c r="DB189" i="2"/>
  <c r="DA189" i="2"/>
  <c r="CZ189" i="2"/>
  <c r="CY189" i="2"/>
  <c r="CX189" i="2"/>
  <c r="CW189" i="2"/>
  <c r="CV189" i="2"/>
  <c r="CU189" i="2"/>
  <c r="CT189" i="2"/>
  <c r="CS189" i="2"/>
  <c r="CR189" i="2"/>
  <c r="CQ189" i="2"/>
  <c r="CP189" i="2"/>
  <c r="CO189" i="2"/>
  <c r="CN189" i="2"/>
  <c r="BY189" i="2"/>
  <c r="BX189" i="2"/>
  <c r="BW189" i="2"/>
  <c r="BV189" i="2"/>
  <c r="BU189" i="2"/>
  <c r="BT189" i="2"/>
  <c r="BS189" i="2"/>
  <c r="BR189" i="2"/>
  <c r="BQ189" i="2"/>
  <c r="BP189" i="2"/>
  <c r="BO189" i="2"/>
  <c r="BN189" i="2"/>
  <c r="BM189" i="2"/>
  <c r="BL189" i="2"/>
  <c r="BK189" i="2"/>
  <c r="BJ189" i="2"/>
  <c r="BI189" i="2"/>
  <c r="BH189" i="2"/>
  <c r="BG189" i="2"/>
  <c r="BF189" i="2"/>
  <c r="BE189" i="2"/>
  <c r="BD189" i="2"/>
  <c r="BB189" i="2"/>
  <c r="BA189" i="2"/>
  <c r="AZ189" i="2"/>
  <c r="AX189" i="2"/>
  <c r="AV189" i="2"/>
  <c r="AU189" i="2"/>
  <c r="AT189" i="2"/>
  <c r="AR189" i="2"/>
  <c r="AP189" i="2"/>
  <c r="AO189" i="2"/>
  <c r="AN189" i="2"/>
  <c r="AL189" i="2"/>
  <c r="AJ189" i="2"/>
  <c r="AI189" i="2"/>
  <c r="AH189" i="2"/>
  <c r="AG189" i="2"/>
  <c r="AE189" i="2"/>
  <c r="AD189" i="2"/>
  <c r="AC189" i="2"/>
  <c r="AB189" i="2"/>
  <c r="Z189" i="2"/>
  <c r="Y189" i="2"/>
  <c r="X189" i="2"/>
  <c r="W189" i="2"/>
  <c r="U189" i="2"/>
  <c r="T189" i="2"/>
  <c r="S189" i="2"/>
  <c r="R189" i="2"/>
  <c r="Q189" i="2"/>
  <c r="P189" i="2"/>
  <c r="O189" i="2"/>
  <c r="N189" i="2"/>
  <c r="M189" i="2"/>
  <c r="L189" i="2"/>
  <c r="K189" i="2"/>
  <c r="J189" i="2"/>
  <c r="I189" i="2"/>
  <c r="H189" i="2"/>
  <c r="G189" i="2"/>
  <c r="F189" i="2"/>
  <c r="E189" i="2"/>
  <c r="D189" i="2"/>
  <c r="C189" i="2"/>
  <c r="B189" i="2"/>
  <c r="CG5" i="15" l="1"/>
  <c r="CG4" i="15"/>
  <c r="AM4" i="15" l="1"/>
  <c r="AA5" i="15"/>
  <c r="AA4" i="15"/>
  <c r="AV42" i="2" l="1"/>
  <c r="AV41" i="2"/>
  <c r="AV40" i="2"/>
  <c r="P200" i="2" l="1"/>
  <c r="P201" i="2"/>
  <c r="AV4" i="2" l="1"/>
  <c r="BE72" i="2" l="1"/>
  <c r="AO5" i="15" l="1"/>
  <c r="AO4" i="15"/>
  <c r="AP5" i="15"/>
  <c r="AP4" i="15"/>
  <c r="AN5" i="15"/>
  <c r="AN4" i="15"/>
  <c r="AW139" i="2"/>
  <c r="N151" i="2"/>
  <c r="N150" i="2"/>
  <c r="BE139" i="2"/>
  <c r="DA21" i="2"/>
  <c r="CY21" i="2"/>
  <c r="Y35" i="2" l="1"/>
  <c r="J59" i="2" l="1"/>
  <c r="G35" i="2"/>
  <c r="E5" i="15"/>
  <c r="D5" i="15"/>
  <c r="E4" i="15"/>
  <c r="D4" i="15"/>
  <c r="J35" i="2"/>
  <c r="DA10" i="2"/>
  <c r="CY10" i="2"/>
  <c r="DA11" i="2"/>
  <c r="CY11" i="2"/>
  <c r="DA8" i="2"/>
  <c r="CY8" i="2"/>
  <c r="AN35" i="2"/>
  <c r="AM35" i="2"/>
  <c r="F35" i="2"/>
  <c r="E35" i="2"/>
  <c r="AK35" i="2"/>
  <c r="C35" i="2"/>
  <c r="O5" i="15" l="1"/>
  <c r="O4" i="15"/>
  <c r="N5" i="15" l="1"/>
  <c r="M5" i="15"/>
  <c r="K5" i="15"/>
  <c r="J5" i="15"/>
  <c r="K4" i="15"/>
  <c r="J4" i="15"/>
  <c r="N4" i="15"/>
  <c r="M4" i="15"/>
  <c r="CW79" i="2" l="1"/>
  <c r="CW78" i="2"/>
  <c r="CU79" i="2"/>
  <c r="CU78" i="2"/>
  <c r="CT79" i="2"/>
  <c r="CT78" i="2"/>
  <c r="CS79" i="2"/>
  <c r="CS78" i="2"/>
  <c r="CR79" i="2"/>
  <c r="CR78" i="2"/>
  <c r="CN79" i="2"/>
  <c r="CN78" i="2"/>
  <c r="CO79" i="2"/>
  <c r="CO78" i="2"/>
  <c r="CP79" i="2"/>
  <c r="CP78" i="2"/>
  <c r="CQ79" i="2"/>
  <c r="CQ78" i="2"/>
  <c r="CV78" i="2" l="1"/>
  <c r="CV79" i="2"/>
  <c r="BD157" i="2" l="1"/>
  <c r="BD156" i="2"/>
  <c r="BH139" i="2"/>
  <c r="AJ59" i="2"/>
  <c r="AT59" i="2"/>
  <c r="AS59" i="2"/>
  <c r="AR59" i="2"/>
  <c r="AQ59" i="2"/>
  <c r="AP59" i="2"/>
  <c r="AO59" i="2"/>
  <c r="AN59" i="2"/>
  <c r="AM59" i="2"/>
  <c r="AL59" i="2"/>
  <c r="AK59" i="2"/>
  <c r="C59" i="2"/>
  <c r="D59" i="2"/>
  <c r="E59" i="2"/>
  <c r="F59" i="2"/>
  <c r="G59" i="2"/>
  <c r="H59" i="2"/>
  <c r="I59" i="2"/>
  <c r="K59" i="2"/>
  <c r="L59" i="2"/>
  <c r="B59" i="2"/>
  <c r="BC156" i="2" l="1"/>
  <c r="BC157" i="2"/>
  <c r="Q4" i="15" l="1"/>
  <c r="R4" i="15"/>
  <c r="W4" i="15"/>
  <c r="X4" i="15"/>
  <c r="Z4" i="15"/>
  <c r="AB4" i="15"/>
  <c r="AC4" i="15"/>
  <c r="AD4" i="15"/>
  <c r="AF4" i="15"/>
  <c r="AG4" i="15"/>
  <c r="AH4" i="15"/>
  <c r="AI4" i="15"/>
  <c r="AJ4" i="15"/>
  <c r="AL4" i="15"/>
  <c r="AR4" i="15"/>
  <c r="AS4" i="15"/>
  <c r="AU4" i="15"/>
  <c r="AV4" i="15"/>
  <c r="AX4" i="15"/>
  <c r="AY4" i="15"/>
  <c r="BA4" i="15"/>
  <c r="BB4" i="15"/>
  <c r="BH4" i="15"/>
  <c r="BI4" i="15"/>
  <c r="BL4" i="15"/>
  <c r="BO4" i="15"/>
  <c r="BQ4" i="15"/>
  <c r="BR4" i="15"/>
  <c r="BU4" i="15"/>
  <c r="BX4" i="15"/>
  <c r="CB4" i="15"/>
  <c r="CC4" i="15"/>
  <c r="CD4" i="15"/>
  <c r="CJ4" i="15"/>
  <c r="CO4" i="15"/>
  <c r="CP4" i="15"/>
  <c r="CQ4" i="15"/>
  <c r="CR4" i="15"/>
  <c r="CS4" i="15"/>
  <c r="CU4" i="15"/>
  <c r="CV4" i="15"/>
  <c r="CX4" i="15"/>
  <c r="CY4" i="15"/>
  <c r="DA4" i="15"/>
  <c r="DB4" i="15"/>
  <c r="G5" i="15"/>
  <c r="H5" i="15"/>
  <c r="Q5" i="15"/>
  <c r="R5" i="15"/>
  <c r="T5" i="15"/>
  <c r="U5" i="15"/>
  <c r="W5" i="15"/>
  <c r="X5" i="15"/>
  <c r="Z5" i="15"/>
  <c r="AB5" i="15"/>
  <c r="AC5" i="15"/>
  <c r="AD5" i="15"/>
  <c r="AF5" i="15"/>
  <c r="AG5" i="15"/>
  <c r="AH5" i="15"/>
  <c r="AI5" i="15"/>
  <c r="AJ5" i="15"/>
  <c r="AL5" i="15"/>
  <c r="AM5" i="15"/>
  <c r="AR5" i="15"/>
  <c r="AS5" i="15"/>
  <c r="AU5" i="15"/>
  <c r="AV5" i="15"/>
  <c r="AX5" i="15"/>
  <c r="AY5" i="15"/>
  <c r="BA5" i="15"/>
  <c r="BB5" i="15"/>
  <c r="BH5" i="15"/>
  <c r="BI5" i="15"/>
  <c r="BL5" i="15"/>
  <c r="BO5" i="15"/>
  <c r="BQ5" i="15"/>
  <c r="BR5" i="15"/>
  <c r="BU5" i="15"/>
  <c r="BX5" i="15"/>
  <c r="CB5" i="15"/>
  <c r="CC5" i="15"/>
  <c r="CD5" i="15"/>
  <c r="CJ5" i="15"/>
  <c r="CO5" i="15"/>
  <c r="CP5" i="15"/>
  <c r="CQ5" i="15"/>
  <c r="CR5" i="15"/>
  <c r="CS5" i="15"/>
  <c r="CU5" i="15"/>
  <c r="CV5" i="15"/>
  <c r="CX5" i="15"/>
  <c r="CY5" i="15"/>
  <c r="DA5" i="15"/>
  <c r="DB5" i="15"/>
  <c r="C5" i="15" l="1"/>
  <c r="C4" i="15"/>
  <c r="L5" i="15" l="1"/>
  <c r="I5" i="15"/>
  <c r="L4" i="15"/>
  <c r="I4" i="15"/>
  <c r="T4" i="7"/>
  <c r="S4" i="7"/>
  <c r="R4" i="7"/>
  <c r="O4" i="7"/>
  <c r="P4" i="7"/>
  <c r="Q4" i="7"/>
  <c r="AY139" i="2"/>
  <c r="AX139" i="2"/>
  <c r="AV139" i="2"/>
  <c r="U233" i="2" l="1"/>
  <c r="N231" i="2" l="1"/>
  <c r="N232" i="2" s="1"/>
  <c r="M231" i="2"/>
  <c r="M232" i="2" s="1"/>
  <c r="K231" i="2"/>
  <c r="K232" i="2" s="1"/>
  <c r="L231" i="2"/>
  <c r="L232" i="2" s="1"/>
  <c r="J231" i="2"/>
  <c r="J232" i="2" s="1"/>
  <c r="I231" i="2"/>
  <c r="I232" i="2" s="1"/>
  <c r="H231" i="2"/>
  <c r="H232" i="2" s="1"/>
  <c r="G231" i="2"/>
  <c r="G232" i="2" s="1"/>
  <c r="F231" i="2"/>
  <c r="F232" i="2" s="1"/>
  <c r="E231" i="2"/>
  <c r="E232" i="2" s="1"/>
  <c r="C231" i="2"/>
  <c r="C232" i="2" s="1"/>
  <c r="D231" i="2"/>
  <c r="D232" i="2" s="1"/>
  <c r="B231" i="2"/>
  <c r="B232" i="2" s="1"/>
  <c r="I224" i="2"/>
  <c r="I225" i="2" s="1"/>
  <c r="H224" i="2"/>
  <c r="H225" i="2" s="1"/>
  <c r="G224" i="2"/>
  <c r="G225" i="2" s="1"/>
  <c r="F224" i="2"/>
  <c r="F225" i="2" s="1"/>
  <c r="E224" i="2"/>
  <c r="E225" i="2" s="1"/>
  <c r="D224" i="2"/>
  <c r="D225" i="2" s="1"/>
  <c r="C224" i="2"/>
  <c r="C225" i="2" s="1"/>
  <c r="B224" i="2"/>
  <c r="B225" i="2" s="1"/>
  <c r="O231" i="2" l="1"/>
  <c r="O232" i="2"/>
  <c r="J225" i="2"/>
  <c r="J224" i="2"/>
  <c r="C200" i="2"/>
  <c r="BQ157" i="2"/>
  <c r="BR157" i="2"/>
  <c r="BS157" i="2"/>
  <c r="BT157" i="2"/>
  <c r="BU157" i="2"/>
  <c r="BV157" i="2"/>
  <c r="BW157" i="2"/>
  <c r="BX157" i="2"/>
  <c r="BP157" i="2"/>
  <c r="P232" i="2" l="1"/>
  <c r="R232" i="2" s="1"/>
  <c r="P231" i="2"/>
  <c r="G215" i="2"/>
  <c r="H215" i="2"/>
  <c r="F215" i="2"/>
  <c r="C215" i="2"/>
  <c r="D215" i="2"/>
  <c r="B215" i="2"/>
  <c r="A215" i="2"/>
  <c r="Y215" i="2"/>
  <c r="V215" i="2"/>
  <c r="W215" i="2"/>
  <c r="U215" i="2"/>
  <c r="T215" i="2"/>
  <c r="Q215" i="2"/>
  <c r="R215" i="2"/>
  <c r="P215" i="2"/>
  <c r="O215" i="2"/>
  <c r="L215" i="2"/>
  <c r="M215" i="2"/>
  <c r="K215" i="2"/>
  <c r="AG215" i="2"/>
  <c r="AD215" i="2"/>
  <c r="AC215" i="2"/>
  <c r="AA215" i="2"/>
  <c r="AT215" i="2"/>
  <c r="AU215" i="2"/>
  <c r="AW215" i="2"/>
  <c r="AS215" i="2"/>
  <c r="AO215" i="2"/>
  <c r="AP215" i="2"/>
  <c r="AR215" i="2"/>
  <c r="AN215" i="2"/>
  <c r="AJ215" i="2"/>
  <c r="AK215" i="2"/>
  <c r="AM215" i="2"/>
  <c r="AI215" i="2"/>
  <c r="AH215" i="2"/>
  <c r="Z220" i="2"/>
  <c r="Y220" i="2"/>
  <c r="X220" i="2"/>
  <c r="W220" i="2"/>
  <c r="Q220" i="2"/>
  <c r="P220" i="2"/>
  <c r="O220" i="2"/>
  <c r="N220" i="2"/>
  <c r="M220" i="2"/>
  <c r="L220" i="2"/>
  <c r="J220" i="2"/>
  <c r="K220" i="2"/>
  <c r="I220" i="2"/>
  <c r="B220" i="2"/>
  <c r="C220" i="2"/>
  <c r="D220" i="2"/>
  <c r="A220" i="2"/>
  <c r="AK220" i="2"/>
  <c r="AL220" i="2"/>
  <c r="AM220" i="2"/>
  <c r="AN220" i="2"/>
  <c r="AO220" i="2"/>
  <c r="AP220" i="2"/>
  <c r="AQ220" i="2"/>
  <c r="AR220" i="2"/>
  <c r="AJ220" i="2"/>
  <c r="Z219" i="2"/>
  <c r="Y219" i="2"/>
  <c r="X219" i="2"/>
  <c r="W219" i="2"/>
  <c r="Q219" i="2"/>
  <c r="P219" i="2"/>
  <c r="O219" i="2"/>
  <c r="N219" i="2"/>
  <c r="M219" i="2"/>
  <c r="L219" i="2"/>
  <c r="J219" i="2"/>
  <c r="K219" i="2"/>
  <c r="I219" i="2"/>
  <c r="AT214" i="2"/>
  <c r="AU214" i="2"/>
  <c r="AW214" i="2"/>
  <c r="AS214" i="2"/>
  <c r="AO214" i="2"/>
  <c r="AP214" i="2"/>
  <c r="AR214" i="2"/>
  <c r="AN214" i="2"/>
  <c r="AM214" i="2"/>
  <c r="AJ214" i="2"/>
  <c r="AK214" i="2"/>
  <c r="AI214" i="2"/>
  <c r="AH214" i="2"/>
  <c r="AG214" i="2"/>
  <c r="AD214" i="2"/>
  <c r="AC214" i="2"/>
  <c r="AA214" i="2"/>
  <c r="Y214" i="2"/>
  <c r="V214" i="2"/>
  <c r="W214" i="2"/>
  <c r="U214" i="2"/>
  <c r="T214" i="2"/>
  <c r="Q214" i="2"/>
  <c r="R214" i="2"/>
  <c r="P214" i="2"/>
  <c r="O214" i="2"/>
  <c r="L214" i="2"/>
  <c r="M214" i="2"/>
  <c r="K214" i="2"/>
  <c r="A214" i="2"/>
  <c r="AK167" i="2"/>
  <c r="H10" i="9"/>
  <c r="F10" i="9"/>
  <c r="D10" i="9"/>
  <c r="B25" i="10"/>
  <c r="K40" i="10" l="1"/>
  <c r="K17" i="10"/>
  <c r="U35" i="2"/>
  <c r="BG4" i="15" s="1"/>
  <c r="L33" i="2" l="1"/>
  <c r="E214" i="2" s="1"/>
  <c r="BG35" i="2"/>
  <c r="W200" i="2" l="1"/>
  <c r="BC201" i="2"/>
  <c r="BA201" i="2"/>
  <c r="AX201" i="2"/>
  <c r="AU201" i="2"/>
  <c r="AR201" i="2"/>
  <c r="AO201" i="2"/>
  <c r="AL201" i="2"/>
  <c r="AI201" i="2"/>
  <c r="AD201" i="2"/>
  <c r="AA201" i="2"/>
  <c r="Z201" i="2"/>
  <c r="Y201" i="2"/>
  <c r="W201" i="2"/>
  <c r="T201" i="2"/>
  <c r="M201" i="2"/>
  <c r="J201" i="2"/>
  <c r="G201" i="2"/>
  <c r="F201" i="2"/>
  <c r="I201" i="2" s="1"/>
  <c r="D201" i="2"/>
  <c r="C201" i="2"/>
  <c r="B201" i="2"/>
  <c r="BC200" i="2"/>
  <c r="BA200" i="2"/>
  <c r="AX200" i="2"/>
  <c r="AU200" i="2"/>
  <c r="AR200" i="2"/>
  <c r="AO200" i="2"/>
  <c r="AL200" i="2"/>
  <c r="AI200" i="2"/>
  <c r="AA200" i="2"/>
  <c r="Z200" i="2"/>
  <c r="Y200" i="2"/>
  <c r="T200" i="2"/>
  <c r="M200" i="2"/>
  <c r="J200" i="2"/>
  <c r="G200" i="2"/>
  <c r="F200" i="2"/>
  <c r="I200" i="2" s="1"/>
  <c r="D200" i="2"/>
  <c r="B200" i="2"/>
  <c r="AZ129" i="2" l="1"/>
  <c r="AY129" i="2"/>
  <c r="AQ201" i="2" s="1"/>
  <c r="AX129" i="2"/>
  <c r="AN201" i="2" s="1"/>
  <c r="AW129" i="2"/>
  <c r="AK201" i="2" s="1"/>
  <c r="AV129" i="2"/>
  <c r="AZ201" i="2" s="1"/>
  <c r="AU129" i="2"/>
  <c r="AW201" i="2" s="1"/>
  <c r="AT129" i="2"/>
  <c r="AT201" i="2" s="1"/>
  <c r="AS129" i="2"/>
  <c r="DA109" i="2" s="1"/>
  <c r="R129" i="2"/>
  <c r="Q129" i="2"/>
  <c r="AQ200" i="2" s="1"/>
  <c r="P129" i="2"/>
  <c r="AN200" i="2" s="1"/>
  <c r="O129" i="2"/>
  <c r="AK200" i="2" s="1"/>
  <c r="N129" i="2"/>
  <c r="AZ200" i="2" s="1"/>
  <c r="M129" i="2"/>
  <c r="AW200" i="2" s="1"/>
  <c r="L129" i="2"/>
  <c r="AT200" i="2" s="1"/>
  <c r="K129" i="2"/>
  <c r="AS128" i="2"/>
  <c r="DA108" i="2" s="1"/>
  <c r="K128" i="2"/>
  <c r="AS127" i="2"/>
  <c r="DA107" i="2" s="1"/>
  <c r="K127" i="2"/>
  <c r="AS126" i="2"/>
  <c r="DA106" i="2" s="1"/>
  <c r="K126" i="2"/>
  <c r="AQ121" i="2"/>
  <c r="AP121" i="2"/>
  <c r="AO121" i="2"/>
  <c r="AN121" i="2"/>
  <c r="AM121" i="2"/>
  <c r="AL121" i="2"/>
  <c r="I121" i="2"/>
  <c r="H121" i="2"/>
  <c r="G121" i="2"/>
  <c r="F121" i="2"/>
  <c r="E121" i="2"/>
  <c r="D121" i="2"/>
  <c r="BO120" i="2"/>
  <c r="E220" i="2" s="1"/>
  <c r="BA120" i="2"/>
  <c r="AG120" i="2"/>
  <c r="E219" i="2" s="1"/>
  <c r="S120" i="2"/>
  <c r="BB119" i="2"/>
  <c r="BA119" i="2"/>
  <c r="T119" i="2"/>
  <c r="S119" i="2"/>
  <c r="BB118" i="2"/>
  <c r="BA118" i="2"/>
  <c r="T118" i="2"/>
  <c r="S118" i="2"/>
  <c r="BA117" i="2"/>
  <c r="Q201" i="2" s="1"/>
  <c r="S117" i="2"/>
  <c r="Q200" i="2" s="1"/>
  <c r="BB116" i="2"/>
  <c r="O201" i="2" s="1"/>
  <c r="BA116" i="2"/>
  <c r="N201" i="2" s="1"/>
  <c r="T116" i="2"/>
  <c r="O200" i="2" s="1"/>
  <c r="S116" i="2"/>
  <c r="N200" i="2" s="1"/>
  <c r="BB115" i="2"/>
  <c r="S201" i="2" s="1"/>
  <c r="BA115" i="2"/>
  <c r="R201" i="2" s="1"/>
  <c r="T115" i="2"/>
  <c r="S200" i="2" s="1"/>
  <c r="S115" i="2"/>
  <c r="R200" i="2" s="1"/>
  <c r="BO114" i="2"/>
  <c r="L201" i="2" s="1"/>
  <c r="BB114" i="2"/>
  <c r="BA114" i="2"/>
  <c r="AG114" i="2"/>
  <c r="L200" i="2" s="1"/>
  <c r="T114" i="2"/>
  <c r="S114" i="2"/>
  <c r="DA113" i="2"/>
  <c r="BO113" i="2"/>
  <c r="K201" i="2" s="1"/>
  <c r="BB113" i="2"/>
  <c r="BA113" i="2"/>
  <c r="DA114" i="2" s="1"/>
  <c r="AG113" i="2"/>
  <c r="K200" i="2" s="1"/>
  <c r="T113" i="2"/>
  <c r="S113" i="2"/>
  <c r="DA112" i="2"/>
  <c r="BO112" i="2"/>
  <c r="BB112" i="2"/>
  <c r="AC201" i="2" s="1"/>
  <c r="BA112" i="2"/>
  <c r="AB201" i="2" s="1"/>
  <c r="AG112" i="2"/>
  <c r="T112" i="2"/>
  <c r="S112" i="2"/>
  <c r="DA111" i="2"/>
  <c r="BO111" i="2"/>
  <c r="BB111" i="2"/>
  <c r="V201" i="2" s="1"/>
  <c r="BA111" i="2"/>
  <c r="U201" i="2" s="1"/>
  <c r="AG111" i="2"/>
  <c r="T111" i="2"/>
  <c r="V200" i="2" s="1"/>
  <c r="S111" i="2"/>
  <c r="U200" i="2" s="1"/>
  <c r="DA110" i="2"/>
  <c r="AM107" i="2"/>
  <c r="BD201" i="2" s="1"/>
  <c r="AL107" i="2"/>
  <c r="H201" i="2" s="1"/>
  <c r="AK107" i="2"/>
  <c r="E201" i="2" s="1"/>
  <c r="E107" i="2"/>
  <c r="BD200" i="2" s="1"/>
  <c r="D107" i="2"/>
  <c r="H200" i="2" s="1"/>
  <c r="C107" i="2"/>
  <c r="E200" i="2" s="1"/>
  <c r="BM102" i="2"/>
  <c r="S5" i="15" s="1"/>
  <c r="BL102" i="2"/>
  <c r="F5" i="15" s="1"/>
  <c r="DB98" i="2"/>
  <c r="DA96" i="2"/>
  <c r="DB95" i="2"/>
  <c r="DA95" i="2"/>
  <c r="DA94" i="2"/>
  <c r="DB93" i="2"/>
  <c r="DA93" i="2"/>
  <c r="DB92" i="2"/>
  <c r="DA92" i="2"/>
  <c r="DB91" i="2"/>
  <c r="DA91" i="2"/>
  <c r="AQ91" i="2"/>
  <c r="AO91" i="2"/>
  <c r="BT5" i="15" s="1"/>
  <c r="AN91" i="2"/>
  <c r="AM91" i="2"/>
  <c r="CF5" i="15" s="1"/>
  <c r="I91" i="2"/>
  <c r="G91" i="2"/>
  <c r="BT4" i="15" s="1"/>
  <c r="F91" i="2"/>
  <c r="E91" i="2"/>
  <c r="CF4" i="15" s="1"/>
  <c r="DB90" i="2"/>
  <c r="DA90" i="2"/>
  <c r="BO90" i="2"/>
  <c r="BN90" i="2"/>
  <c r="BL90" i="2"/>
  <c r="R220" i="2" s="1"/>
  <c r="BK90" i="2"/>
  <c r="P5" i="15" s="1"/>
  <c r="BJ90" i="2"/>
  <c r="X201" i="2" s="1"/>
  <c r="BI90" i="2"/>
  <c r="A201" i="2" s="1"/>
  <c r="BH90" i="2"/>
  <c r="BF90" i="2"/>
  <c r="BC90" i="2"/>
  <c r="AV90" i="2"/>
  <c r="AU90" i="2"/>
  <c r="BW5" i="15" s="1"/>
  <c r="AT90" i="2"/>
  <c r="CH5" i="15" s="1"/>
  <c r="AS90" i="2"/>
  <c r="CI5" i="15" s="1"/>
  <c r="AR90" i="2"/>
  <c r="AQ90" i="2"/>
  <c r="AP90" i="2"/>
  <c r="CZ5" i="15" s="1"/>
  <c r="AO90" i="2"/>
  <c r="AN90" i="2"/>
  <c r="AB215" i="2" s="1"/>
  <c r="AM90" i="2"/>
  <c r="Z215" i="2" s="1"/>
  <c r="AK90" i="2"/>
  <c r="CT5" i="15" s="1"/>
  <c r="AJ90" i="2"/>
  <c r="CW5" i="15" s="1"/>
  <c r="AG90" i="2"/>
  <c r="AF90" i="2"/>
  <c r="AD90" i="2"/>
  <c r="R219" i="2" s="1"/>
  <c r="AC90" i="2"/>
  <c r="P4" i="15" s="1"/>
  <c r="AB90" i="2"/>
  <c r="X200" i="2" s="1"/>
  <c r="AA90" i="2"/>
  <c r="A200" i="2" s="1"/>
  <c r="Z90" i="2"/>
  <c r="X90" i="2"/>
  <c r="U90" i="2"/>
  <c r="N90" i="2"/>
  <c r="M90" i="2"/>
  <c r="BW4" i="15" s="1"/>
  <c r="L90" i="2"/>
  <c r="CH4" i="15" s="1"/>
  <c r="K90" i="2"/>
  <c r="CI4" i="15" s="1"/>
  <c r="J90" i="2"/>
  <c r="I90" i="2"/>
  <c r="H90" i="2"/>
  <c r="CZ4" i="15" s="1"/>
  <c r="G90" i="2"/>
  <c r="F90" i="2"/>
  <c r="AB214" i="2" s="1"/>
  <c r="E90" i="2"/>
  <c r="Z214" i="2" s="1"/>
  <c r="C90" i="2"/>
  <c r="CT4" i="15" s="1"/>
  <c r="B90" i="2"/>
  <c r="CW4" i="15" s="1"/>
  <c r="DA89" i="2"/>
  <c r="DA88" i="2"/>
  <c r="DA87" i="2"/>
  <c r="DA75" i="2"/>
  <c r="CY75" i="2"/>
  <c r="DA74" i="2"/>
  <c r="CY74" i="2"/>
  <c r="DA73" i="2"/>
  <c r="CY73" i="2"/>
  <c r="DA72" i="2"/>
  <c r="CY72" i="2"/>
  <c r="W72" i="2"/>
  <c r="N72" i="2"/>
  <c r="DA71" i="2"/>
  <c r="CY71" i="2"/>
  <c r="CU71" i="2"/>
  <c r="CR37" i="2" s="1"/>
  <c r="CQ71" i="2"/>
  <c r="CR32" i="2" s="1"/>
  <c r="DA70" i="2"/>
  <c r="CY70" i="2"/>
  <c r="CU70" i="2"/>
  <c r="CP37" i="2" s="1"/>
  <c r="CQ70" i="2"/>
  <c r="CP32" i="2" s="1"/>
  <c r="DA69" i="2"/>
  <c r="CY69" i="2"/>
  <c r="AN69" i="2"/>
  <c r="F69" i="2"/>
  <c r="DA68" i="2"/>
  <c r="CY68" i="2"/>
  <c r="DA67" i="2"/>
  <c r="CY67" i="2"/>
  <c r="DA66" i="2"/>
  <c r="CY66" i="2"/>
  <c r="DA65" i="2"/>
  <c r="CY65" i="2"/>
  <c r="DA64" i="2"/>
  <c r="CY64" i="2"/>
  <c r="DA63" i="2"/>
  <c r="CY63" i="2"/>
  <c r="DA62" i="2"/>
  <c r="CY62" i="2"/>
  <c r="DA61" i="2"/>
  <c r="CY61" i="2"/>
  <c r="DA60" i="2"/>
  <c r="CY60" i="2"/>
  <c r="AI220" i="2"/>
  <c r="AH220" i="2"/>
  <c r="AG220" i="2"/>
  <c r="AF220" i="2"/>
  <c r="AE220" i="2"/>
  <c r="AD220" i="2"/>
  <c r="AC220" i="2"/>
  <c r="AB220" i="2"/>
  <c r="AA220" i="2"/>
  <c r="AI219" i="2"/>
  <c r="AH219" i="2"/>
  <c r="AG219" i="2"/>
  <c r="AF219" i="2"/>
  <c r="AE219" i="2"/>
  <c r="AD219" i="2"/>
  <c r="AC219" i="2"/>
  <c r="AB219" i="2"/>
  <c r="AA219" i="2"/>
  <c r="BH56" i="2"/>
  <c r="Z56" i="2"/>
  <c r="BN55" i="2"/>
  <c r="BM55" i="2"/>
  <c r="V220" i="2" s="1"/>
  <c r="BL55" i="2"/>
  <c r="U220" i="2" s="1"/>
  <c r="BK55" i="2"/>
  <c r="V5" i="15" s="1"/>
  <c r="BJ55" i="2"/>
  <c r="AK5" i="15" s="1"/>
  <c r="BI55" i="2"/>
  <c r="BG55" i="2"/>
  <c r="AZ5" i="15" s="1"/>
  <c r="AY55" i="2"/>
  <c r="AX55" i="2"/>
  <c r="AW55" i="2"/>
  <c r="AE55" i="2"/>
  <c r="V219" i="2" s="1"/>
  <c r="AD55" i="2"/>
  <c r="U219" i="2" s="1"/>
  <c r="AC55" i="2"/>
  <c r="V4" i="15" s="1"/>
  <c r="AB55" i="2"/>
  <c r="AK4" i="15" s="1"/>
  <c r="AA55" i="2"/>
  <c r="Y55" i="2"/>
  <c r="AZ4" i="15" s="1"/>
  <c r="Q55" i="2"/>
  <c r="P55" i="2"/>
  <c r="O55" i="2"/>
  <c r="AU53" i="2"/>
  <c r="BL61" i="2" s="1"/>
  <c r="M53" i="2"/>
  <c r="AV51" i="2"/>
  <c r="AV50" i="2"/>
  <c r="N50" i="2"/>
  <c r="AV49" i="2"/>
  <c r="AJ49" i="2"/>
  <c r="N49" i="2"/>
  <c r="B49" i="2"/>
  <c r="AV48" i="2"/>
  <c r="N48" i="2"/>
  <c r="BN47" i="2"/>
  <c r="BM47" i="2"/>
  <c r="BL47" i="2"/>
  <c r="BK47" i="2"/>
  <c r="BJ47" i="2"/>
  <c r="BI47" i="2"/>
  <c r="AF47" i="2"/>
  <c r="AE47" i="2"/>
  <c r="AD47" i="2"/>
  <c r="AC47" i="2"/>
  <c r="AB47" i="2"/>
  <c r="AA47" i="2"/>
  <c r="DA46" i="2"/>
  <c r="CY46" i="2"/>
  <c r="DA45" i="2"/>
  <c r="CY45" i="2"/>
  <c r="DA44" i="2"/>
  <c r="CY44" i="2"/>
  <c r="AM44" i="2"/>
  <c r="E44" i="2"/>
  <c r="DA43" i="2"/>
  <c r="CY43" i="2"/>
  <c r="AN43" i="2"/>
  <c r="AL43" i="2"/>
  <c r="AK43" i="2"/>
  <c r="AJ43" i="2"/>
  <c r="BU74" i="2" s="1"/>
  <c r="F43" i="2"/>
  <c r="D43" i="2"/>
  <c r="C43" i="2"/>
  <c r="B43" i="2"/>
  <c r="BU73" i="2" s="1"/>
  <c r="DA42" i="2"/>
  <c r="CY42" i="2"/>
  <c r="AN42" i="2"/>
  <c r="AL42" i="2"/>
  <c r="AK42" i="2"/>
  <c r="AJ42" i="2"/>
  <c r="F42" i="2"/>
  <c r="D42" i="2"/>
  <c r="C42" i="2"/>
  <c r="B42" i="2"/>
  <c r="DA41" i="2"/>
  <c r="CY41" i="2"/>
  <c r="AM41" i="2"/>
  <c r="E41" i="2"/>
  <c r="AM40" i="2"/>
  <c r="E40" i="2"/>
  <c r="AK189" i="2" s="1"/>
  <c r="DA39" i="2"/>
  <c r="CY39" i="2"/>
  <c r="DA37" i="2"/>
  <c r="CY37" i="2"/>
  <c r="DA36" i="2"/>
  <c r="CY36" i="2"/>
  <c r="DA35" i="2"/>
  <c r="CY35" i="2"/>
  <c r="BL35" i="2"/>
  <c r="BE35" i="2"/>
  <c r="BD35" i="2"/>
  <c r="BC35" i="2"/>
  <c r="BG5" i="15" s="1"/>
  <c r="AR35" i="2"/>
  <c r="Y5" i="15" s="1"/>
  <c r="AO35" i="2"/>
  <c r="AE5" i="15" s="1"/>
  <c r="AD35" i="2"/>
  <c r="W35" i="2"/>
  <c r="V35" i="2"/>
  <c r="Y4" i="15"/>
  <c r="AE4" i="15"/>
  <c r="DA34" i="2"/>
  <c r="CY34" i="2"/>
  <c r="BV34" i="2"/>
  <c r="BT34" i="2"/>
  <c r="BO34" i="2"/>
  <c r="T220" i="2" s="1"/>
  <c r="BN34" i="2"/>
  <c r="S220" i="2" s="1"/>
  <c r="BM34" i="2"/>
  <c r="BM5" i="15" s="1"/>
  <c r="BL34" i="2"/>
  <c r="BJ5" i="15" s="1"/>
  <c r="AG34" i="2"/>
  <c r="T219" i="2" s="1"/>
  <c r="AF34" i="2"/>
  <c r="S219" i="2" s="1"/>
  <c r="AE34" i="2"/>
  <c r="BM4" i="15" s="1"/>
  <c r="AD34" i="2"/>
  <c r="BJ4" i="15" s="1"/>
  <c r="BJ33" i="2"/>
  <c r="BF33" i="2"/>
  <c r="BB33" i="2"/>
  <c r="AW33" i="2"/>
  <c r="J215" i="2" s="1"/>
  <c r="AT33" i="2"/>
  <c r="E215" i="2" s="1"/>
  <c r="AB33" i="2"/>
  <c r="X33" i="2"/>
  <c r="T33" i="2"/>
  <c r="O33" i="2"/>
  <c r="J214" i="2" s="1"/>
  <c r="DA32" i="2"/>
  <c r="CY32" i="2"/>
  <c r="DA31" i="2"/>
  <c r="CY31" i="2"/>
  <c r="DA30" i="2"/>
  <c r="CY30" i="2"/>
  <c r="DA29" i="2"/>
  <c r="CY29" i="2"/>
  <c r="AW29" i="2"/>
  <c r="I215" i="2" s="1"/>
  <c r="AT29" i="2"/>
  <c r="BP5" i="15" s="1"/>
  <c r="O29" i="2"/>
  <c r="L29" i="2"/>
  <c r="BP4" i="15" s="1"/>
  <c r="DA28" i="2"/>
  <c r="CY28" i="2"/>
  <c r="CR27" i="2"/>
  <c r="CP27" i="2"/>
  <c r="DA25" i="2"/>
  <c r="CY25" i="2"/>
  <c r="DA24" i="2"/>
  <c r="CY24" i="2"/>
  <c r="DA23" i="2"/>
  <c r="CY23" i="2"/>
  <c r="DA22" i="2"/>
  <c r="CY22" i="2"/>
  <c r="DA20" i="2"/>
  <c r="CY20" i="2"/>
  <c r="DA18" i="2"/>
  <c r="CY18" i="2"/>
  <c r="BU18" i="2"/>
  <c r="DA17" i="2"/>
  <c r="CY17" i="2"/>
  <c r="DA16" i="2"/>
  <c r="CY16" i="2"/>
  <c r="DA15" i="2"/>
  <c r="CY15" i="2"/>
  <c r="CP15" i="2"/>
  <c r="DA14" i="2"/>
  <c r="CY14" i="2"/>
  <c r="DA13" i="2"/>
  <c r="CY13" i="2"/>
  <c r="DA12" i="2"/>
  <c r="CY12" i="2"/>
  <c r="DA9" i="2"/>
  <c r="CY9" i="2"/>
  <c r="CY6" i="2"/>
  <c r="AV72" i="2"/>
  <c r="AM2" i="2"/>
  <c r="E2" i="2"/>
  <c r="AP1" i="2"/>
  <c r="AF189" i="2" l="1"/>
  <c r="AW189" i="2"/>
  <c r="AQ189" i="2"/>
  <c r="AD61" i="2"/>
  <c r="BC189" i="2"/>
  <c r="V189" i="2"/>
  <c r="BF4" i="15"/>
  <c r="BE4" i="15"/>
  <c r="BF5" i="15"/>
  <c r="BE5" i="15"/>
  <c r="AA189" i="2"/>
  <c r="BV74" i="2"/>
  <c r="CE5" i="15"/>
  <c r="F220" i="2"/>
  <c r="AT5" i="15"/>
  <c r="BK5" i="15"/>
  <c r="BN5" i="15"/>
  <c r="G220" i="2"/>
  <c r="AQ5" i="15"/>
  <c r="BD4" i="15"/>
  <c r="BD5" i="15"/>
  <c r="F219" i="2"/>
  <c r="AT4" i="15"/>
  <c r="H220" i="2"/>
  <c r="AW5" i="15"/>
  <c r="AE214" i="2"/>
  <c r="BS4" i="15"/>
  <c r="G219" i="2"/>
  <c r="AQ4" i="15"/>
  <c r="H219" i="2"/>
  <c r="AW4" i="15"/>
  <c r="BT73" i="2"/>
  <c r="CN4" i="15"/>
  <c r="AF215" i="2"/>
  <c r="BV5" i="15"/>
  <c r="BN4" i="15"/>
  <c r="BK4" i="15"/>
  <c r="BV73" i="2"/>
  <c r="CE4" i="15"/>
  <c r="BT74" i="2"/>
  <c r="CN5" i="15"/>
  <c r="AE215" i="2"/>
  <c r="BS5" i="15"/>
  <c r="AF214" i="2"/>
  <c r="BV4" i="15"/>
  <c r="AJ47" i="2"/>
  <c r="N215" i="2"/>
  <c r="BL58" i="2"/>
  <c r="X215" i="2"/>
  <c r="AK47" i="2"/>
  <c r="AL215" i="2"/>
  <c r="BL60" i="2"/>
  <c r="BM60" i="2" s="1"/>
  <c r="AV215" i="2"/>
  <c r="AJ48" i="2"/>
  <c r="S215" i="2"/>
  <c r="AK48" i="2"/>
  <c r="AQ215" i="2"/>
  <c r="AD60" i="2"/>
  <c r="AE60" i="2" s="1"/>
  <c r="AV214" i="2"/>
  <c r="B47" i="2"/>
  <c r="N214" i="2"/>
  <c r="AD58" i="2"/>
  <c r="X214" i="2"/>
  <c r="B48" i="2"/>
  <c r="S214" i="2"/>
  <c r="C47" i="2"/>
  <c r="AL214" i="2"/>
  <c r="C48" i="2"/>
  <c r="AQ214" i="2"/>
  <c r="E42" i="2"/>
  <c r="BS73" i="2" s="1"/>
  <c r="AM42" i="2"/>
  <c r="BL59" i="2" s="1"/>
  <c r="DA27" i="2"/>
  <c r="Z35" i="2"/>
  <c r="BH35" i="2"/>
  <c r="AZ90" i="2"/>
  <c r="E43" i="2"/>
  <c r="AD57" i="2" s="1"/>
  <c r="AM43" i="2"/>
  <c r="BL57" i="2" s="1"/>
  <c r="R90" i="2"/>
  <c r="CY27" i="2"/>
  <c r="X35" i="2"/>
  <c r="BF35" i="2"/>
  <c r="AF60" i="2" l="1"/>
  <c r="BZ4" i="15" s="1"/>
  <c r="BR73" i="2"/>
  <c r="BR78" i="2" s="1"/>
  <c r="BS78" i="2" s="1"/>
  <c r="BM57" i="2"/>
  <c r="BN61" i="2" s="1"/>
  <c r="BC5" i="15"/>
  <c r="AE57" i="2"/>
  <c r="AF61" i="2" s="1"/>
  <c r="BC4" i="15"/>
  <c r="D48" i="2"/>
  <c r="D47" i="2"/>
  <c r="AM189" i="2" s="1"/>
  <c r="AL48" i="2"/>
  <c r="AY215" i="2" s="1"/>
  <c r="BM59" i="2"/>
  <c r="BN60" i="2"/>
  <c r="AY190" i="2" s="1"/>
  <c r="AD59" i="2"/>
  <c r="AE59" i="2" s="1"/>
  <c r="AL47" i="2"/>
  <c r="BS74" i="2"/>
  <c r="BR74" i="2" s="1"/>
  <c r="BR79" i="2" s="1"/>
  <c r="BT79" i="2" s="1"/>
  <c r="BN59" i="2"/>
  <c r="CK5" i="15" s="1"/>
  <c r="CY40" i="2" l="1"/>
  <c r="AZ214" i="2"/>
  <c r="DA40" i="2"/>
  <c r="CA4" i="15"/>
  <c r="BT78" i="2"/>
  <c r="BU78" i="2" s="1"/>
  <c r="BT40" i="2" s="1"/>
  <c r="BY4" i="15"/>
  <c r="AY214" i="2"/>
  <c r="AS189" i="2"/>
  <c r="AY189" i="2"/>
  <c r="BO59" i="2"/>
  <c r="AX214" i="2"/>
  <c r="CL4" i="15"/>
  <c r="CM4" i="15"/>
  <c r="AZ215" i="2"/>
  <c r="BY5" i="15"/>
  <c r="CA5" i="15"/>
  <c r="BZ5" i="15"/>
  <c r="AX215" i="2"/>
  <c r="CL5" i="15"/>
  <c r="CM5" i="15"/>
  <c r="AG59" i="2"/>
  <c r="CY38" i="2"/>
  <c r="DA38" i="2"/>
  <c r="AF59" i="2"/>
  <c r="CK4" i="15" s="1"/>
  <c r="BS79" i="2"/>
  <c r="BU79" i="2" s="1"/>
  <c r="BV40" i="2" s="1"/>
  <c r="A4" i="15" l="1"/>
  <c r="C205" i="2" l="1"/>
  <c r="A206" i="2"/>
  <c r="A205" i="2"/>
  <c r="B206" i="2"/>
  <c r="B205" i="2"/>
  <c r="E206" i="2" l="1"/>
  <c r="C206" i="2"/>
  <c r="D206" i="2"/>
  <c r="E205" i="2" l="1"/>
  <c r="D205" i="2"/>
  <c r="BH146" i="2" l="1"/>
  <c r="BG158" i="2" l="1"/>
  <c r="BF158" i="2"/>
  <c r="BA157" i="2"/>
  <c r="BA156" i="2"/>
  <c r="BQ190" i="2" s="1"/>
  <c r="BE158" i="2"/>
  <c r="BG157" i="2"/>
  <c r="BF157" i="2"/>
  <c r="BG156" i="2"/>
  <c r="BO190" i="2" s="1"/>
  <c r="BF156" i="2"/>
  <c r="BN190" i="2" s="1"/>
  <c r="BE156" i="2"/>
  <c r="BE157" i="2"/>
  <c r="BC139" i="2"/>
  <c r="BP190" i="2" l="1"/>
  <c r="BN152" i="2"/>
  <c r="BD158" i="2"/>
  <c r="BC158" i="2"/>
  <c r="BB158" i="2"/>
  <c r="BA158" i="2"/>
  <c r="AY158" i="2"/>
  <c r="AW146" i="2" s="1"/>
  <c r="AX158" i="2"/>
  <c r="AW158" i="2"/>
  <c r="AV158" i="2"/>
  <c r="AU158" i="2"/>
  <c r="AT158" i="2"/>
  <c r="AS158" i="2"/>
  <c r="AR158" i="2"/>
  <c r="AQ158" i="2"/>
  <c r="AP158" i="2"/>
  <c r="AO158" i="2"/>
  <c r="AN158" i="2"/>
  <c r="AL158" i="2"/>
  <c r="AK158" i="2"/>
  <c r="AJ158" i="2"/>
  <c r="AI158" i="2"/>
  <c r="AH158" i="2"/>
  <c r="AG158" i="2"/>
  <c r="AF158" i="2"/>
  <c r="AE158" i="2"/>
  <c r="AD158" i="2"/>
  <c r="AC158" i="2"/>
  <c r="AB158" i="2"/>
  <c r="AA158" i="2"/>
  <c r="Z158" i="2"/>
  <c r="Y158" i="2"/>
  <c r="X158" i="2"/>
  <c r="V158" i="2"/>
  <c r="U158" i="2"/>
  <c r="T158" i="2"/>
  <c r="S158" i="2"/>
  <c r="Q158" i="2"/>
  <c r="P158" i="2"/>
  <c r="O158" i="2"/>
  <c r="N158" i="2"/>
  <c r="M158" i="2"/>
  <c r="K158" i="2"/>
  <c r="J158" i="2"/>
  <c r="I158" i="2"/>
  <c r="H158" i="2"/>
  <c r="G158" i="2"/>
  <c r="F158" i="2"/>
  <c r="E158" i="2"/>
  <c r="D158" i="2"/>
  <c r="C158" i="2"/>
  <c r="B158" i="2"/>
  <c r="BM157" i="2"/>
  <c r="BL157" i="2"/>
  <c r="BK157" i="2"/>
  <c r="BJ157" i="2"/>
  <c r="AU157" i="2"/>
  <c r="M190" i="2" s="1"/>
  <c r="AT157" i="2"/>
  <c r="L190" i="2" s="1"/>
  <c r="AS157" i="2"/>
  <c r="K190" i="2" s="1"/>
  <c r="AR157" i="2"/>
  <c r="AQ157" i="2"/>
  <c r="AP157" i="2"/>
  <c r="AO157" i="2"/>
  <c r="AI157" i="2"/>
  <c r="AH157" i="2"/>
  <c r="AG157" i="2"/>
  <c r="AB157" i="2"/>
  <c r="Z157" i="2"/>
  <c r="Y157" i="2"/>
  <c r="X157" i="2"/>
  <c r="V157" i="2"/>
  <c r="U157" i="2"/>
  <c r="T157" i="2"/>
  <c r="S157" i="2"/>
  <c r="Q157" i="2"/>
  <c r="P157" i="2"/>
  <c r="O157" i="2"/>
  <c r="F157" i="2"/>
  <c r="Q190" i="2" s="1"/>
  <c r="E157" i="2"/>
  <c r="P190" i="2" s="1"/>
  <c r="D157" i="2"/>
  <c r="O190" i="2" s="1"/>
  <c r="B157" i="2"/>
  <c r="BM156" i="2"/>
  <c r="BL156" i="2"/>
  <c r="BK156" i="2"/>
  <c r="CQ190" i="2" s="1"/>
  <c r="BJ156" i="2"/>
  <c r="AI156" i="2"/>
  <c r="AH156" i="2"/>
  <c r="AG156" i="2"/>
  <c r="AB156" i="2"/>
  <c r="Z156" i="2"/>
  <c r="Y156" i="2"/>
  <c r="X156" i="2"/>
  <c r="V156" i="2"/>
  <c r="U156" i="2"/>
  <c r="T156" i="2"/>
  <c r="S156" i="2"/>
  <c r="BD190" i="2" s="1"/>
  <c r="Q156" i="2"/>
  <c r="P156" i="2"/>
  <c r="O156" i="2"/>
  <c r="B156" i="2"/>
  <c r="AQ152" i="2"/>
  <c r="AP152" i="2"/>
  <c r="AO152" i="2"/>
  <c r="AN152" i="2"/>
  <c r="AM152" i="2"/>
  <c r="AL152" i="2"/>
  <c r="AK152" i="2"/>
  <c r="AG152" i="2"/>
  <c r="AF152" i="2"/>
  <c r="AE152" i="2"/>
  <c r="AD152" i="2"/>
  <c r="AC152" i="2"/>
  <c r="AB152" i="2"/>
  <c r="AA152" i="2"/>
  <c r="Z152" i="2"/>
  <c r="Y152" i="2"/>
  <c r="X152" i="2"/>
  <c r="W152" i="2"/>
  <c r="V152" i="2"/>
  <c r="R152" i="2"/>
  <c r="Q152" i="2"/>
  <c r="P152" i="2"/>
  <c r="O152" i="2"/>
  <c r="N152" i="2"/>
  <c r="M152" i="2"/>
  <c r="L152" i="2"/>
  <c r="K152" i="2"/>
  <c r="J152" i="2"/>
  <c r="I152" i="2"/>
  <c r="H152" i="2"/>
  <c r="G152" i="2"/>
  <c r="F152" i="2"/>
  <c r="E152" i="2"/>
  <c r="D152" i="2"/>
  <c r="C152" i="2"/>
  <c r="B152" i="2"/>
  <c r="AP151" i="2"/>
  <c r="AM151" i="2"/>
  <c r="AL151" i="2"/>
  <c r="AK151" i="2"/>
  <c r="AF151" i="2"/>
  <c r="AE151" i="2"/>
  <c r="X151" i="2"/>
  <c r="W151" i="2"/>
  <c r="V151" i="2"/>
  <c r="R151" i="2"/>
  <c r="L151" i="2"/>
  <c r="J151" i="2"/>
  <c r="BG150" i="2"/>
  <c r="BG151" i="2" s="1"/>
  <c r="BF150" i="2"/>
  <c r="BF151" i="2" s="1"/>
  <c r="BE150" i="2"/>
  <c r="BE151" i="2" s="1"/>
  <c r="BD150" i="2"/>
  <c r="BD151" i="2" s="1"/>
  <c r="BC150" i="2"/>
  <c r="BC151" i="2" s="1"/>
  <c r="AY150" i="2"/>
  <c r="AY151" i="2" s="1"/>
  <c r="AX150" i="2"/>
  <c r="AX151" i="2" s="1"/>
  <c r="AW150" i="2"/>
  <c r="AW151" i="2" s="1"/>
  <c r="AV150" i="2"/>
  <c r="AV151" i="2" s="1"/>
  <c r="AP150" i="2"/>
  <c r="AM150" i="2"/>
  <c r="AL150" i="2"/>
  <c r="AK150" i="2"/>
  <c r="AF150" i="2"/>
  <c r="AE150" i="2"/>
  <c r="X150" i="2"/>
  <c r="W150" i="2"/>
  <c r="V150" i="2"/>
  <c r="S190" i="2" s="1"/>
  <c r="L150" i="2"/>
  <c r="J150" i="2"/>
  <c r="H190" i="2" s="1"/>
  <c r="AW147" i="2"/>
  <c r="BJ146" i="2"/>
  <c r="BJ147" i="2" s="1"/>
  <c r="BI146" i="2"/>
  <c r="BI147" i="2" s="1"/>
  <c r="BH147" i="2"/>
  <c r="BG146" i="2"/>
  <c r="BG147" i="2" s="1"/>
  <c r="BF146" i="2"/>
  <c r="BF147" i="2" s="1"/>
  <c r="BE146" i="2"/>
  <c r="BE147" i="2" s="1"/>
  <c r="BD146" i="2"/>
  <c r="BD147" i="2" s="1"/>
  <c r="BC146" i="2"/>
  <c r="BC147" i="2" s="1"/>
  <c r="BB146" i="2"/>
  <c r="BB147" i="2" s="1"/>
  <c r="BA146" i="2"/>
  <c r="BA147" i="2" s="1"/>
  <c r="AZ146" i="2"/>
  <c r="AZ147" i="2" s="1"/>
  <c r="AY146" i="2"/>
  <c r="AY147" i="2" s="1"/>
  <c r="AX146" i="2"/>
  <c r="AX147" i="2" s="1"/>
  <c r="AV146" i="2"/>
  <c r="Q146" i="2"/>
  <c r="P146" i="2"/>
  <c r="O146" i="2"/>
  <c r="N146" i="2"/>
  <c r="M146" i="2"/>
  <c r="L146" i="2"/>
  <c r="K146" i="2"/>
  <c r="I146" i="2"/>
  <c r="H146" i="2"/>
  <c r="G146" i="2"/>
  <c r="D146" i="2"/>
  <c r="C146" i="2"/>
  <c r="B146" i="2"/>
  <c r="U145" i="2"/>
  <c r="Q145" i="2"/>
  <c r="P145" i="2"/>
  <c r="O145" i="2"/>
  <c r="N145" i="2"/>
  <c r="M145" i="2"/>
  <c r="K145" i="2"/>
  <c r="I145" i="2"/>
  <c r="H145" i="2"/>
  <c r="G145" i="2"/>
  <c r="D145" i="2"/>
  <c r="C145" i="2"/>
  <c r="B145" i="2"/>
  <c r="U144" i="2"/>
  <c r="Q144" i="2"/>
  <c r="P144" i="2"/>
  <c r="O144" i="2"/>
  <c r="N144" i="2"/>
  <c r="M144" i="2"/>
  <c r="K144" i="2"/>
  <c r="I144" i="2"/>
  <c r="H144" i="2"/>
  <c r="G144" i="2"/>
  <c r="D144" i="2"/>
  <c r="C144" i="2"/>
  <c r="B144" i="2"/>
  <c r="AG141" i="2"/>
  <c r="AF141" i="2"/>
  <c r="AE141" i="2"/>
  <c r="AG140" i="2"/>
  <c r="AF140" i="2"/>
  <c r="AE140" i="2"/>
  <c r="BI139" i="2"/>
  <c r="BI140" i="2" s="1"/>
  <c r="BH140" i="2"/>
  <c r="BG139" i="2"/>
  <c r="BG140" i="2" s="1"/>
  <c r="BF139" i="2"/>
  <c r="BF140" i="2" s="1"/>
  <c r="BE140" i="2"/>
  <c r="BD139" i="2"/>
  <c r="BD140" i="2" s="1"/>
  <c r="BC140" i="2"/>
  <c r="BB139" i="2"/>
  <c r="BB140" i="2" s="1"/>
  <c r="BA139" i="2"/>
  <c r="BA140" i="2" s="1"/>
  <c r="AZ139" i="2"/>
  <c r="AZ140" i="2" s="1"/>
  <c r="AY140" i="2"/>
  <c r="AX140" i="2"/>
  <c r="AW140" i="2"/>
  <c r="AV140" i="2"/>
  <c r="AZ190" i="2" l="1"/>
  <c r="CO190" i="2"/>
  <c r="BY190" i="2"/>
  <c r="J190" i="2"/>
  <c r="BH190" i="2"/>
  <c r="BI190" i="2"/>
  <c r="BA190" i="2"/>
  <c r="BJ190" i="2"/>
  <c r="BB190" i="2"/>
  <c r="BJ139" i="2"/>
  <c r="BH150" i="2"/>
  <c r="BJ140" i="2"/>
  <c r="AV147" i="2"/>
  <c r="BH151" i="2" s="1"/>
  <c r="AC132" i="2"/>
  <c r="BI150" i="2" l="1"/>
  <c r="BI151" i="2"/>
  <c r="BK151" i="2" s="1"/>
  <c r="AA157" i="2"/>
  <c r="H167" i="2" l="1"/>
  <c r="AA156" i="2"/>
  <c r="BL163" i="2"/>
  <c r="BL162" i="2"/>
  <c r="BK163" i="2"/>
  <c r="AA168" i="2" l="1"/>
  <c r="Z168" i="2"/>
  <c r="AA167" i="2"/>
  <c r="Z167" i="2"/>
  <c r="AC167" i="2"/>
  <c r="Y151" i="2"/>
  <c r="Z151" i="2"/>
  <c r="AC168" i="2"/>
  <c r="AR196" i="2" l="1"/>
  <c r="AP196" i="2"/>
  <c r="AL196" i="2"/>
  <c r="AK196" i="2"/>
  <c r="AJ196" i="2"/>
  <c r="BK162" i="2"/>
  <c r="AG151" i="2"/>
  <c r="AB168" i="2"/>
  <c r="AQ151" i="2"/>
  <c r="AG150" i="2"/>
  <c r="AQ150" i="2"/>
  <c r="DT190" i="2" s="1"/>
  <c r="AD132" i="2"/>
  <c r="AA135" i="2"/>
  <c r="AA134" i="2"/>
  <c r="AA133" i="2"/>
  <c r="Z135" i="2"/>
  <c r="Z134" i="2"/>
  <c r="Z133" i="2"/>
  <c r="Y135" i="2"/>
  <c r="Y134" i="2"/>
  <c r="Y133" i="2"/>
  <c r="X135" i="2"/>
  <c r="W135" i="2"/>
  <c r="W134" i="2"/>
  <c r="W133" i="2"/>
  <c r="V135" i="2"/>
  <c r="V134" i="2"/>
  <c r="V133" i="2"/>
  <c r="P135" i="2" l="1"/>
  <c r="BM163" i="2"/>
  <c r="BM162" i="2"/>
  <c r="CT190" i="2" s="1"/>
  <c r="AB167" i="2"/>
  <c r="BB157" i="2"/>
  <c r="AD151" i="2"/>
  <c r="AB150" i="2" l="1"/>
  <c r="BH156" i="2"/>
  <c r="BH157" i="2"/>
  <c r="AB151" i="2"/>
  <c r="BI157" i="2"/>
  <c r="AC151" i="2"/>
  <c r="BH162" i="2"/>
  <c r="BI163" i="2"/>
  <c r="BH163" i="2"/>
  <c r="CN190" i="2" l="1"/>
  <c r="BB156" i="2"/>
  <c r="M151" i="2"/>
  <c r="M150" i="2"/>
  <c r="K168" i="2"/>
  <c r="J168" i="2"/>
  <c r="K167" i="2"/>
  <c r="J167" i="2"/>
  <c r="AY156" i="2"/>
  <c r="AC185" i="2"/>
  <c r="AB185" i="2"/>
  <c r="AA185" i="2"/>
  <c r="Z185" i="2"/>
  <c r="Y185" i="2"/>
  <c r="X185" i="2"/>
  <c r="W185" i="2"/>
  <c r="V185" i="2"/>
  <c r="U185" i="2"/>
  <c r="T185" i="2"/>
  <c r="S185" i="2"/>
  <c r="R185" i="2"/>
  <c r="Q185" i="2"/>
  <c r="P185" i="2"/>
  <c r="O185" i="2"/>
  <c r="N185" i="2"/>
  <c r="M185" i="2"/>
  <c r="L185" i="2"/>
  <c r="K185" i="2"/>
  <c r="J185" i="2"/>
  <c r="I185" i="2"/>
  <c r="H185" i="2"/>
  <c r="G185" i="2"/>
  <c r="F185" i="2"/>
  <c r="E185" i="2"/>
  <c r="D185" i="2"/>
  <c r="C185" i="2"/>
  <c r="B185" i="2"/>
  <c r="AC184" i="2"/>
  <c r="AB184" i="2"/>
  <c r="AA184" i="2"/>
  <c r="Z184" i="2"/>
  <c r="Y184" i="2"/>
  <c r="X184" i="2"/>
  <c r="W184" i="2"/>
  <c r="V184" i="2"/>
  <c r="U184" i="2"/>
  <c r="T184" i="2"/>
  <c r="S184" i="2"/>
  <c r="R184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E184" i="2"/>
  <c r="D184" i="2"/>
  <c r="C184" i="2"/>
  <c r="B184" i="2"/>
  <c r="BM179" i="2"/>
  <c r="BL179" i="2"/>
  <c r="BK179" i="2"/>
  <c r="BJ179" i="2"/>
  <c r="BI179" i="2"/>
  <c r="BH179" i="2"/>
  <c r="BG179" i="2"/>
  <c r="BF179" i="2"/>
  <c r="BE179" i="2"/>
  <c r="BD179" i="2"/>
  <c r="BC179" i="2"/>
  <c r="BB179" i="2"/>
  <c r="BA179" i="2"/>
  <c r="AZ179" i="2"/>
  <c r="AY179" i="2"/>
  <c r="AX179" i="2"/>
  <c r="AW179" i="2"/>
  <c r="AV179" i="2"/>
  <c r="AU179" i="2"/>
  <c r="AT179" i="2"/>
  <c r="AS179" i="2"/>
  <c r="AR179" i="2"/>
  <c r="AQ179" i="2"/>
  <c r="AP179" i="2"/>
  <c r="AO179" i="2"/>
  <c r="AN179" i="2"/>
  <c r="AM179" i="2"/>
  <c r="AL179" i="2"/>
  <c r="AK179" i="2"/>
  <c r="AJ179" i="2"/>
  <c r="AI179" i="2"/>
  <c r="AH179" i="2"/>
  <c r="AG179" i="2"/>
  <c r="AF179" i="2"/>
  <c r="AE179" i="2"/>
  <c r="AD179" i="2"/>
  <c r="AC179" i="2"/>
  <c r="AB179" i="2"/>
  <c r="AA179" i="2"/>
  <c r="Z179" i="2"/>
  <c r="Y179" i="2"/>
  <c r="X179" i="2"/>
  <c r="W179" i="2"/>
  <c r="V179" i="2"/>
  <c r="U179" i="2"/>
  <c r="T179" i="2"/>
  <c r="S179" i="2"/>
  <c r="R179" i="2"/>
  <c r="Q179" i="2"/>
  <c r="P179" i="2"/>
  <c r="O179" i="2"/>
  <c r="N179" i="2"/>
  <c r="M179" i="2"/>
  <c r="L179" i="2"/>
  <c r="K179" i="2"/>
  <c r="J179" i="2"/>
  <c r="I179" i="2"/>
  <c r="H179" i="2"/>
  <c r="G179" i="2"/>
  <c r="F179" i="2"/>
  <c r="E179" i="2"/>
  <c r="D179" i="2"/>
  <c r="C179" i="2"/>
  <c r="B179" i="2"/>
  <c r="BM178" i="2"/>
  <c r="BL178" i="2"/>
  <c r="BK178" i="2"/>
  <c r="BJ178" i="2"/>
  <c r="BI178" i="2"/>
  <c r="BH178" i="2"/>
  <c r="BG178" i="2"/>
  <c r="BF178" i="2"/>
  <c r="BE178" i="2"/>
  <c r="BD178" i="2"/>
  <c r="BC178" i="2"/>
  <c r="BB178" i="2"/>
  <c r="BA178" i="2"/>
  <c r="AZ178" i="2"/>
  <c r="AY178" i="2"/>
  <c r="AX178" i="2"/>
  <c r="AW178" i="2"/>
  <c r="AV178" i="2"/>
  <c r="AU178" i="2"/>
  <c r="AT178" i="2"/>
  <c r="AS178" i="2"/>
  <c r="AR178" i="2"/>
  <c r="AQ178" i="2"/>
  <c r="AP178" i="2"/>
  <c r="AO178" i="2"/>
  <c r="AN178" i="2"/>
  <c r="AM178" i="2"/>
  <c r="AL178" i="2"/>
  <c r="AK178" i="2"/>
  <c r="AJ178" i="2"/>
  <c r="AI178" i="2"/>
  <c r="AH178" i="2"/>
  <c r="AG178" i="2"/>
  <c r="AF178" i="2"/>
  <c r="AE178" i="2"/>
  <c r="AD178" i="2"/>
  <c r="AC178" i="2"/>
  <c r="AB178" i="2"/>
  <c r="AA178" i="2"/>
  <c r="Z178" i="2"/>
  <c r="Y178" i="2"/>
  <c r="X178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H178" i="2"/>
  <c r="G178" i="2"/>
  <c r="F178" i="2"/>
  <c r="E178" i="2"/>
  <c r="D178" i="2"/>
  <c r="C178" i="2"/>
  <c r="B178" i="2"/>
  <c r="BM173" i="2"/>
  <c r="BL173" i="2"/>
  <c r="BK173" i="2"/>
  <c r="BJ173" i="2"/>
  <c r="BI173" i="2"/>
  <c r="BH173" i="2"/>
  <c r="BG173" i="2"/>
  <c r="BF173" i="2"/>
  <c r="BE173" i="2"/>
  <c r="BD173" i="2"/>
  <c r="BC173" i="2"/>
  <c r="BB173" i="2"/>
  <c r="BA173" i="2"/>
  <c r="AZ173" i="2"/>
  <c r="AY173" i="2"/>
  <c r="AX173" i="2"/>
  <c r="AW173" i="2"/>
  <c r="AV173" i="2"/>
  <c r="AU173" i="2"/>
  <c r="AT173" i="2"/>
  <c r="AS173" i="2"/>
  <c r="AR173" i="2"/>
  <c r="AQ173" i="2"/>
  <c r="AP173" i="2"/>
  <c r="AO173" i="2"/>
  <c r="AN173" i="2"/>
  <c r="AM173" i="2"/>
  <c r="AL173" i="2"/>
  <c r="AK173" i="2"/>
  <c r="AJ173" i="2"/>
  <c r="AI173" i="2"/>
  <c r="AH173" i="2"/>
  <c r="AG173" i="2"/>
  <c r="AF173" i="2"/>
  <c r="AE173" i="2"/>
  <c r="AD173" i="2"/>
  <c r="AC173" i="2"/>
  <c r="AB173" i="2"/>
  <c r="AA173" i="2"/>
  <c r="Z173" i="2"/>
  <c r="Y173" i="2"/>
  <c r="X173" i="2"/>
  <c r="W173" i="2"/>
  <c r="V173" i="2"/>
  <c r="U173" i="2"/>
  <c r="T173" i="2"/>
  <c r="S173" i="2"/>
  <c r="R173" i="2"/>
  <c r="Q173" i="2"/>
  <c r="P173" i="2"/>
  <c r="O173" i="2"/>
  <c r="N173" i="2"/>
  <c r="M173" i="2"/>
  <c r="L173" i="2"/>
  <c r="K173" i="2"/>
  <c r="J173" i="2"/>
  <c r="I173" i="2"/>
  <c r="H173" i="2"/>
  <c r="G173" i="2"/>
  <c r="F173" i="2"/>
  <c r="E173" i="2"/>
  <c r="D173" i="2"/>
  <c r="C173" i="2"/>
  <c r="B173" i="2"/>
  <c r="BM172" i="2"/>
  <c r="BL172" i="2"/>
  <c r="BK172" i="2"/>
  <c r="BJ172" i="2"/>
  <c r="BI172" i="2"/>
  <c r="BH172" i="2"/>
  <c r="BG172" i="2"/>
  <c r="BF172" i="2"/>
  <c r="BE172" i="2"/>
  <c r="BD172" i="2"/>
  <c r="BC172" i="2"/>
  <c r="BB172" i="2"/>
  <c r="BA172" i="2"/>
  <c r="AZ172" i="2"/>
  <c r="AY172" i="2"/>
  <c r="AX172" i="2"/>
  <c r="AW172" i="2"/>
  <c r="AV172" i="2"/>
  <c r="AU172" i="2"/>
  <c r="AT172" i="2"/>
  <c r="AS172" i="2"/>
  <c r="AR172" i="2"/>
  <c r="AQ172" i="2"/>
  <c r="AP172" i="2"/>
  <c r="AO172" i="2"/>
  <c r="AN172" i="2"/>
  <c r="AM172" i="2"/>
  <c r="AL172" i="2"/>
  <c r="AK172" i="2"/>
  <c r="AJ172" i="2"/>
  <c r="AI172" i="2"/>
  <c r="AH172" i="2"/>
  <c r="AG172" i="2"/>
  <c r="AF172" i="2"/>
  <c r="AE172" i="2"/>
  <c r="AD172" i="2"/>
  <c r="AC172" i="2"/>
  <c r="AB172" i="2"/>
  <c r="AA172" i="2"/>
  <c r="Z172" i="2"/>
  <c r="Y172" i="2"/>
  <c r="X172" i="2"/>
  <c r="W172" i="2"/>
  <c r="V172" i="2"/>
  <c r="U172" i="2"/>
  <c r="T172" i="2"/>
  <c r="S172" i="2"/>
  <c r="R172" i="2"/>
  <c r="Q172" i="2"/>
  <c r="P172" i="2"/>
  <c r="O172" i="2"/>
  <c r="N172" i="2"/>
  <c r="M172" i="2"/>
  <c r="L172" i="2"/>
  <c r="K172" i="2"/>
  <c r="J172" i="2"/>
  <c r="I172" i="2"/>
  <c r="H172" i="2"/>
  <c r="G172" i="2"/>
  <c r="F172" i="2"/>
  <c r="E172" i="2"/>
  <c r="D172" i="2"/>
  <c r="C172" i="2"/>
  <c r="B172" i="2"/>
  <c r="AO168" i="2"/>
  <c r="AN168" i="2"/>
  <c r="AM168" i="2"/>
  <c r="AL168" i="2"/>
  <c r="AK168" i="2"/>
  <c r="AJ168" i="2"/>
  <c r="AI168" i="2"/>
  <c r="AH168" i="2"/>
  <c r="AD168" i="2"/>
  <c r="D168" i="2"/>
  <c r="C168" i="2"/>
  <c r="B168" i="2"/>
  <c r="AO167" i="2"/>
  <c r="AN167" i="2"/>
  <c r="AM167" i="2"/>
  <c r="AL167" i="2"/>
  <c r="AJ167" i="2"/>
  <c r="AI167" i="2"/>
  <c r="AH167" i="2"/>
  <c r="AD167" i="2"/>
  <c r="D167" i="2"/>
  <c r="C167" i="2"/>
  <c r="B167" i="2"/>
  <c r="BG163" i="2"/>
  <c r="BC163" i="2"/>
  <c r="BV190" i="2" s="1"/>
  <c r="BB163" i="2"/>
  <c r="BU190" i="2" s="1"/>
  <c r="BA163" i="2"/>
  <c r="BT190" i="2" s="1"/>
  <c r="AZ163" i="2"/>
  <c r="BS190" i="2" s="1"/>
  <c r="AY163" i="2"/>
  <c r="AX163" i="2"/>
  <c r="AW163" i="2"/>
  <c r="AV163" i="2"/>
  <c r="AU163" i="2"/>
  <c r="AT163" i="2"/>
  <c r="AP163" i="2"/>
  <c r="AN163" i="2"/>
  <c r="AM163" i="2"/>
  <c r="AL163" i="2"/>
  <c r="AK163" i="2"/>
  <c r="AI163" i="2"/>
  <c r="AH163" i="2"/>
  <c r="AG163" i="2"/>
  <c r="AF163" i="2"/>
  <c r="AD163" i="2"/>
  <c r="AC163" i="2"/>
  <c r="AB163" i="2"/>
  <c r="AA163" i="2"/>
  <c r="Y163" i="2"/>
  <c r="X163" i="2"/>
  <c r="W163" i="2"/>
  <c r="V163" i="2"/>
  <c r="T163" i="2"/>
  <c r="S163" i="2"/>
  <c r="R163" i="2"/>
  <c r="Q163" i="2"/>
  <c r="O163" i="2"/>
  <c r="N163" i="2"/>
  <c r="M163" i="2"/>
  <c r="L163" i="2"/>
  <c r="J163" i="2"/>
  <c r="I163" i="2"/>
  <c r="H163" i="2"/>
  <c r="F163" i="2"/>
  <c r="E163" i="2"/>
  <c r="BG162" i="2"/>
  <c r="AY162" i="2"/>
  <c r="BM190" i="2" s="1"/>
  <c r="AX162" i="2"/>
  <c r="BL190" i="2" s="1"/>
  <c r="AW162" i="2"/>
  <c r="BK190" i="2" s="1"/>
  <c r="AV162" i="2"/>
  <c r="AU162" i="2"/>
  <c r="AT162" i="2"/>
  <c r="AP162" i="2"/>
  <c r="AN162" i="2"/>
  <c r="AM162" i="2"/>
  <c r="AL162" i="2"/>
  <c r="AK162" i="2"/>
  <c r="AI162" i="2"/>
  <c r="AH162" i="2"/>
  <c r="AO190" i="2" s="1"/>
  <c r="AG162" i="2"/>
  <c r="AN190" i="2" s="1"/>
  <c r="AF162" i="2"/>
  <c r="AL190" i="2" s="1"/>
  <c r="AD162" i="2"/>
  <c r="AC162" i="2"/>
  <c r="AI190" i="2" s="1"/>
  <c r="AB162" i="2"/>
  <c r="AH190" i="2" s="1"/>
  <c r="AA162" i="2"/>
  <c r="Y162" i="2"/>
  <c r="AV190" i="2" s="1"/>
  <c r="X162" i="2"/>
  <c r="W162" i="2"/>
  <c r="AT190" i="2" s="1"/>
  <c r="V162" i="2"/>
  <c r="T162" i="2"/>
  <c r="S162" i="2"/>
  <c r="Y190" i="2" s="1"/>
  <c r="R162" i="2"/>
  <c r="X190" i="2" s="1"/>
  <c r="Q162" i="2"/>
  <c r="W190" i="2" s="1"/>
  <c r="O162" i="2"/>
  <c r="N162" i="2"/>
  <c r="T190" i="2" s="1"/>
  <c r="M162" i="2"/>
  <c r="L162" i="2"/>
  <c r="J162" i="2"/>
  <c r="AE190" i="2" s="1"/>
  <c r="I162" i="2"/>
  <c r="H162" i="2"/>
  <c r="AC190" i="2" s="1"/>
  <c r="F162" i="2"/>
  <c r="E162" i="2"/>
  <c r="AW156" i="2"/>
  <c r="AD190" i="2" l="1"/>
  <c r="AU190" i="2"/>
  <c r="AG190" i="2"/>
  <c r="AX190" i="2"/>
  <c r="U190" i="2"/>
  <c r="AJ190" i="2"/>
  <c r="AB190" i="2"/>
  <c r="AR190" i="2"/>
  <c r="Z190" i="2"/>
  <c r="AP190" i="2"/>
  <c r="N167" i="2"/>
  <c r="N168" i="2"/>
  <c r="M167" i="2"/>
  <c r="P167" i="2"/>
  <c r="R150" i="2"/>
  <c r="DM190" i="2" l="1"/>
  <c r="L167" i="2"/>
  <c r="L168" i="2"/>
  <c r="AX157" i="2"/>
  <c r="AW157" i="2"/>
  <c r="AY157" i="2"/>
  <c r="AX156" i="2"/>
  <c r="BR190" i="2" l="1"/>
  <c r="H151" i="2"/>
  <c r="H150" i="2"/>
  <c r="O168" i="2"/>
  <c r="P168" i="2"/>
  <c r="DO190" i="2" s="1"/>
  <c r="M168" i="2"/>
  <c r="DL190" i="2" s="1"/>
  <c r="O167" i="2"/>
  <c r="DN190" i="2" s="1"/>
  <c r="Q168" i="2"/>
  <c r="Q167" i="2"/>
  <c r="DP190" i="2" s="1"/>
  <c r="H156" i="2" l="1"/>
  <c r="C156" i="2"/>
  <c r="H157" i="2"/>
  <c r="C157" i="2"/>
  <c r="G156" i="2"/>
  <c r="CO196" i="2"/>
  <c r="CN196" i="2"/>
  <c r="CM196" i="2"/>
  <c r="BY196" i="2"/>
  <c r="CA196" i="2"/>
  <c r="CB196" i="2"/>
  <c r="CC196" i="2"/>
  <c r="CD196" i="2"/>
  <c r="CE196" i="2"/>
  <c r="CG196" i="2"/>
  <c r="CH196" i="2"/>
  <c r="CI196" i="2"/>
  <c r="CJ196" i="2"/>
  <c r="CK196" i="2"/>
  <c r="CL196" i="2"/>
  <c r="BZ196" i="2"/>
  <c r="BX196" i="2"/>
  <c r="BW196" i="2"/>
  <c r="BV196" i="2"/>
  <c r="BU196" i="2"/>
  <c r="BS196" i="2"/>
  <c r="BR196" i="2"/>
  <c r="BQ196" i="2"/>
  <c r="BP196" i="2"/>
  <c r="BT196" i="2"/>
  <c r="DF190" i="2" l="1"/>
  <c r="DG190" i="2"/>
  <c r="AV156" i="2"/>
  <c r="AA150" i="2"/>
  <c r="E196" i="2"/>
  <c r="D196" i="2"/>
  <c r="C196" i="2"/>
  <c r="B196" i="2"/>
  <c r="AD157" i="2" l="1"/>
  <c r="R168" i="2" l="1"/>
  <c r="CF196" i="2"/>
  <c r="V168" i="2" l="1"/>
  <c r="N157" i="2"/>
  <c r="S168" i="2"/>
  <c r="Z150" i="2"/>
  <c r="N156" i="2"/>
  <c r="V167" i="2"/>
  <c r="DK190" i="2" s="1"/>
  <c r="Y150" i="2"/>
  <c r="G150" i="2"/>
  <c r="C150" i="2" l="1"/>
  <c r="S167" i="2"/>
  <c r="DH190" i="2" s="1"/>
  <c r="T167" i="2"/>
  <c r="T168" i="2"/>
  <c r="U167" i="2"/>
  <c r="U168" i="2"/>
  <c r="AD156" i="2"/>
  <c r="M196" i="2"/>
  <c r="DJ190" i="2" l="1"/>
  <c r="DI190" i="2"/>
  <c r="R167" i="2"/>
  <c r="DR190" i="2" s="1"/>
  <c r="BO196" i="2" l="1"/>
  <c r="BM196" i="2"/>
  <c r="BL196" i="2"/>
  <c r="BK196" i="2"/>
  <c r="BJ196" i="2"/>
  <c r="BH196" i="2"/>
  <c r="BG196" i="2"/>
  <c r="BF196" i="2"/>
  <c r="BE196" i="2"/>
  <c r="BC196" i="2"/>
  <c r="BB196" i="2"/>
  <c r="BA196" i="2"/>
  <c r="AZ196" i="2"/>
  <c r="AX196" i="2"/>
  <c r="AW196" i="2"/>
  <c r="AV196" i="2"/>
  <c r="AU196" i="2"/>
  <c r="AT196" i="2"/>
  <c r="AS196" i="2"/>
  <c r="AO196" i="2"/>
  <c r="AN196" i="2"/>
  <c r="AM196" i="2"/>
  <c r="AI196" i="2"/>
  <c r="AG196" i="2"/>
  <c r="AF196" i="2"/>
  <c r="AE196" i="2"/>
  <c r="AD196" i="2"/>
  <c r="AB196" i="2"/>
  <c r="AA196" i="2"/>
  <c r="Z196" i="2"/>
  <c r="Y196" i="2"/>
  <c r="W196" i="2"/>
  <c r="V196" i="2"/>
  <c r="U196" i="2"/>
  <c r="T196" i="2"/>
  <c r="S196" i="2"/>
  <c r="R196" i="2"/>
  <c r="Q196" i="2"/>
  <c r="P196" i="2"/>
  <c r="O196" i="2"/>
  <c r="N196" i="2"/>
  <c r="K196" i="2"/>
  <c r="J196" i="2"/>
  <c r="I196" i="2"/>
  <c r="H196" i="2"/>
  <c r="G196" i="2"/>
  <c r="F196" i="2"/>
  <c r="Q151" i="2"/>
  <c r="Q150" i="2"/>
  <c r="R156" i="2"/>
  <c r="AJ156" i="2"/>
  <c r="W156" i="2" l="1"/>
  <c r="P150" i="2"/>
  <c r="AF156" i="2"/>
  <c r="T144" i="2"/>
  <c r="AF157" i="2"/>
  <c r="P151" i="2"/>
  <c r="T145" i="2"/>
  <c r="O151" i="2"/>
  <c r="AE157" i="2"/>
  <c r="AE156" i="2"/>
  <c r="BE190" i="2" s="1"/>
  <c r="O150" i="2"/>
  <c r="AE162" i="2"/>
  <c r="AS162" i="2"/>
  <c r="AS163" i="2"/>
  <c r="AO162" i="2"/>
  <c r="AQ162" i="2"/>
  <c r="Z162" i="2"/>
  <c r="AR162" i="2"/>
  <c r="AR163" i="2"/>
  <c r="AQ163" i="2"/>
  <c r="BA194" i="2"/>
  <c r="BF190" i="2" l="1"/>
  <c r="BG190" i="2"/>
  <c r="B150" i="2"/>
  <c r="B162" i="2"/>
  <c r="Y167" i="2"/>
  <c r="X167" i="2"/>
  <c r="W167" i="2"/>
  <c r="AZ194" i="2"/>
  <c r="AY194" i="2"/>
  <c r="AX194" i="2"/>
  <c r="AW194" i="2" l="1"/>
  <c r="AV194" i="2"/>
  <c r="AU194" i="2"/>
  <c r="AE136" i="2" l="1"/>
  <c r="AE135" i="2"/>
  <c r="D151" i="2"/>
  <c r="AN150" i="2"/>
  <c r="AN156" i="2"/>
  <c r="M156" i="2"/>
  <c r="J156" i="2"/>
  <c r="I156" i="2"/>
  <c r="I150" i="2"/>
  <c r="K150" i="2"/>
  <c r="D150" i="2"/>
  <c r="C190" i="2" s="1"/>
  <c r="E150" i="2" l="1"/>
  <c r="B151" i="2"/>
  <c r="B190" i="2" s="1"/>
  <c r="AD194" i="2"/>
  <c r="AV157" i="2"/>
  <c r="N190" i="2" s="1"/>
  <c r="AA151" i="2"/>
  <c r="AF167" i="2"/>
  <c r="G162" i="2"/>
  <c r="BD162" i="2"/>
  <c r="B163" i="2"/>
  <c r="C162" i="2"/>
  <c r="D162" i="2"/>
  <c r="C163" i="2"/>
  <c r="B133" i="2"/>
  <c r="B131" i="2" s="1"/>
  <c r="BT30" i="2" s="1"/>
  <c r="BT47" i="2" s="1"/>
  <c r="BT44" i="2" s="1"/>
  <c r="T150" i="2"/>
  <c r="V144" i="2" l="1"/>
  <c r="U162" i="2"/>
  <c r="D132" i="2"/>
  <c r="D131" i="2"/>
  <c r="AG132" i="2" l="1"/>
  <c r="AF132" i="2"/>
  <c r="AE132" i="2"/>
  <c r="X134" i="2"/>
  <c r="X133" i="2"/>
  <c r="AO150" i="2"/>
  <c r="Y168" i="2"/>
  <c r="X168" i="2"/>
  <c r="W168" i="2"/>
  <c r="AZ195" i="2"/>
  <c r="AY195" i="2"/>
  <c r="AX195" i="2"/>
  <c r="E151" i="2" l="1"/>
  <c r="BI156" i="2"/>
  <c r="CP190" i="2" s="1"/>
  <c r="AC150" i="2"/>
  <c r="BI162" i="2"/>
  <c r="BE162" i="2"/>
  <c r="AF168" i="2"/>
  <c r="AV195" i="2"/>
  <c r="AU195" i="2"/>
  <c r="AW195" i="2"/>
  <c r="AC195" i="2"/>
  <c r="AC194" i="2"/>
  <c r="BD194" i="2"/>
  <c r="AD195" i="2" l="1"/>
  <c r="U151" i="2" l="1"/>
  <c r="K163" i="2" l="1"/>
  <c r="W157" i="2" l="1"/>
  <c r="W158" i="2"/>
  <c r="Z163" i="2"/>
  <c r="AW190" i="2" s="1"/>
  <c r="AJ151" i="2"/>
  <c r="BI196" i="2"/>
  <c r="U150" i="2" l="1"/>
  <c r="U152" i="2"/>
  <c r="S150" i="2"/>
  <c r="K162" i="2"/>
  <c r="AF190" i="2" s="1"/>
  <c r="P162" i="2"/>
  <c r="AH196" i="2"/>
  <c r="AJ150" i="2" l="1"/>
  <c r="AJ152" i="2"/>
  <c r="AH150" i="2"/>
  <c r="BN156" i="2"/>
  <c r="B195" i="2" l="1"/>
  <c r="B194" i="2"/>
  <c r="G157" i="2" l="1"/>
  <c r="R190" i="2" s="1"/>
  <c r="L196" i="2" l="1"/>
  <c r="AN157" i="2"/>
  <c r="BA195" i="2" l="1"/>
  <c r="AJ195" i="2" l="1"/>
  <c r="AJ194" i="2"/>
  <c r="K195" i="2"/>
  <c r="K194" i="2"/>
  <c r="E195" i="2" l="1"/>
  <c r="E194" i="2"/>
  <c r="S194" i="2" l="1"/>
  <c r="AT195" i="2"/>
  <c r="AR195" i="2"/>
  <c r="AO195" i="2"/>
  <c r="AM195" i="2"/>
  <c r="AP195" i="2" l="1"/>
  <c r="AO151" i="2"/>
  <c r="BW190" i="2" s="1"/>
  <c r="AN151" i="2"/>
  <c r="BX190" i="2" s="1"/>
  <c r="BE163" i="2" l="1"/>
  <c r="BD163" i="2"/>
  <c r="AK156" i="2"/>
  <c r="AL156" i="2"/>
  <c r="AM156" i="2" l="1"/>
  <c r="K156" i="2"/>
  <c r="G194" i="2"/>
  <c r="I151" i="2"/>
  <c r="G190" i="2" s="1"/>
  <c r="K151" i="2"/>
  <c r="I190" i="2" s="1"/>
  <c r="D163" i="2" l="1"/>
  <c r="G163" i="2"/>
  <c r="L156" i="2"/>
  <c r="F194" i="2" l="1"/>
  <c r="AZ157" i="2" l="1"/>
  <c r="F151" i="2"/>
  <c r="F168" i="2"/>
  <c r="E168" i="2"/>
  <c r="U195" i="2"/>
  <c r="BJ163" i="2"/>
  <c r="AL157" i="2"/>
  <c r="AK157" i="2"/>
  <c r="AJ157" i="2"/>
  <c r="AJ163" i="2"/>
  <c r="AE163" i="2"/>
  <c r="AK190" i="2" s="1"/>
  <c r="M157" i="2"/>
  <c r="K157" i="2"/>
  <c r="J157" i="2"/>
  <c r="I157" i="2"/>
  <c r="AD150" i="2"/>
  <c r="T151" i="2" l="1"/>
  <c r="T152" i="2"/>
  <c r="S151" i="2"/>
  <c r="L158" i="2"/>
  <c r="S152" i="2"/>
  <c r="R157" i="2"/>
  <c r="BC190" i="2" s="1"/>
  <c r="R158" i="2"/>
  <c r="U163" i="2"/>
  <c r="AA190" i="2" s="1"/>
  <c r="G168" i="2"/>
  <c r="P163" i="2"/>
  <c r="V190" i="2" s="1"/>
  <c r="H168" i="2"/>
  <c r="BJ162" i="2"/>
  <c r="CS190" i="2" s="1"/>
  <c r="I168" i="2"/>
  <c r="AO163" i="2"/>
  <c r="G195" i="2"/>
  <c r="AY196" i="2"/>
  <c r="P195" i="2"/>
  <c r="S133" i="2"/>
  <c r="X196" i="2"/>
  <c r="R133" i="2"/>
  <c r="Q133" i="2"/>
  <c r="BN196" i="2"/>
  <c r="AC196" i="2"/>
  <c r="R195" i="2"/>
  <c r="W195" i="2"/>
  <c r="T195" i="2"/>
  <c r="M195" i="2"/>
  <c r="S195" i="2"/>
  <c r="N195" i="2"/>
  <c r="AM157" i="2"/>
  <c r="L157" i="2"/>
  <c r="J195" i="2" l="1"/>
  <c r="H195" i="2"/>
  <c r="F195" i="2"/>
  <c r="BN157" i="2" l="1"/>
  <c r="AM190" i="2" s="1"/>
  <c r="AH151" i="2"/>
  <c r="AH152" i="2"/>
  <c r="BO157" i="2"/>
  <c r="AI151" i="2"/>
  <c r="O195" i="2"/>
  <c r="I195" i="2" l="1"/>
  <c r="BD195" i="2"/>
  <c r="BB195" i="2"/>
  <c r="AI195" i="2"/>
  <c r="BB194" i="2"/>
  <c r="AI194" i="2"/>
  <c r="L195" i="2"/>
  <c r="L194" i="2"/>
  <c r="Y195" i="2"/>
  <c r="Y194" i="2"/>
  <c r="AF136" i="2"/>
  <c r="AF135" i="2"/>
  <c r="AE168" i="2"/>
  <c r="AE167" i="2"/>
  <c r="AT194" i="2"/>
  <c r="AP194" i="2"/>
  <c r="AR194" i="2"/>
  <c r="AO194" i="2"/>
  <c r="F206" i="2"/>
  <c r="F205" i="2"/>
  <c r="G206" i="2"/>
  <c r="G205" i="2"/>
  <c r="AM194" i="2"/>
  <c r="AG136" i="2"/>
  <c r="Z195" i="2"/>
  <c r="AZ156" i="2"/>
  <c r="F167" i="2"/>
  <c r="E167" i="2"/>
  <c r="U194" i="2"/>
  <c r="Z194" i="2"/>
  <c r="AJ133" i="2"/>
  <c r="AJ131" i="2" s="1"/>
  <c r="BV30" i="2" s="1"/>
  <c r="BV47" i="2" s="1"/>
  <c r="BV44" i="2" s="1"/>
  <c r="V195" i="2"/>
  <c r="AK195" i="2"/>
  <c r="AL194" i="2"/>
  <c r="AM158" i="2"/>
  <c r="C195" i="2"/>
  <c r="C194" i="2"/>
  <c r="F150" i="2" l="1"/>
  <c r="AF194" i="2"/>
  <c r="AG168" i="2"/>
  <c r="AG167" i="2"/>
  <c r="AF195" i="2"/>
  <c r="V145" i="2"/>
  <c r="AJ162" i="2"/>
  <c r="AQ190" i="2" s="1"/>
  <c r="G167" i="2"/>
  <c r="I167" i="2"/>
  <c r="R194" i="2"/>
  <c r="BD196" i="2"/>
  <c r="P194" i="2"/>
  <c r="W194" i="2"/>
  <c r="AA194" i="2"/>
  <c r="Q194" i="2"/>
  <c r="N194" i="2"/>
  <c r="AG135" i="2"/>
  <c r="AB194" i="2"/>
  <c r="AA195" i="2"/>
  <c r="M194" i="2"/>
  <c r="Q195" i="2"/>
  <c r="D194" i="2"/>
  <c r="D195" i="2"/>
  <c r="T194" i="2"/>
  <c r="AB195" i="2"/>
  <c r="AL131" i="2"/>
  <c r="AL132" i="2"/>
  <c r="AE194" i="2"/>
  <c r="AL195" i="2"/>
  <c r="AL134" i="2"/>
  <c r="AK194" i="2"/>
  <c r="X194" i="2"/>
  <c r="AE195" i="2"/>
  <c r="D134" i="2"/>
  <c r="D133" i="2" s="1"/>
  <c r="B132" i="2" s="1"/>
  <c r="BT37" i="2" s="1"/>
  <c r="BT50" i="2" s="1"/>
  <c r="X195" i="2"/>
  <c r="V194" i="2"/>
  <c r="BO156" i="2" l="1"/>
  <c r="AS190" i="2" s="1"/>
  <c r="AI152" i="2"/>
  <c r="AI150" i="2"/>
  <c r="AD135" i="2"/>
  <c r="AL133" i="2"/>
  <c r="AJ132" i="2" s="1"/>
  <c r="BV37" i="2" s="1"/>
  <c r="BV50" i="2" s="1"/>
  <c r="J194" i="2" l="1"/>
  <c r="AD136" i="2"/>
  <c r="H194" i="2"/>
  <c r="O194" i="2"/>
  <c r="I194" i="2" l="1"/>
  <c r="T4" i="9" l="1"/>
  <c r="T5" i="9"/>
  <c r="T6" i="9"/>
  <c r="T7" i="9"/>
  <c r="T8" i="9"/>
  <c r="T9" i="9"/>
  <c r="M4" i="9"/>
  <c r="M5" i="9"/>
  <c r="M6" i="9"/>
  <c r="M7" i="9"/>
  <c r="M8" i="9"/>
  <c r="M9" i="9"/>
  <c r="T3" i="9"/>
  <c r="M3" i="9"/>
  <c r="C40" i="10" l="1"/>
  <c r="D40" i="10"/>
  <c r="E40" i="10"/>
  <c r="F40" i="10"/>
  <c r="G40" i="10"/>
  <c r="H40" i="10"/>
  <c r="I40" i="10"/>
  <c r="J40" i="10"/>
  <c r="B40" i="10"/>
  <c r="C17" i="10"/>
  <c r="D17" i="10"/>
  <c r="E17" i="10"/>
  <c r="F17" i="10"/>
  <c r="G17" i="10"/>
  <c r="H17" i="10"/>
  <c r="I17" i="10"/>
  <c r="J17" i="10"/>
  <c r="B17" i="10"/>
  <c r="T10" i="9" l="1"/>
  <c r="S10" i="9"/>
  <c r="Q10" i="9"/>
  <c r="O10" i="9"/>
  <c r="M10" i="9"/>
  <c r="L10" i="9"/>
  <c r="J10" i="9"/>
  <c r="L191" i="2" l="1"/>
</calcChain>
</file>

<file path=xl/sharedStrings.xml><?xml version="1.0" encoding="utf-8"?>
<sst xmlns="http://schemas.openxmlformats.org/spreadsheetml/2006/main" count="4349" uniqueCount="1744">
  <si>
    <t>САР</t>
  </si>
  <si>
    <t xml:space="preserve">CL </t>
  </si>
  <si>
    <t>Общ.ам.</t>
  </si>
  <si>
    <t>Св.ам.</t>
  </si>
  <si>
    <t>Время</t>
  </si>
  <si>
    <t>1гр.</t>
  </si>
  <si>
    <t>2гр.</t>
  </si>
  <si>
    <t>3гр.</t>
  </si>
  <si>
    <t>Вакуум</t>
  </si>
  <si>
    <t>Пр.т.</t>
  </si>
  <si>
    <t>Вак.</t>
  </si>
  <si>
    <t>Аб.</t>
  </si>
  <si>
    <t>СП</t>
  </si>
  <si>
    <t>СаО</t>
  </si>
  <si>
    <t>1-2гр.</t>
  </si>
  <si>
    <t>4К</t>
  </si>
  <si>
    <t>М 5</t>
  </si>
  <si>
    <t>№</t>
  </si>
  <si>
    <t>об.в.</t>
  </si>
  <si>
    <t>ПВФЛ</t>
  </si>
  <si>
    <t>№ маш.</t>
  </si>
  <si>
    <t>ПГКл 2</t>
  </si>
  <si>
    <t>№ эл.</t>
  </si>
  <si>
    <t>СФЖ</t>
  </si>
  <si>
    <t>ДСЖ</t>
  </si>
  <si>
    <t>страница 1</t>
  </si>
  <si>
    <t>Температура</t>
  </si>
  <si>
    <t>№ кл</t>
  </si>
  <si>
    <t>ср.зн.</t>
  </si>
  <si>
    <t>ХГДС</t>
  </si>
  <si>
    <t>КДС</t>
  </si>
  <si>
    <t>АБ1</t>
  </si>
  <si>
    <t>Р низа</t>
  </si>
  <si>
    <t>Дс.</t>
  </si>
  <si>
    <t>ТДС</t>
  </si>
  <si>
    <t>эл.</t>
  </si>
  <si>
    <t>%</t>
  </si>
  <si>
    <t>страница 2</t>
  </si>
  <si>
    <t>Пр.вода</t>
  </si>
  <si>
    <t>Дополнительные анализы</t>
  </si>
  <si>
    <t>2 вход</t>
  </si>
  <si>
    <t>вак. до цикл.</t>
  </si>
  <si>
    <t>Наиммен.</t>
  </si>
  <si>
    <t>Наимен.</t>
  </si>
  <si>
    <t>М 6</t>
  </si>
  <si>
    <t>М 7</t>
  </si>
  <si>
    <t>М 9</t>
  </si>
  <si>
    <t>t после</t>
  </si>
  <si>
    <t>хол-ка</t>
  </si>
  <si>
    <t>Р пара 16 атм.</t>
  </si>
  <si>
    <t>Р пара 36 атм.</t>
  </si>
  <si>
    <t>1вх</t>
  </si>
  <si>
    <t>2вх</t>
  </si>
  <si>
    <t>ф.г.</t>
  </si>
  <si>
    <t>К  А</t>
  </si>
  <si>
    <t>К  Б</t>
  </si>
  <si>
    <t>Вакуум на всасе</t>
  </si>
  <si>
    <t>Тяжелая сода ∆ 20</t>
  </si>
  <si>
    <t>Кл</t>
  </si>
  <si>
    <t>Дата</t>
  </si>
  <si>
    <t>Смена</t>
  </si>
  <si>
    <t>Бригада</t>
  </si>
  <si>
    <t>мм рт ст</t>
  </si>
  <si>
    <t>МОНИКИ</t>
  </si>
  <si>
    <t>Расход очищенного рассола</t>
  </si>
  <si>
    <t>ПОКАЗАТЕЛИ РАБОТЫ ПК</t>
  </si>
  <si>
    <t>Рас/б-та</t>
  </si>
  <si>
    <t>газа</t>
  </si>
  <si>
    <t>Вак.СП</t>
  </si>
  <si>
    <t>Давл.воздуха</t>
  </si>
  <si>
    <t>ИП</t>
  </si>
  <si>
    <t>Cl</t>
  </si>
  <si>
    <t>САРа</t>
  </si>
  <si>
    <t>ПВФ</t>
  </si>
  <si>
    <t>потери</t>
  </si>
  <si>
    <t>титр</t>
  </si>
  <si>
    <t>VСАР</t>
  </si>
  <si>
    <t>нач.см.</t>
  </si>
  <si>
    <t>VСФЖ</t>
  </si>
  <si>
    <t>л/ф</t>
  </si>
  <si>
    <t>W</t>
  </si>
  <si>
    <t>б/ф</t>
  </si>
  <si>
    <t>Потери</t>
  </si>
  <si>
    <t>Расходные коэффициенты</t>
  </si>
  <si>
    <t>Наименование</t>
  </si>
  <si>
    <t>l смена</t>
  </si>
  <si>
    <t>ll смена</t>
  </si>
  <si>
    <t xml:space="preserve">    ______________</t>
  </si>
  <si>
    <t>подпись</t>
  </si>
  <si>
    <t>Сведения приняты:</t>
  </si>
  <si>
    <t xml:space="preserve">за </t>
  </si>
  <si>
    <t>смена</t>
  </si>
  <si>
    <t>t н.</t>
  </si>
  <si>
    <t>Св.</t>
  </si>
  <si>
    <t>Т.кл</t>
  </si>
  <si>
    <t>Clсфж</t>
  </si>
  <si>
    <t>Clст  б.ф.</t>
  </si>
  <si>
    <t>Clст л.ф.</t>
  </si>
  <si>
    <t>Ут. Ст. б.ф.</t>
  </si>
  <si>
    <t>Ут. Ст. л.ф.</t>
  </si>
  <si>
    <t>Вл.</t>
  </si>
  <si>
    <t>Cl шл</t>
  </si>
  <si>
    <t>Вак</t>
  </si>
  <si>
    <t>Сода</t>
  </si>
  <si>
    <t>t пк</t>
  </si>
  <si>
    <t>Расход</t>
  </si>
  <si>
    <t>Давление</t>
  </si>
  <si>
    <t>V</t>
  </si>
  <si>
    <t>Титр</t>
  </si>
  <si>
    <t>кл</t>
  </si>
  <si>
    <t>ст.       б.ф.</t>
  </si>
  <si>
    <t>ст.      л.ф.</t>
  </si>
  <si>
    <t>сфж</t>
  </si>
  <si>
    <t>АБ</t>
  </si>
  <si>
    <t>1 вх</t>
  </si>
  <si>
    <t>ПГКл</t>
  </si>
  <si>
    <t>тдс</t>
  </si>
  <si>
    <t>ком.</t>
  </si>
  <si>
    <t xml:space="preserve">ХГДС </t>
  </si>
  <si>
    <t>соды</t>
  </si>
  <si>
    <t>в бор(м)</t>
  </si>
  <si>
    <t>в бор(г)</t>
  </si>
  <si>
    <t>рекупер.</t>
  </si>
  <si>
    <t>топ.м.</t>
  </si>
  <si>
    <t>топ.г.</t>
  </si>
  <si>
    <t>мазута</t>
  </si>
  <si>
    <t>шн./час</t>
  </si>
  <si>
    <t>ХГСП</t>
  </si>
  <si>
    <t>Общ. ам.</t>
  </si>
  <si>
    <t>СО2</t>
  </si>
  <si>
    <t>реч.в.</t>
  </si>
  <si>
    <t>№ п/п</t>
  </si>
  <si>
    <t>Вакуум мм.в.ст.</t>
  </si>
  <si>
    <t>1 л/ф</t>
  </si>
  <si>
    <t>2 л/ф</t>
  </si>
  <si>
    <t>к-во ш/ч</t>
  </si>
  <si>
    <t>смена1</t>
  </si>
  <si>
    <t>смена2</t>
  </si>
  <si>
    <t>к-во откл</t>
  </si>
  <si>
    <t>пр. воды</t>
  </si>
  <si>
    <t>1 сода</t>
  </si>
  <si>
    <t>3 сода</t>
  </si>
  <si>
    <r>
      <t>СО</t>
    </r>
    <r>
      <rPr>
        <b/>
        <vertAlign val="subscript"/>
        <sz val="8"/>
        <rFont val="Times New Roman"/>
        <family val="1"/>
        <charset val="204"/>
      </rPr>
      <t>2</t>
    </r>
  </si>
  <si>
    <r>
      <t xml:space="preserve">СО </t>
    </r>
    <r>
      <rPr>
        <b/>
        <vertAlign val="subscript"/>
        <sz val="10"/>
        <rFont val="Times New Roman"/>
        <family val="1"/>
        <charset val="204"/>
      </rPr>
      <t>2</t>
    </r>
  </si>
  <si>
    <r>
      <t>NН</t>
    </r>
    <r>
      <rPr>
        <b/>
        <vertAlign val="subscript"/>
        <sz val="8"/>
        <rFont val="Times New Roman"/>
        <family val="1"/>
        <charset val="204"/>
      </rPr>
      <t>3</t>
    </r>
  </si>
  <si>
    <t>пр-во КС № 1</t>
  </si>
  <si>
    <t>ПрТ, %</t>
  </si>
  <si>
    <t>NaCl, %</t>
  </si>
  <si>
    <t>Fe2O3, %</t>
  </si>
  <si>
    <t>max</t>
  </si>
  <si>
    <t>min</t>
  </si>
  <si>
    <t>ср.знач.</t>
  </si>
  <si>
    <t xml:space="preserve">марка А </t>
  </si>
  <si>
    <t>Условное обозначение:</t>
  </si>
  <si>
    <t>-среднее аналитическое значение за смену</t>
  </si>
  <si>
    <t>Расшифровка</t>
  </si>
  <si>
    <t>Промыватель воздуха фильтров</t>
  </si>
  <si>
    <t>Сборник аммонизированного рассола</t>
  </si>
  <si>
    <t>КлПК</t>
  </si>
  <si>
    <t>Холодильник газа дистилляции</t>
  </si>
  <si>
    <t>Промыватель газа абсорбции</t>
  </si>
  <si>
    <t>Нитка № 2</t>
  </si>
  <si>
    <t>Рейдлер 4-б</t>
  </si>
  <si>
    <t>Экономист ПЭУ</t>
  </si>
  <si>
    <t>4гр.</t>
  </si>
  <si>
    <t>мин</t>
  </si>
  <si>
    <t>макс</t>
  </si>
  <si>
    <t>кол. Ан</t>
  </si>
  <si>
    <t>кол. Откл</t>
  </si>
  <si>
    <t>Мастер смены отд. АД-1:</t>
  </si>
  <si>
    <t>ОТДЕЛЕНИЕ -1 ЦЕХА КОМПРЕСИИ</t>
  </si>
  <si>
    <t>223А</t>
  </si>
  <si>
    <t xml:space="preserve">Холодильник газа содовых печей (паровых кальцинаторов) </t>
  </si>
  <si>
    <t xml:space="preserve">окалина </t>
  </si>
  <si>
    <t>Нитка № 1</t>
  </si>
  <si>
    <t>1л/ф</t>
  </si>
  <si>
    <t>2л/ф</t>
  </si>
  <si>
    <t>отклонения показателей от технологического регламента</t>
  </si>
  <si>
    <t>газ ИП</t>
  </si>
  <si>
    <t>ПК4</t>
  </si>
  <si>
    <t>И.С. Нохрина</t>
  </si>
  <si>
    <t>ХГСП (ХГПК)</t>
  </si>
  <si>
    <t>ПГАБ</t>
  </si>
  <si>
    <t>количество</t>
  </si>
  <si>
    <t>Лаборатория №3</t>
  </si>
  <si>
    <t>ИС</t>
  </si>
  <si>
    <t>Испаритель</t>
  </si>
  <si>
    <t>на производство кальцинированной соды марки  "Б"</t>
  </si>
  <si>
    <t>кол-во</t>
  </si>
  <si>
    <t>ДС</t>
  </si>
  <si>
    <t>ШЛ</t>
  </si>
  <si>
    <t>№№</t>
  </si>
  <si>
    <t>пп</t>
  </si>
  <si>
    <t>Метод испытания и средство контроля, НД</t>
  </si>
  <si>
    <t>Кто</t>
  </si>
  <si>
    <t>контролирует</t>
  </si>
  <si>
    <t>1.1.</t>
  </si>
  <si>
    <t>Каждая партия</t>
  </si>
  <si>
    <t>ГОСТ 9-92</t>
  </si>
  <si>
    <t>Лаборатория № 4</t>
  </si>
  <si>
    <t>1.2.</t>
  </si>
  <si>
    <t>Гидросульфид натрия технический, водный раствор</t>
  </si>
  <si>
    <t xml:space="preserve">Каждая партия </t>
  </si>
  <si>
    <t>Лаборатория № 3</t>
  </si>
  <si>
    <t>Рассол очищенный (для производства кальцинированной соды)</t>
  </si>
  <si>
    <t>1 раз в смену</t>
  </si>
  <si>
    <t>Лаборатория ОТиВК</t>
  </si>
  <si>
    <t>Отбор проб</t>
  </si>
  <si>
    <t>Аппаратчик</t>
  </si>
  <si>
    <t>1 раз в декаду</t>
  </si>
  <si>
    <t>2 раза в смену</t>
  </si>
  <si>
    <t>Лаборатория № 3 в присутствии аппаратчика</t>
  </si>
  <si>
    <t>1 раз в сутки</t>
  </si>
  <si>
    <t>1-2 раза в смену</t>
  </si>
  <si>
    <t>4.Станция фильтрации</t>
  </si>
  <si>
    <t>(наработка соды кальцинированной марки Б с массовой долей хлоридов не более 0,15 %)</t>
  </si>
  <si>
    <t>Массовая доля влаги, %, не более</t>
  </si>
  <si>
    <t>4.4.</t>
  </si>
  <si>
    <t>2 раза в смену  с группы вакуум фильтров</t>
  </si>
  <si>
    <t xml:space="preserve">1 раз в смену </t>
  </si>
  <si>
    <t>(наработка соды кальцинированной марки Б с массовой долей хлоридов не более 0,5 %)</t>
  </si>
  <si>
    <t>5.4.</t>
  </si>
  <si>
    <t>6.Станция охлаждения и промывки газа содовых печей (паровых кальцинаторов) отделения Карбонизации-1</t>
  </si>
  <si>
    <t>0,53 (0,30)</t>
  </si>
  <si>
    <t xml:space="preserve">Аппаратчик в присутствии Лаборатории № 3 </t>
  </si>
  <si>
    <t>3,5 (2,5)</t>
  </si>
  <si>
    <t>Аппаратчик в присутствии Лаборатории № 3</t>
  </si>
  <si>
    <t>по требованию</t>
  </si>
  <si>
    <t>Состав:Массовая доля гидросульфида натрия (NaHS), %,  не менее</t>
  </si>
  <si>
    <t>Наименование стадии процесса, места измерения параметров или отбора проб</t>
  </si>
  <si>
    <t>Контролируемый параметр</t>
  </si>
  <si>
    <t>Частота и способ контроля</t>
  </si>
  <si>
    <t>Норма и технический показатель</t>
  </si>
  <si>
    <t>Лаборатория № 3 Аппаратчик</t>
  </si>
  <si>
    <t>замер</t>
  </si>
  <si>
    <t>Дистиллер</t>
  </si>
  <si>
    <t>нитка №1, 2, 3</t>
  </si>
  <si>
    <t>Технологические нитки соды марки Б после содовых печей</t>
  </si>
  <si>
    <t>Давление пара</t>
  </si>
  <si>
    <t>Вакуум общий</t>
  </si>
  <si>
    <t>Расход бикарбоната</t>
  </si>
  <si>
    <t>К  А, К Б</t>
  </si>
  <si>
    <t>Компрессор "Моника"</t>
  </si>
  <si>
    <t>М1, М2, М3, М4, М5, М6, М7, М8, М9</t>
  </si>
  <si>
    <t>Давление воздуха</t>
  </si>
  <si>
    <t>В/общ</t>
  </si>
  <si>
    <t xml:space="preserve">Смена  </t>
  </si>
  <si>
    <t>-</t>
  </si>
  <si>
    <t>S Сара</t>
  </si>
  <si>
    <t>СL ДС</t>
  </si>
  <si>
    <t>СL Кл.</t>
  </si>
  <si>
    <t>СL б/ф</t>
  </si>
  <si>
    <t>СL л/ф</t>
  </si>
  <si>
    <t>дата</t>
  </si>
  <si>
    <t>Время замера</t>
  </si>
  <si>
    <t>Отделение Кальцинации - 1</t>
  </si>
  <si>
    <t>Прожектеры отм.5,38</t>
  </si>
  <si>
    <t>Задавалка отм.10,3</t>
  </si>
  <si>
    <r>
      <t xml:space="preserve">CO, </t>
    </r>
    <r>
      <rPr>
        <sz val="11"/>
        <color indexed="8"/>
        <rFont val="Times New Roman"/>
        <family val="1"/>
        <charset val="204"/>
      </rPr>
      <t>мг/м</t>
    </r>
    <r>
      <rPr>
        <sz val="11"/>
        <rFont val="Times New Roman"/>
        <family val="1"/>
        <charset val="204"/>
      </rPr>
      <t>3</t>
    </r>
  </si>
  <si>
    <r>
      <t>NH</t>
    </r>
    <r>
      <rPr>
        <sz val="11"/>
        <color indexed="8"/>
        <rFont val="Times New Roman"/>
        <family val="1"/>
        <charset val="204"/>
      </rPr>
      <t>3, мг/м3</t>
    </r>
  </si>
  <si>
    <t>Т-р соды</t>
  </si>
  <si>
    <t>t соды</t>
  </si>
  <si>
    <t>t топоч.</t>
  </si>
  <si>
    <t>удл.бараб</t>
  </si>
  <si>
    <t>t ПК.</t>
  </si>
  <si>
    <t>t газа 1 вх</t>
  </si>
  <si>
    <t>t газа 2 вх</t>
  </si>
  <si>
    <t>t газа ф.г.</t>
  </si>
  <si>
    <t>дав-е 1 вх</t>
  </si>
  <si>
    <t>дав-е 2 вх</t>
  </si>
  <si>
    <t>дав-е ф.г.</t>
  </si>
  <si>
    <t>разр-ие газа</t>
  </si>
  <si>
    <t>удл.бар.</t>
  </si>
  <si>
    <t>расх. маз./маз</t>
  </si>
  <si>
    <t>газ</t>
  </si>
  <si>
    <t>Разр. СП</t>
  </si>
  <si>
    <t>речная</t>
  </si>
  <si>
    <t>оборотная</t>
  </si>
  <si>
    <t>нар.воздух</t>
  </si>
  <si>
    <t>давление</t>
  </si>
  <si>
    <t>СП-1</t>
  </si>
  <si>
    <t>СП-2</t>
  </si>
  <si>
    <t>СП-3</t>
  </si>
  <si>
    <t>СП-4</t>
  </si>
  <si>
    <t>СП-5</t>
  </si>
  <si>
    <t>СП-6</t>
  </si>
  <si>
    <t>СП-7</t>
  </si>
  <si>
    <t>СП-8</t>
  </si>
  <si>
    <t>удл.мм</t>
  </si>
  <si>
    <t>вакуум мм вд.ст.</t>
  </si>
  <si>
    <t>разр. мм в.ст.</t>
  </si>
  <si>
    <t>СП-9</t>
  </si>
  <si>
    <t>СП-10</t>
  </si>
  <si>
    <t>СП-11</t>
  </si>
  <si>
    <t>СП-12</t>
  </si>
  <si>
    <t>СП-13</t>
  </si>
  <si>
    <t>СП-14</t>
  </si>
  <si>
    <t>СП-15</t>
  </si>
  <si>
    <t>СП-16</t>
  </si>
  <si>
    <t>Общ. Замеры</t>
  </si>
  <si>
    <t>ПК-1</t>
  </si>
  <si>
    <t>ПК-2</t>
  </si>
  <si>
    <t>ПК-3</t>
  </si>
  <si>
    <t>ПК-4</t>
  </si>
  <si>
    <t>ПК-7</t>
  </si>
  <si>
    <t>ПК-8</t>
  </si>
  <si>
    <t>ПК-9</t>
  </si>
  <si>
    <t>ПК-10</t>
  </si>
  <si>
    <t>tC соды</t>
  </si>
  <si>
    <t>вакуум СП</t>
  </si>
  <si>
    <t>п/п</t>
  </si>
  <si>
    <t>Что контролируется</t>
  </si>
  <si>
    <t>Контролируемые параметры</t>
  </si>
  <si>
    <t>Нормы</t>
  </si>
  <si>
    <t>Частота контроля</t>
  </si>
  <si>
    <t>Кто конт-ролирует</t>
  </si>
  <si>
    <t>По регламенту</t>
  </si>
  <si>
    <t>По техрежиму</t>
  </si>
  <si>
    <t>1.</t>
  </si>
  <si>
    <t>2.</t>
  </si>
  <si>
    <t>3.</t>
  </si>
  <si>
    <t>4.</t>
  </si>
  <si>
    <t>Температура газа ХГДС на выходе, °С</t>
  </si>
  <si>
    <t>56÷62</t>
  </si>
  <si>
    <t>5.</t>
  </si>
  <si>
    <t>6.</t>
  </si>
  <si>
    <t>Температура газ на выходе из аппарата, °С, не более</t>
  </si>
  <si>
    <t>7.</t>
  </si>
  <si>
    <t>8.</t>
  </si>
  <si>
    <t>9.</t>
  </si>
  <si>
    <t>2,20 (2,00)</t>
  </si>
  <si>
    <t>10.</t>
  </si>
  <si>
    <t>Температура суспензии на выходе из колонны, °С</t>
  </si>
  <si>
    <t>25÷36</t>
  </si>
  <si>
    <t>42÷52</t>
  </si>
  <si>
    <t>11.</t>
  </si>
  <si>
    <t>12.</t>
  </si>
  <si>
    <t>13.</t>
  </si>
  <si>
    <t>14.</t>
  </si>
  <si>
    <t>15.</t>
  </si>
  <si>
    <t>16.</t>
  </si>
  <si>
    <t>17.</t>
  </si>
  <si>
    <t>Температура, °С, не более</t>
  </si>
  <si>
    <t>0,53/(0,30)</t>
  </si>
  <si>
    <t>18.</t>
  </si>
  <si>
    <t>Массовая доля хлоридов в пересчете на NaCl, %, не более</t>
  </si>
  <si>
    <t>Температура жидкости,°С, не более</t>
  </si>
  <si>
    <t>60,5÷74,8              (55,0÷68,0)</t>
  </si>
  <si>
    <t>Вакуум на машины (по прибору)</t>
  </si>
  <si>
    <t>Нитка № 3</t>
  </si>
  <si>
    <t>% (об.)</t>
  </si>
  <si>
    <t>концентрация газа в объемных  процентах</t>
  </si>
  <si>
    <t>ПЛАН АНАЛИТИЧЕСКОГО КОНТРОЛЯ</t>
  </si>
  <si>
    <t>Массовая доля железа в пересчете на Fe2O3, %,не более</t>
  </si>
  <si>
    <t>4-8 раз в смену</t>
  </si>
  <si>
    <t>0,15/0,5</t>
  </si>
  <si>
    <t>Цех Кальцинированной соды.Отделение Тяжёлой соды</t>
  </si>
  <si>
    <t>Тяжелая сода в выгружном шнеке на выходе из:  - паровых кальцинаторов ПК-5, ПК-6,ПК-11 поз7-1:3 отм.10                                 - содовых печей СП-4, СП-5,  СП-6 поз.8-4:6 отм.6.7</t>
  </si>
  <si>
    <t>Массовая доля натрия углекислого Na2CO3, %, не менее</t>
  </si>
  <si>
    <t>Массовая доля хлоридов в пересчете на NaCl,%не более*</t>
  </si>
  <si>
    <r>
      <t>0,8/0,15</t>
    </r>
    <r>
      <rPr>
        <sz val="12"/>
        <rFont val="Calibri"/>
        <family val="2"/>
        <charset val="204"/>
      </rPr>
      <t>*</t>
    </r>
  </si>
  <si>
    <t>ТЕХНИЧЕСКАЯ  КАРТА</t>
  </si>
  <si>
    <t>по контролю ведения технологического режима</t>
  </si>
  <si>
    <t xml:space="preserve">Цех Кальцинированной соды. Отделение Кальцинация -1 </t>
  </si>
  <si>
    <t>Лаборатория №4 УАК</t>
  </si>
  <si>
    <t xml:space="preserve">Массовая доля углекислого натрия Na2CO3,  % </t>
  </si>
  <si>
    <t>145-165</t>
  </si>
  <si>
    <t>165-185</t>
  </si>
  <si>
    <t>не менее 84,0</t>
  </si>
  <si>
    <t>не менее 75,0</t>
  </si>
  <si>
    <t>не менее 85</t>
  </si>
  <si>
    <t>Удлинение барабана содовой печи, мм, не более</t>
  </si>
  <si>
    <t>на природном газе</t>
  </si>
  <si>
    <t>Коллектор газа после паровых кальцинаторов КГПК № 5 отметка 22,0 м отметка.8,0 м</t>
  </si>
  <si>
    <t>ПЛАН  АНАЛИТИЧЕСКОГО  КОНТРОЛЯ</t>
  </si>
  <si>
    <t>Коллектора отходящей воды с отделения-1  (к. № 12), (к .№ 1859)</t>
  </si>
  <si>
    <t>Массовая концентрация иона аммония NH4 +, мг/дм3</t>
  </si>
  <si>
    <t>Приямок поз. 28 (конденсат с концевых холодильников, жидкость с гидрозатворов, дренажная жидкость) отм. 0,0м</t>
  </si>
  <si>
    <t>Массовая концентрация иона аммония NH4 +,мг/дм3</t>
  </si>
  <si>
    <t xml:space="preserve"> Цех Компрессии отделение 1</t>
  </si>
  <si>
    <t>Цех Компрессии отделение1</t>
  </si>
  <si>
    <t>Трубопровод газа коллектора 1-го входа</t>
  </si>
  <si>
    <t>Трубопровод газа коллектора 2-го входа</t>
  </si>
  <si>
    <t>Трубопровод газа коллектора форгаза</t>
  </si>
  <si>
    <t>0,36-0,42                                                 (3,6-4,2)</t>
  </si>
  <si>
    <t>0,25-0,33                                                 (2,5-3,3)</t>
  </si>
  <si>
    <t>0,34-0,42                                                 (3,4-4,2)</t>
  </si>
  <si>
    <t>Трубопровод газа коллектора 1-го входа, 2-го входа, и форгаза°C</t>
  </si>
  <si>
    <t>Температура, °C не более</t>
  </si>
  <si>
    <t>50-65</t>
  </si>
  <si>
    <t>не менее минус 380</t>
  </si>
  <si>
    <t>NH,</t>
  </si>
  <si>
    <t>КЛПК</t>
  </si>
  <si>
    <t>Na в очищ.рассоле по РИ за месяц</t>
  </si>
  <si>
    <t>t</t>
  </si>
  <si>
    <t>Связ. ам.</t>
  </si>
  <si>
    <t>1 л.ф.</t>
  </si>
  <si>
    <t>2 л.ф.</t>
  </si>
  <si>
    <t>II вход (газ ИП поступающий в Карб Кл)- АДК-1</t>
  </si>
  <si>
    <t xml:space="preserve">СО2 ср. зн. </t>
  </si>
  <si>
    <t>Массовая концентрация хлорид-ионов в жидкости САР, (н.д.)</t>
  </si>
  <si>
    <t>Наименование сырья, основных и вспомогательных материалов</t>
  </si>
  <si>
    <t>Расход рассола очищенного в пересчете на 100 % NaCI, (т/т.соды)</t>
  </si>
  <si>
    <t>Наименование аппарата</t>
  </si>
  <si>
    <t>№ наряда-допуска</t>
  </si>
  <si>
    <t>0,060±0,017/ (0,070±0,020)</t>
  </si>
  <si>
    <t>1 раз из усреднённой за месяц пробы</t>
  </si>
  <si>
    <t xml:space="preserve">Тяжелая сода </t>
  </si>
  <si>
    <t>мусор</t>
  </si>
  <si>
    <t>Центр.</t>
  </si>
  <si>
    <t>Северн.</t>
  </si>
  <si>
    <t>1 ввод</t>
  </si>
  <si>
    <t>2 ввод</t>
  </si>
  <si>
    <t>СТАНЦИЯ  ДИСТИЛЛЯЦИИ</t>
  </si>
  <si>
    <t>СТАНЦИЯ КАРБОНИЗАЦИИ</t>
  </si>
  <si>
    <t>СТАНЦИЯ АБСОРБЦИИ</t>
  </si>
  <si>
    <t>Аммонизированный рассол</t>
  </si>
  <si>
    <t>Разряжение</t>
  </si>
  <si>
    <t>ОТДЕЛЕНИЕ  КАЛЬЦИНАЦИИ-1</t>
  </si>
  <si>
    <t xml:space="preserve">СТАНЦИЯ  ФИЛЬТРАЦИИ      </t>
  </si>
  <si>
    <t>12 б/ф</t>
  </si>
  <si>
    <t>13 б/ф</t>
  </si>
  <si>
    <t>14 б/ф</t>
  </si>
  <si>
    <t>15 б/ф</t>
  </si>
  <si>
    <t>16 б/ф</t>
  </si>
  <si>
    <t>17 б/ф</t>
  </si>
  <si>
    <t>18 б/ф</t>
  </si>
  <si>
    <t>19 б/ф</t>
  </si>
  <si>
    <t>вакуум,мм.рт.ст.</t>
  </si>
  <si>
    <t xml:space="preserve">   Кл</t>
  </si>
  <si>
    <t>Лаборант хим.анализа</t>
  </si>
  <si>
    <t>Газ после ПГКл- II</t>
  </si>
  <si>
    <t xml:space="preserve">известковых печей </t>
  </si>
  <si>
    <t>Южн.</t>
  </si>
  <si>
    <t>Давление газа, мм.рт.ст</t>
  </si>
  <si>
    <t>Жидкость после ИС</t>
  </si>
  <si>
    <t>Дистиллерная жидкость шламопровода</t>
  </si>
  <si>
    <t>Маточная жидкость с в/ф</t>
  </si>
  <si>
    <t>в/ф</t>
  </si>
  <si>
    <t>расх. мазута кг/час</t>
  </si>
  <si>
    <t>удлинение барабана, мм</t>
  </si>
  <si>
    <t>ПГКЛ-II</t>
  </si>
  <si>
    <t>вакуум  до цикл.</t>
  </si>
  <si>
    <t>Ваккум общ.</t>
  </si>
  <si>
    <t>Вакуум СП</t>
  </si>
  <si>
    <t>Маточная жидкость</t>
  </si>
  <si>
    <t>Кто контролирует</t>
  </si>
  <si>
    <t>№№пп</t>
  </si>
  <si>
    <t>Температура, °С</t>
  </si>
  <si>
    <t>Температура выходящих газов,  °С, не более</t>
  </si>
  <si>
    <r>
      <t>не менее</t>
    </r>
    <r>
      <rPr>
        <sz val="14"/>
        <color rgb="FF000000"/>
        <rFont val="Times New Roman"/>
        <family val="1"/>
        <charset val="204"/>
      </rPr>
      <t xml:space="preserve"> </t>
    </r>
    <r>
      <rPr>
        <sz val="14"/>
        <rFont val="Times New Roman"/>
        <family val="1"/>
        <charset val="204"/>
      </rPr>
      <t>99,0</t>
    </r>
  </si>
  <si>
    <r>
      <t xml:space="preserve">не менее 90 </t>
    </r>
    <r>
      <rPr>
        <vertAlign val="superscript"/>
        <sz val="14"/>
        <rFont val="Times New Roman"/>
        <family val="1"/>
        <charset val="204"/>
      </rPr>
      <t>у</t>
    </r>
  </si>
  <si>
    <r>
      <t>не менее 80</t>
    </r>
    <r>
      <rPr>
        <vertAlign val="superscript"/>
        <sz val="14"/>
        <rFont val="Times New Roman"/>
        <family val="1"/>
        <charset val="204"/>
      </rPr>
      <t xml:space="preserve"> У</t>
    </r>
  </si>
  <si>
    <r>
      <t>Содержание СО</t>
    </r>
    <r>
      <rPr>
        <vertAlign val="subscript"/>
        <sz val="14"/>
        <rFont val="Times New Roman"/>
        <family val="1"/>
        <charset val="204"/>
      </rPr>
      <t xml:space="preserve">2   </t>
    </r>
    <r>
      <rPr>
        <sz val="14"/>
        <rFont val="Times New Roman"/>
        <family val="1"/>
        <charset val="204"/>
      </rPr>
      <t>% (об.)</t>
    </r>
  </si>
  <si>
    <r>
      <t>Топка содовых печей поз. 123</t>
    </r>
    <r>
      <rPr>
        <vertAlign val="subscript"/>
        <sz val="14"/>
        <rFont val="Times New Roman"/>
        <family val="1"/>
        <charset val="204"/>
      </rPr>
      <t xml:space="preserve">1-16  </t>
    </r>
    <r>
      <rPr>
        <sz val="14"/>
        <rFont val="Times New Roman"/>
        <family val="1"/>
        <charset val="204"/>
      </rPr>
      <t>отметка 5,8 м</t>
    </r>
  </si>
  <si>
    <r>
      <t>Содержание СО</t>
    </r>
    <r>
      <rPr>
        <vertAlign val="subscript"/>
        <sz val="14"/>
        <rFont val="Times New Roman"/>
        <family val="1"/>
        <charset val="204"/>
      </rPr>
      <t xml:space="preserve">2 </t>
    </r>
    <r>
      <rPr>
        <sz val="14"/>
        <rFont val="Times New Roman"/>
        <family val="1"/>
        <charset val="204"/>
      </rPr>
      <t xml:space="preserve"> в дымовых газах после содовой печи, % (об.), не менее</t>
    </r>
  </si>
  <si>
    <r>
      <t xml:space="preserve">Ужесточено </t>
    </r>
    <r>
      <rPr>
        <u/>
        <sz val="14"/>
        <rFont val="Times New Roman"/>
        <family val="1"/>
        <charset val="204"/>
      </rPr>
      <t xml:space="preserve">     2     </t>
    </r>
    <r>
      <rPr>
        <sz val="14"/>
        <rFont val="Times New Roman"/>
        <family val="1"/>
        <charset val="204"/>
      </rPr>
      <t xml:space="preserve"> параметров технологического режима</t>
    </r>
  </si>
  <si>
    <r>
      <t>Давление, Мпа (кгс/см</t>
    </r>
    <r>
      <rPr>
        <vertAlign val="superscript"/>
        <sz val="14"/>
        <rFont val="Times New Roman"/>
        <family val="1"/>
        <charset val="204"/>
      </rPr>
      <t>2</t>
    </r>
    <r>
      <rPr>
        <sz val="14"/>
        <rFont val="Times New Roman"/>
        <family val="1"/>
        <charset val="204"/>
      </rPr>
      <t>)</t>
    </r>
  </si>
  <si>
    <t>для РК</t>
  </si>
  <si>
    <t>Для Лаборатории №4</t>
  </si>
  <si>
    <t>Шламопровод</t>
  </si>
  <si>
    <t>Кальц. Сода</t>
  </si>
  <si>
    <t>ПК</t>
  </si>
  <si>
    <t>Cl в очищ.рассоле по РИ за месяц</t>
  </si>
  <si>
    <t xml:space="preserve">АО "БСК"    </t>
  </si>
  <si>
    <t xml:space="preserve">Расход промывной воды на ленточные вакуум-фильтры, (м³/т.соды) </t>
  </si>
  <si>
    <t>(расшифровка подписи)</t>
  </si>
  <si>
    <t>СВЕДЕНИЯ О РАСХОДНЫХ КОЭФФИЦИЕНТАХ/АНАЛИТИЧЕСКИЕ ДАННЫЕ</t>
  </si>
  <si>
    <t xml:space="preserve">должность </t>
  </si>
  <si>
    <t>УАК лаборатория №4</t>
  </si>
  <si>
    <t>Производство №5</t>
  </si>
  <si>
    <t>Общая щелочность (прямой титр), г/дм3 (н.д.), не более</t>
  </si>
  <si>
    <t>Объёмная доля углекислого газа, % (об.), не более</t>
  </si>
  <si>
    <t>Объёмная доля углекислого газа, % (об.), не менее</t>
  </si>
  <si>
    <t>Общая щелочность (прямой титр), г/дм3 (н.д.)</t>
  </si>
  <si>
    <t xml:space="preserve">0,16÷0,80
(0,20÷1,00)
</t>
  </si>
  <si>
    <r>
      <t>0,18 – 0,25</t>
    </r>
    <r>
      <rPr>
        <vertAlign val="superscript"/>
        <sz val="14"/>
        <rFont val="Times New Roman"/>
        <family val="1"/>
        <charset val="204"/>
      </rPr>
      <t>у</t>
    </r>
  </si>
  <si>
    <r>
      <t>0,20</t>
    </r>
    <r>
      <rPr>
        <vertAlign val="superscript"/>
        <sz val="14"/>
        <rFont val="Times New Roman"/>
        <family val="1"/>
        <charset val="204"/>
      </rPr>
      <t>у</t>
    </r>
  </si>
  <si>
    <t>Потери гидрокарбоната натрия, при выпуске соды с содержанием Cl- не более 0,15%, %, не более</t>
  </si>
  <si>
    <r>
      <t>163,3 (92,0)</t>
    </r>
    <r>
      <rPr>
        <vertAlign val="superscript"/>
        <sz val="14"/>
        <rFont val="Times New Roman"/>
        <family val="1"/>
        <charset val="204"/>
      </rPr>
      <t>у</t>
    </r>
  </si>
  <si>
    <t>30-40</t>
  </si>
  <si>
    <t>0,15/0,5*</t>
  </si>
  <si>
    <t>*-При наработке кальцинированной соды с содержанием хлоридов не более 0,5 %.</t>
  </si>
  <si>
    <t>производства бикарбоната натрия сырого</t>
  </si>
  <si>
    <t>Потери гидрокарбоната натрия, %, не более</t>
  </si>
  <si>
    <t>5. Станция фильтрации</t>
  </si>
  <si>
    <t>1 раз в  сутки</t>
  </si>
  <si>
    <t>Норма и технологический показатель</t>
  </si>
  <si>
    <t>7.7</t>
  </si>
  <si>
    <t xml:space="preserve">Аммиак водный технический марка А (аммиачная вода) </t>
  </si>
  <si>
    <t>Состав: Массовая доля аммиака (NH3), %, не менее</t>
  </si>
  <si>
    <r>
      <t>Массовая доля сульфида натрия (Na</t>
    </r>
    <r>
      <rPr>
        <vertAlign val="subscript"/>
        <sz val="13"/>
        <color rgb="FF000000"/>
        <rFont val="Times New Roman"/>
        <family val="1"/>
        <charset val="204"/>
      </rPr>
      <t>2</t>
    </r>
    <r>
      <rPr>
        <sz val="13"/>
        <color rgb="FF000000"/>
        <rFont val="Times New Roman"/>
        <family val="1"/>
        <charset val="204"/>
      </rPr>
      <t>S),%,  не более</t>
    </r>
  </si>
  <si>
    <t>Общая щелочность (прямой титр),г/дм3 (н.д.), не более</t>
  </si>
  <si>
    <t>3,6 (4,0)</t>
  </si>
  <si>
    <t>2.1</t>
  </si>
  <si>
    <t>2.2</t>
  </si>
  <si>
    <t>2.3</t>
  </si>
  <si>
    <t>2.4</t>
  </si>
  <si>
    <r>
      <t>Второй промыватель газа колонн поз. 9</t>
    </r>
    <r>
      <rPr>
        <vertAlign val="subscript"/>
        <sz val="13"/>
        <color rgb="FF000000"/>
        <rFont val="Times New Roman"/>
        <family val="1"/>
        <charset val="204"/>
      </rPr>
      <t>1-7</t>
    </r>
    <r>
      <rPr>
        <sz val="13"/>
        <color rgb="FF000000"/>
        <rFont val="Times New Roman"/>
        <family val="1"/>
        <charset val="204"/>
      </rPr>
      <t xml:space="preserve"> (ПГКл-II) Отбор пробы жидкости с трубопровода аппарата,отм.28.0 м</t>
    </r>
  </si>
  <si>
    <t>1 раз в декаду                         2 раза в смену</t>
  </si>
  <si>
    <t>2.5</t>
  </si>
  <si>
    <r>
      <t>Промыватель газа абсорбции поз.3</t>
    </r>
    <r>
      <rPr>
        <vertAlign val="subscript"/>
        <sz val="13"/>
        <color rgb="FF000000"/>
        <rFont val="Times New Roman"/>
        <family val="1"/>
        <charset val="204"/>
      </rPr>
      <t xml:space="preserve">1-3 </t>
    </r>
    <r>
      <rPr>
        <sz val="13"/>
        <color rgb="FF000000"/>
        <rFont val="Times New Roman"/>
        <family val="1"/>
        <charset val="204"/>
      </rPr>
      <t xml:space="preserve"> </t>
    </r>
    <r>
      <rPr>
        <b/>
        <sz val="13"/>
        <color rgb="FF000000"/>
        <rFont val="Times New Roman"/>
        <family val="1"/>
        <charset val="204"/>
      </rPr>
      <t xml:space="preserve"> (</t>
    </r>
    <r>
      <rPr>
        <sz val="13"/>
        <color rgb="FF000000"/>
        <rFont val="Times New Roman"/>
        <family val="1"/>
        <charset val="204"/>
      </rPr>
      <t>ПГАБ) Отбор  проб жидкости с трубопровода после аппарата отм. 32.0 м</t>
    </r>
  </si>
  <si>
    <t>2.6</t>
  </si>
  <si>
    <r>
      <t>Промыватель газа абсорбции</t>
    </r>
    <r>
      <rPr>
        <b/>
        <sz val="13"/>
        <color rgb="FF000000"/>
        <rFont val="Times New Roman"/>
        <family val="1"/>
        <charset val="204"/>
      </rPr>
      <t xml:space="preserve"> </t>
    </r>
    <r>
      <rPr>
        <sz val="13"/>
        <color rgb="FF000000"/>
        <rFont val="Times New Roman"/>
        <family val="1"/>
        <charset val="204"/>
      </rPr>
      <t>поз.3</t>
    </r>
    <r>
      <rPr>
        <vertAlign val="subscript"/>
        <sz val="13"/>
        <color rgb="FF000000"/>
        <rFont val="Times New Roman"/>
        <family val="1"/>
        <charset val="204"/>
      </rPr>
      <t xml:space="preserve">1-3 </t>
    </r>
    <r>
      <rPr>
        <sz val="13"/>
        <color rgb="FF000000"/>
        <rFont val="Times New Roman"/>
        <family val="1"/>
        <charset val="204"/>
      </rPr>
      <t xml:space="preserve"> (ПГАБ). Замер газа с коллектора отд. Карбонизация-1 отм. 17.0 м</t>
    </r>
  </si>
  <si>
    <t>2.7</t>
  </si>
  <si>
    <t>2.8</t>
  </si>
  <si>
    <t>0,53(0,30)</t>
  </si>
  <si>
    <t>0,16÷0,80  (0,20÷1,00)</t>
  </si>
  <si>
    <t>Коллектор   оборотной воды на входе в цех АДК-1 отм. 0.0 м</t>
  </si>
  <si>
    <t>2.10</t>
  </si>
  <si>
    <t>2.11</t>
  </si>
  <si>
    <t>Колонна предварительной карбонизации (КлПК) поз.51,Отбор проб жидкости отм. 12.0 м</t>
  </si>
  <si>
    <t>60,5÷74,8     (55,0÷68,0)</t>
  </si>
  <si>
    <t>3.1</t>
  </si>
  <si>
    <t>3.2</t>
  </si>
  <si>
    <t>Коллектор газа 1-го ввода 
(смешанный газ) в нижнюю часть 
осадительных карбоколонн 
отм. 12.0 м</t>
  </si>
  <si>
    <t>Объёмная доля углекислого газа,% (об.), не менее</t>
  </si>
  <si>
    <t>3.3</t>
  </si>
  <si>
    <r>
      <t>Первый промыватель газа колонн               поз.52</t>
    </r>
    <r>
      <rPr>
        <vertAlign val="subscript"/>
        <sz val="13"/>
        <color rgb="FF000000"/>
        <rFont val="Times New Roman"/>
        <family val="1"/>
        <charset val="204"/>
      </rPr>
      <t>1-3</t>
    </r>
    <r>
      <rPr>
        <sz val="13"/>
        <color rgb="FF000000"/>
        <rFont val="Times New Roman"/>
        <family val="1"/>
        <charset val="204"/>
      </rPr>
      <t xml:space="preserve"> (ПГКл-I)                                                      Отбор проб жидкости отм. 0.0 м</t>
    </r>
  </si>
  <si>
    <t>42,9÷46,2            (39,0÷42,0)</t>
  </si>
  <si>
    <t>3.4</t>
  </si>
  <si>
    <t>3.5</t>
  </si>
  <si>
    <t>Коллектор речной  воды на 
входе в отделение Карбонизации-1
отм. 0.0 м (точка выведена в лабораторию)</t>
  </si>
  <si>
    <t>3.6</t>
  </si>
  <si>
    <t>Коллектор отходящей воды в 
водооборот после охлаждения в холодильных бочках 1-ой группы колонн, после ПГКл-I(1-2 гр.), отм. 0.0 м</t>
  </si>
  <si>
    <t>3.7</t>
  </si>
  <si>
    <t>Коллектор отходящей воды в 
водооборот после охлаждения в холодильных бочках 2-ой группы колонн,(3 гр.), отм. 0.0 м</t>
  </si>
  <si>
    <t>3.8</t>
  </si>
  <si>
    <t>Коллектор отходящей воды в 
водооборот после охлаждения в холодильных бочках 3-ей группы колонн, (4К), отм. 0.0 м</t>
  </si>
  <si>
    <t>3.9</t>
  </si>
  <si>
    <t>Коллектор отходящей воды в водооборот после охлаждения в холодильных бочках 2-ой группы колонн, ХГСП (4 гр.),  отм. 0.0 м</t>
  </si>
  <si>
    <t>4.1</t>
  </si>
  <si>
    <t>Сырой гидрокарбонат натрия с ленточных вакуум-фильтров поз.F-201, поз.F-401,отм. 8.0 м</t>
  </si>
  <si>
    <t>4.2</t>
  </si>
  <si>
    <t>4.3</t>
  </si>
  <si>
    <t>Коллектор маточной жидкости с каждого ленточного фильтра поз.F-201, поз.F-401,отм. 0.0 м</t>
  </si>
  <si>
    <t xml:space="preserve">Сырой гидрокарбонат натрия с барабанных вакуум-фильтров  поз.5812-19,отм. 8.0 м </t>
  </si>
  <si>
    <r>
      <t>Коллектор маточной жидкости с группы барабанных вакуум-фильтров поз.58</t>
    </r>
    <r>
      <rPr>
        <vertAlign val="subscript"/>
        <sz val="13"/>
        <color rgb="FF000000"/>
        <rFont val="Times New Roman"/>
        <family val="1"/>
        <charset val="204"/>
      </rPr>
      <t>12-19,</t>
    </r>
    <r>
      <rPr>
        <sz val="13"/>
        <color rgb="FF000000"/>
        <rFont val="Times New Roman"/>
        <family val="1"/>
        <charset val="204"/>
      </rPr>
      <t>отм. 0.0 м</t>
    </r>
  </si>
  <si>
    <t>5.1</t>
  </si>
  <si>
    <t>5.2</t>
  </si>
  <si>
    <t>5.3</t>
  </si>
  <si>
    <t>5.5</t>
  </si>
  <si>
    <t>5.7</t>
  </si>
  <si>
    <t>6.1</t>
  </si>
  <si>
    <r>
      <t>Конденсат на выходе из холодильника газа содовых печей (паровых кальцинаторов) (ХГСП) (ХГПК) поз.69</t>
    </r>
    <r>
      <rPr>
        <vertAlign val="subscript"/>
        <sz val="13"/>
        <color rgb="FF000000"/>
        <rFont val="Times New Roman"/>
        <family val="1"/>
        <charset val="204"/>
      </rPr>
      <t xml:space="preserve">1-5 </t>
    </r>
    <r>
      <rPr>
        <sz val="13"/>
        <color rgb="FF000000"/>
        <rFont val="Times New Roman"/>
        <family val="1"/>
        <charset val="204"/>
      </rPr>
      <t>отм. 4.0 м</t>
    </r>
  </si>
  <si>
    <t>Общая щелочность (прямой титр),г/дм3 (н.д.)</t>
  </si>
  <si>
    <t>7.1</t>
  </si>
  <si>
    <t>Коллектор флегмы (конденсата) после  конденсатора дистилляции и трубопровод выходящей жидкости  из конденсатора дистилляции поз.331-7 (КДС),отм. 36.0 м; 40.0 м</t>
  </si>
  <si>
    <t>7.2</t>
  </si>
  <si>
    <t>7.3</t>
  </si>
  <si>
    <t>7.4</t>
  </si>
  <si>
    <t>7.5</t>
  </si>
  <si>
    <t>7.6</t>
  </si>
  <si>
    <r>
      <t>Промыватель воздуха фильтров. поз.2</t>
    </r>
    <r>
      <rPr>
        <vertAlign val="subscript"/>
        <sz val="13"/>
        <color rgb="FF000000"/>
        <rFont val="Times New Roman"/>
        <family val="1"/>
        <charset val="204"/>
      </rPr>
      <t>1-3</t>
    </r>
    <r>
      <rPr>
        <sz val="13"/>
        <color rgb="FF000000"/>
        <rFont val="Times New Roman"/>
        <family val="1"/>
        <charset val="204"/>
      </rPr>
      <t xml:space="preserve"> (ПВФл) Замер  на коллекторе нагнетания после поз.6</t>
    </r>
    <r>
      <rPr>
        <vertAlign val="subscript"/>
        <sz val="13"/>
        <color rgb="FF000000"/>
        <rFont val="Times New Roman"/>
        <family val="1"/>
        <charset val="204"/>
      </rPr>
      <t>1-5</t>
    </r>
    <r>
      <rPr>
        <sz val="13"/>
        <color rgb="FF000000"/>
        <rFont val="Times New Roman"/>
        <family val="1"/>
        <charset val="204"/>
      </rPr>
      <t xml:space="preserve"> (ТВН-360-22-1) вакуумной станции цеха Компрессии  отм. 4.0 м</t>
    </r>
  </si>
  <si>
    <r>
      <t>Второй промыватель газа колонн поз.9</t>
    </r>
    <r>
      <rPr>
        <vertAlign val="subscript"/>
        <sz val="13"/>
        <color rgb="FF000000"/>
        <rFont val="Times New Roman"/>
        <family val="1"/>
        <charset val="204"/>
      </rPr>
      <t>1-7</t>
    </r>
    <r>
      <rPr>
        <sz val="13"/>
        <color rgb="FF000000"/>
        <rFont val="Times New Roman"/>
        <family val="1"/>
        <charset val="204"/>
      </rPr>
      <t>( ПГКл-II).Замер газа на трубопроводе  после аппарата отм. 40.0 м</t>
    </r>
  </si>
  <si>
    <t>55,0(50,0)</t>
  </si>
  <si>
    <t>2.9</t>
  </si>
  <si>
    <t>Общий коллектор отходящей воды                          (№ 1059)</t>
  </si>
  <si>
    <r>
      <t>Коллектор суспензии гидрокарбоната натрия с карбоколонн на группу барабанных вакуум – фильтров  поз. 58</t>
    </r>
    <r>
      <rPr>
        <sz val="8"/>
        <color rgb="FF000000"/>
        <rFont val="Times New Roman"/>
        <family val="1"/>
        <charset val="204"/>
      </rPr>
      <t>12-20</t>
    </r>
    <r>
      <rPr>
        <sz val="13"/>
        <color rgb="FF000000"/>
        <rFont val="Times New Roman"/>
        <family val="1"/>
        <charset val="204"/>
      </rPr>
      <t xml:space="preserve"> отм. 8.0 м и  ленточные фильтры поз.F201, поз.F402 отм. 12.0 м</t>
    </r>
  </si>
  <si>
    <r>
      <t>Сырой гидрокарбонат натрия с барабанных вакуум-фильтров  поз.58</t>
    </r>
    <r>
      <rPr>
        <sz val="8"/>
        <color rgb="FF000000"/>
        <rFont val="Times New Roman"/>
        <family val="1"/>
        <charset val="204"/>
      </rPr>
      <t>12-19</t>
    </r>
    <r>
      <rPr>
        <sz val="13"/>
        <color rgb="FF000000"/>
        <rFont val="Times New Roman"/>
        <family val="1"/>
        <charset val="204"/>
      </rPr>
      <t xml:space="preserve">,отм. 8.0 м </t>
    </r>
  </si>
  <si>
    <r>
      <t>Сборник фильтровой жидкости поз. 29</t>
    </r>
    <r>
      <rPr>
        <vertAlign val="subscript"/>
        <sz val="9"/>
        <color rgb="FF000000"/>
        <rFont val="Times New Roman"/>
        <family val="1"/>
        <charset val="204"/>
      </rPr>
      <t>1,2</t>
    </r>
    <r>
      <rPr>
        <sz val="13"/>
        <color rgb="FF000000"/>
        <rFont val="Times New Roman"/>
        <family val="1"/>
        <charset val="204"/>
      </rPr>
      <t xml:space="preserve"> (СФЖ). Коллектор всаса центробежного насоса фильтровой жидкости  (поз.31</t>
    </r>
    <r>
      <rPr>
        <sz val="9"/>
        <color rgb="FF000000"/>
        <rFont val="Times New Roman"/>
        <family val="1"/>
        <charset val="204"/>
      </rPr>
      <t>1-5</t>
    </r>
    <r>
      <rPr>
        <sz val="13"/>
        <color rgb="FF000000"/>
        <rFont val="Times New Roman"/>
        <family val="1"/>
        <charset val="204"/>
      </rPr>
      <t>), сборника фильтровой жидкости поз. 29</t>
    </r>
    <r>
      <rPr>
        <sz val="8"/>
        <color rgb="FF000000"/>
        <rFont val="Times New Roman"/>
        <family val="1"/>
        <charset val="204"/>
      </rPr>
      <t>1,2</t>
    </r>
    <r>
      <rPr>
        <sz val="13"/>
        <color rgb="FF000000"/>
        <rFont val="Times New Roman"/>
        <family val="1"/>
        <charset val="204"/>
      </rPr>
      <t xml:space="preserve"> (СФЖ) Отм.0.0 м</t>
    </r>
  </si>
  <si>
    <r>
      <t xml:space="preserve">Коллектор  жидкости после теплообменника дистилляции поз.34 </t>
    </r>
    <r>
      <rPr>
        <sz val="9"/>
        <color rgb="FF000000"/>
        <rFont val="Times New Roman"/>
        <family val="1"/>
        <charset val="204"/>
      </rPr>
      <t>1-7</t>
    </r>
    <r>
      <rPr>
        <sz val="13"/>
        <color rgb="FF000000"/>
        <rFont val="Times New Roman"/>
        <family val="1"/>
        <charset val="204"/>
      </rPr>
      <t xml:space="preserve"> (ТДС),  отм. 16.0 м </t>
    </r>
  </si>
  <si>
    <r>
      <t>Коллектор жидкости после испарителя поз.40</t>
    </r>
    <r>
      <rPr>
        <sz val="9"/>
        <color rgb="FF000000"/>
        <rFont val="Times New Roman"/>
        <family val="1"/>
        <charset val="204"/>
      </rPr>
      <t>1-7</t>
    </r>
    <r>
      <rPr>
        <sz val="13"/>
        <color rgb="FF000000"/>
        <rFont val="Times New Roman"/>
        <family val="1"/>
        <charset val="204"/>
      </rPr>
      <t xml:space="preserve"> (ИС) отм. 0.0 м</t>
    </r>
  </si>
  <si>
    <r>
      <t>Шламопровод цеховой дистиллерной жидкости поз.41</t>
    </r>
    <r>
      <rPr>
        <vertAlign val="subscript"/>
        <sz val="13"/>
        <color rgb="FF000000"/>
        <rFont val="Times New Roman"/>
        <family val="1"/>
        <charset val="204"/>
      </rPr>
      <t>1,2</t>
    </r>
    <r>
      <rPr>
        <sz val="13"/>
        <color rgb="FF000000"/>
        <rFont val="Times New Roman"/>
        <family val="1"/>
        <charset val="204"/>
      </rPr>
      <t xml:space="preserve"> (отбор проб с  коллектора  всаса насосов шлама  (поз.42</t>
    </r>
    <r>
      <rPr>
        <sz val="9"/>
        <color rgb="FF000000"/>
        <rFont val="Times New Roman"/>
        <family val="1"/>
        <charset val="204"/>
      </rPr>
      <t>2-6</t>
    </r>
    <r>
      <rPr>
        <sz val="13"/>
        <color rgb="FF000000"/>
        <rFont val="Times New Roman"/>
        <family val="1"/>
        <charset val="204"/>
      </rPr>
      <t>), отм. 0.0 м</t>
    </r>
  </si>
  <si>
    <t>Трубопровод основного потока известкового молока в смеситель из распределительной гребёнки отм. 27.0 м</t>
  </si>
  <si>
    <t>Коллектор отходящей воды в водооборот после охлаждения в ХГДС поз.81-7(ХГДС), поз.121-7 (АБ-II), поз.112,5 (АБ-I), отм. 0.0 м (отм.0.0м)</t>
  </si>
  <si>
    <t>отм.0.0м</t>
  </si>
  <si>
    <t>% уноса аммиака</t>
  </si>
  <si>
    <t>Утилизация натрия, %</t>
  </si>
  <si>
    <t>коллектор газа 2 ввода</t>
  </si>
  <si>
    <t>Количество л/ф</t>
  </si>
  <si>
    <t>Автоматический контроль КЛ</t>
  </si>
  <si>
    <t xml:space="preserve">Автоматический контроль АБ-ДС      </t>
  </si>
  <si>
    <t>-среднее арифметическое значение</t>
  </si>
  <si>
    <t>отм.0.0</t>
  </si>
  <si>
    <t>Обозначения и сокращения используемые в листах результатов контроля технологического режима</t>
  </si>
  <si>
    <t xml:space="preserve">Наименование сокращений  </t>
  </si>
  <si>
    <t>Второй промыватель газа колонн</t>
  </si>
  <si>
    <t>Колонна предварительной карбонизации</t>
  </si>
  <si>
    <t>ПГКЛ-I</t>
  </si>
  <si>
    <t>Первый промыватель газа колонн</t>
  </si>
  <si>
    <t>Сборник фильтровой жидкости</t>
  </si>
  <si>
    <t>КЛ</t>
  </si>
  <si>
    <t>Карбонизационная колонна</t>
  </si>
  <si>
    <t>Дистиллер слабой жидкости</t>
  </si>
  <si>
    <t>Теплообменник дистилляции</t>
  </si>
  <si>
    <t>Конденсатор дистилляции</t>
  </si>
  <si>
    <t>Группа</t>
  </si>
  <si>
    <t>Известковые печи</t>
  </si>
  <si>
    <t>Содовые печи</t>
  </si>
  <si>
    <t>Обозначения и сокращения единиц измерения</t>
  </si>
  <si>
    <t xml:space="preserve">Наименование сокращений </t>
  </si>
  <si>
    <t>н.д.</t>
  </si>
  <si>
    <t>нормальные деления</t>
  </si>
  <si>
    <t>н.д./2л</t>
  </si>
  <si>
    <t>нормальные деления на 2 литра</t>
  </si>
  <si>
    <t>кг/т.с.</t>
  </si>
  <si>
    <t>килограмм на тонну соды</t>
  </si>
  <si>
    <t>метр кубический в час</t>
  </si>
  <si>
    <t>м3</t>
  </si>
  <si>
    <t>метр кубический</t>
  </si>
  <si>
    <t>градус Цельсия</t>
  </si>
  <si>
    <t>мм.рт.ст</t>
  </si>
  <si>
    <t>миллиметр ртутного столба</t>
  </si>
  <si>
    <t>проценты</t>
  </si>
  <si>
    <t>мг/дм3</t>
  </si>
  <si>
    <t>миллиграм на кубический дециметр</t>
  </si>
  <si>
    <t>Среднее значение</t>
  </si>
  <si>
    <t>Обозначения и сокращения в соответствии с Планом аналитического контроля  производства бикарбоната натрия сырого ( Цех№ АДК-1. Отделение АД-1, Карбонизация -1)</t>
  </si>
  <si>
    <t>Паровые кальцинаторы</t>
  </si>
  <si>
    <t>М.к.</t>
  </si>
  <si>
    <t>кгс/см2</t>
  </si>
  <si>
    <t>килограмм силы на квадратный сантиметр</t>
  </si>
  <si>
    <t>н.в.</t>
  </si>
  <si>
    <t>нет технологического персонала</t>
  </si>
  <si>
    <t>доп. анализы</t>
  </si>
  <si>
    <t>отм.</t>
  </si>
  <si>
    <t>ФЖ</t>
  </si>
  <si>
    <t>Отх.газ</t>
  </si>
  <si>
    <t>Отходящий газ</t>
  </si>
  <si>
    <t>ж-ть</t>
  </si>
  <si>
    <t xml:space="preserve"> МЖ.</t>
  </si>
  <si>
    <t>МЖ с в/ф</t>
  </si>
  <si>
    <t>МЖ  с в/ф</t>
  </si>
  <si>
    <t>СL пр.воды</t>
  </si>
  <si>
    <t>М.д. железа%</t>
  </si>
  <si>
    <t>М.д. угл.натрия%</t>
  </si>
  <si>
    <t>М.д. хлоридов %</t>
  </si>
  <si>
    <t xml:space="preserve"> ПК 4</t>
  </si>
  <si>
    <t xml:space="preserve"> МЖ</t>
  </si>
  <si>
    <t>Барабанный  вакуум-фильтр</t>
  </si>
  <si>
    <t xml:space="preserve">Массовая концентрация </t>
  </si>
  <si>
    <t>Жидкость</t>
  </si>
  <si>
    <t>Промывная вода</t>
  </si>
  <si>
    <t>Нет света</t>
  </si>
  <si>
    <t xml:space="preserve">Нет подхода </t>
  </si>
  <si>
    <t>Ремонтные работы</t>
  </si>
  <si>
    <t>Отметка</t>
  </si>
  <si>
    <t>Комиссионный отбор</t>
  </si>
  <si>
    <t>бик-т натр.</t>
  </si>
  <si>
    <t>Бикарбонат натрия</t>
  </si>
  <si>
    <t>ап.</t>
  </si>
  <si>
    <t>лаб.</t>
  </si>
  <si>
    <t>Лаборант</t>
  </si>
  <si>
    <t>гр.</t>
  </si>
  <si>
    <t>прав</t>
  </si>
  <si>
    <t>лев</t>
  </si>
  <si>
    <t>датч</t>
  </si>
  <si>
    <t>южн</t>
  </si>
  <si>
    <t>сев</t>
  </si>
  <si>
    <t>зап</t>
  </si>
  <si>
    <t>вост</t>
  </si>
  <si>
    <t>сер</t>
  </si>
  <si>
    <t>мастер смены</t>
  </si>
  <si>
    <t>уср. проба за смену</t>
  </si>
  <si>
    <t>М.д.</t>
  </si>
  <si>
    <t>Массовая доля</t>
  </si>
  <si>
    <t>Углекислый газ</t>
  </si>
  <si>
    <t>Наружный воздух</t>
  </si>
  <si>
    <t>Нет жидкости</t>
  </si>
  <si>
    <t>рем.р</t>
  </si>
  <si>
    <t>уср.проба за см.</t>
  </si>
  <si>
    <t>м.см.</t>
  </si>
  <si>
    <t>акт.окись</t>
  </si>
  <si>
    <t>Активная окись</t>
  </si>
  <si>
    <t>Правый</t>
  </si>
  <si>
    <t>Левый</t>
  </si>
  <si>
    <t>Датчик</t>
  </si>
  <si>
    <t>Середина</t>
  </si>
  <si>
    <t>Южный</t>
  </si>
  <si>
    <t>Северный</t>
  </si>
  <si>
    <t>Западный</t>
  </si>
  <si>
    <t>Восточный</t>
  </si>
  <si>
    <t>угл. натрия, %</t>
  </si>
  <si>
    <t>хл. в пер.на NaCl, %</t>
  </si>
  <si>
    <t>t п/г.см.</t>
  </si>
  <si>
    <t xml:space="preserve">Температура парогазовой смеси </t>
  </si>
  <si>
    <t>t газ.см.</t>
  </si>
  <si>
    <t xml:space="preserve">Температура газовой смеси </t>
  </si>
  <si>
    <t>t газа, t г.</t>
  </si>
  <si>
    <t xml:space="preserve">Температура газа </t>
  </si>
  <si>
    <t xml:space="preserve">Рн </t>
  </si>
  <si>
    <t xml:space="preserve">Давление низа </t>
  </si>
  <si>
    <t>ам.вода</t>
  </si>
  <si>
    <t>Амиачная вода</t>
  </si>
  <si>
    <t>Оборотная вода</t>
  </si>
  <si>
    <t>Речная вода</t>
  </si>
  <si>
    <t>в пересч.</t>
  </si>
  <si>
    <t>В пересчете</t>
  </si>
  <si>
    <t>Кол-р</t>
  </si>
  <si>
    <t>Коллектор</t>
  </si>
  <si>
    <t>Количество</t>
  </si>
  <si>
    <t>удл.б.</t>
  </si>
  <si>
    <t xml:space="preserve">Удлинение барабана </t>
  </si>
  <si>
    <t>Температура дымовых газов содовой печи</t>
  </si>
  <si>
    <t>Объёмная доля углекислого газа в дымовых газах</t>
  </si>
  <si>
    <t>расх.г.</t>
  </si>
  <si>
    <t>Расход газа</t>
  </si>
  <si>
    <t>1вх., 2вх, ф.г.</t>
  </si>
  <si>
    <t>1 вход, 2 вход, форгаз</t>
  </si>
  <si>
    <t>Ст.декарб</t>
  </si>
  <si>
    <t>Степень декарбонизации</t>
  </si>
  <si>
    <t>NaHCO3</t>
  </si>
  <si>
    <t>Содержание гидрокарбоната</t>
  </si>
  <si>
    <t>разр.</t>
  </si>
  <si>
    <t>Р п.</t>
  </si>
  <si>
    <t>компрессора А, Б</t>
  </si>
  <si>
    <t>Давл.воздуха, Р возд.</t>
  </si>
  <si>
    <t xml:space="preserve">Вакуум </t>
  </si>
  <si>
    <t>Номер машины</t>
  </si>
  <si>
    <t>Номер элемента</t>
  </si>
  <si>
    <t>тр.л</t>
  </si>
  <si>
    <t>транпортерная лента</t>
  </si>
  <si>
    <t>Расход по фильтровой жидкости</t>
  </si>
  <si>
    <t>Расход  химочищенной</t>
  </si>
  <si>
    <t>сусп</t>
  </si>
  <si>
    <t>забросы</t>
  </si>
  <si>
    <t>суспензия</t>
  </si>
  <si>
    <t>фильтровая жидкость</t>
  </si>
  <si>
    <t>очищенный рассол</t>
  </si>
  <si>
    <t>Наименование стадий процесса, места измерения параметров или отбора проб</t>
  </si>
  <si>
    <t>Нормативный документ</t>
  </si>
  <si>
    <t>Способ контроля</t>
  </si>
  <si>
    <t>Станция абсорбции</t>
  </si>
  <si>
    <t>Коллектор оборотной воды</t>
  </si>
  <si>
    <t xml:space="preserve">Температура, °С </t>
  </si>
  <si>
    <t>20-28</t>
  </si>
  <si>
    <t>Сведения с АСУТП</t>
  </si>
  <si>
    <t>Трубопровод подачи очищенного рассола в отделение АД-1</t>
  </si>
  <si>
    <t>По телефонной связи с технологическим персоналом</t>
  </si>
  <si>
    <t>56-62</t>
  </si>
  <si>
    <t>120-700</t>
  </si>
  <si>
    <t>Станция дистилляции</t>
  </si>
  <si>
    <t>100-190</t>
  </si>
  <si>
    <t>92-100</t>
  </si>
  <si>
    <t>300-800</t>
  </si>
  <si>
    <t>Отделение Карбонизации-1</t>
  </si>
  <si>
    <t>Трубопровод речной воды</t>
  </si>
  <si>
    <t>4-28</t>
  </si>
  <si>
    <t>Температура
25-ой бочки, °С</t>
  </si>
  <si>
    <t>58-60</t>
  </si>
  <si>
    <t>38-40</t>
  </si>
  <si>
    <t>Трубопровод промывной воды</t>
  </si>
  <si>
    <t>Станция охлаждения и промывки газа содовых печей (паровых кальцинаторов)</t>
  </si>
  <si>
    <t>40-50</t>
  </si>
  <si>
    <t xml:space="preserve">Перечень составил:                           </t>
  </si>
  <si>
    <t>Актуализация перечня по мере изменений в нормативных документах</t>
  </si>
  <si>
    <t>оключ.моющ. кол-р</t>
  </si>
  <si>
    <t>отключен моющий коллектор</t>
  </si>
  <si>
    <t>Вакуум до циклона</t>
  </si>
  <si>
    <t>Шнек 4-а</t>
  </si>
  <si>
    <t>марка Б (шнеки 1, 2, 3, 4а, 4б)</t>
  </si>
  <si>
    <t>пер</t>
  </si>
  <si>
    <t>переключение</t>
  </si>
  <si>
    <t xml:space="preserve">       расшифровка подписи</t>
  </si>
  <si>
    <t xml:space="preserve">      И.С. Нохрина     </t>
  </si>
  <si>
    <t xml:space="preserve">      расшифровка подписи</t>
  </si>
  <si>
    <t>% соды с м.д хлоридов в пересчете на NaCl не более 0,5% от общей выработки соды кальцинированной марки Б с технологических ниток : после паровых кальцинаторов редлер 4б (поз.128) отм.10.3 м.</t>
  </si>
  <si>
    <t xml:space="preserve">% соды с м.д хлоридов в пересчете на NaCl не более 0,5% от общей выработки соды кальцинированной марки Б с технологических ниток : после содовых печей рейдлер Р2,Р2а,р2б (поз.921-3) отм. 0,0 м. </t>
  </si>
  <si>
    <r>
      <t>Технологические нитки соды марки Б:
- после содовых печей
редлер Р2, Р2а, Р2б
(поз.92</t>
    </r>
    <r>
      <rPr>
        <sz val="11"/>
        <rFont val="Times New Roman"/>
        <family val="1"/>
        <charset val="204"/>
      </rPr>
      <t>1-3</t>
    </r>
    <r>
      <rPr>
        <sz val="14"/>
        <rFont val="Times New Roman"/>
        <family val="1"/>
        <charset val="204"/>
      </rPr>
      <t xml:space="preserve">) отметка 0,0 м  
- после паровых кальцинаторов
редлер 4б (поз.128)  отметка 10,3 м                                           
</t>
    </r>
  </si>
  <si>
    <r>
      <t>Кальцинированная сода на выходе с паровых кальцинаторов  поз. 108</t>
    </r>
    <r>
      <rPr>
        <vertAlign val="subscript"/>
        <sz val="14"/>
        <rFont val="Times New Roman"/>
        <family val="1"/>
        <charset val="204"/>
      </rPr>
      <t>1÷4,7÷10</t>
    </r>
    <r>
      <rPr>
        <sz val="14"/>
        <rFont val="Times New Roman"/>
        <family val="1"/>
        <charset val="204"/>
      </rPr>
      <t xml:space="preserve"> отметка 10,3</t>
    </r>
    <r>
      <rPr>
        <vertAlign val="subscript"/>
        <sz val="14"/>
        <rFont val="Times New Roman"/>
        <family val="1"/>
        <charset val="204"/>
      </rPr>
      <t xml:space="preserve"> </t>
    </r>
    <r>
      <rPr>
        <sz val="14"/>
        <rFont val="Times New Roman"/>
        <family val="1"/>
        <charset val="204"/>
      </rPr>
      <t>м</t>
    </r>
  </si>
  <si>
    <r>
      <t>Кальцинированная сода на выходе с содовых печей поз.81</t>
    </r>
    <r>
      <rPr>
        <vertAlign val="subscript"/>
        <sz val="14"/>
        <rFont val="Times New Roman"/>
        <family val="1"/>
        <charset val="204"/>
      </rPr>
      <t xml:space="preserve">1-16 </t>
    </r>
    <r>
      <rPr>
        <sz val="14"/>
        <rFont val="Times New Roman"/>
        <family val="1"/>
        <charset val="204"/>
      </rPr>
      <t>отметка 0,0 м</t>
    </r>
  </si>
  <si>
    <t>Коллектор смешанного газа после содовых печей КГСП № 1, 2, 3 отметка 12,0 м</t>
  </si>
  <si>
    <t>Коллектор газа после паровых кальцинаторов КГПК № 4 отметка 12,0 м</t>
  </si>
  <si>
    <r>
      <t>Содовая печь поз. 81</t>
    </r>
    <r>
      <rPr>
        <vertAlign val="subscript"/>
        <sz val="14"/>
        <rFont val="Times New Roman"/>
        <family val="1"/>
        <charset val="204"/>
      </rPr>
      <t xml:space="preserve">1-16 </t>
    </r>
    <r>
      <rPr>
        <sz val="14"/>
        <rFont val="Times New Roman"/>
        <family val="1"/>
        <charset val="204"/>
      </rPr>
      <t>отметка 8,0 м.</t>
    </r>
  </si>
  <si>
    <r>
      <t>Содержание СО</t>
    </r>
    <r>
      <rPr>
        <vertAlign val="subscript"/>
        <sz val="14"/>
        <rFont val="Times New Roman"/>
        <family val="1"/>
        <charset val="204"/>
      </rPr>
      <t xml:space="preserve">2 </t>
    </r>
    <r>
      <rPr>
        <sz val="14"/>
        <rFont val="Times New Roman"/>
        <family val="1"/>
        <charset val="204"/>
      </rPr>
      <t xml:space="preserve"> % (об.)</t>
    </r>
  </si>
  <si>
    <r>
      <t>Содержание СО</t>
    </r>
    <r>
      <rPr>
        <vertAlign val="subscript"/>
        <sz val="14"/>
        <rFont val="Times New Roman"/>
        <family val="1"/>
        <charset val="204"/>
      </rPr>
      <t xml:space="preserve">2, </t>
    </r>
    <r>
      <rPr>
        <sz val="14"/>
        <rFont val="Times New Roman"/>
        <family val="1"/>
        <charset val="204"/>
      </rPr>
      <t>% (об.)</t>
    </r>
  </si>
  <si>
    <t>Дымовые газы после топки содовых печей до рекуператора</t>
  </si>
  <si>
    <t>Внешний вид</t>
  </si>
  <si>
    <t xml:space="preserve">Cl в  очищенном рассоле </t>
  </si>
  <si>
    <t>соответствует</t>
  </si>
  <si>
    <t>(с 20:00 часов</t>
  </si>
  <si>
    <t>до 08:00 часов)</t>
  </si>
  <si>
    <t>(с 08:00 часов</t>
  </si>
  <si>
    <t>до 20:00 часов)</t>
  </si>
  <si>
    <t xml:space="preserve">                   подпись</t>
  </si>
  <si>
    <t>М.д. углекислого натрия, ( Na2CO3)% в соде кальцинированной марки Б с технологических ниток: -после содовых печей рейдлер Р2,Р2а,р2б (поз.921-3) отм. 0,0 м.</t>
  </si>
  <si>
    <t>СО₂ в газе</t>
  </si>
  <si>
    <t xml:space="preserve">Температура        </t>
  </si>
  <si>
    <t>1 вход</t>
  </si>
  <si>
    <t xml:space="preserve"> кл</t>
  </si>
  <si>
    <t>СП/газ</t>
  </si>
  <si>
    <t>СО₂ ПГКл-2</t>
  </si>
  <si>
    <t>/газ</t>
  </si>
  <si>
    <t>время замера</t>
  </si>
  <si>
    <t>21:00/5:00</t>
  </si>
  <si>
    <t>Цех № 66</t>
  </si>
  <si>
    <t>СВЕДЕНИЯ О РАСХОДНЫХ КОЭФФИЦИЕНТАХ  /  АНАЛИТИЧЕСКИЕ ДАННЫЕ</t>
  </si>
  <si>
    <r>
      <t>Расход рассола очищенного в пересчёте на стандартный рассол с содержанием NaCl 310 г/л, (м</t>
    </r>
    <r>
      <rPr>
        <vertAlign val="superscript"/>
        <sz val="22"/>
        <rFont val="Times New Roman"/>
        <family val="1"/>
        <charset val="204"/>
      </rPr>
      <t>3</t>
    </r>
    <r>
      <rPr>
        <sz val="22"/>
        <rFont val="Times New Roman"/>
        <family val="1"/>
        <charset val="204"/>
      </rPr>
      <t>/т.соды)</t>
    </r>
  </si>
  <si>
    <r>
      <t>Расход рассола очищенного в пересчёте на физический, (м</t>
    </r>
    <r>
      <rPr>
        <vertAlign val="superscript"/>
        <sz val="22"/>
        <rFont val="Times New Roman"/>
        <family val="1"/>
        <charset val="204"/>
      </rPr>
      <t>3</t>
    </r>
    <r>
      <rPr>
        <sz val="22"/>
        <rFont val="Times New Roman"/>
        <family val="1"/>
        <charset val="204"/>
      </rPr>
      <t>/т.соды)</t>
    </r>
  </si>
  <si>
    <t xml:space="preserve">                  подпись</t>
  </si>
  <si>
    <t xml:space="preserve">            подпись</t>
  </si>
  <si>
    <t>отделения: Карбонизации-1, Абсорбции-дистилляции-1</t>
  </si>
  <si>
    <r>
      <t xml:space="preserve">Цех № </t>
    </r>
    <r>
      <rPr>
        <u/>
        <sz val="19"/>
        <rFont val="Times New Roman"/>
        <family val="1"/>
        <charset val="204"/>
      </rPr>
      <t xml:space="preserve">83 </t>
    </r>
    <r>
      <rPr>
        <sz val="19"/>
        <rFont val="Times New Roman"/>
        <family val="1"/>
        <charset val="204"/>
      </rPr>
      <t>отделение: Кальцинация 1</t>
    </r>
  </si>
  <si>
    <t>Общая щелочность (пр.т.), н.д</t>
  </si>
  <si>
    <r>
      <t xml:space="preserve">t, </t>
    </r>
    <r>
      <rPr>
        <vertAlign val="superscript"/>
        <sz val="9"/>
        <rFont val="Times New Roman"/>
        <family val="1"/>
        <charset val="204"/>
      </rPr>
      <t>0</t>
    </r>
    <r>
      <rPr>
        <sz val="9"/>
        <rFont val="Times New Roman"/>
        <family val="1"/>
        <charset val="204"/>
      </rPr>
      <t>С суспензии на выходе из Кл</t>
    </r>
  </si>
  <si>
    <r>
      <t xml:space="preserve">t, </t>
    </r>
    <r>
      <rPr>
        <vertAlign val="superscript"/>
        <sz val="9"/>
        <rFont val="Times New Roman"/>
        <family val="1"/>
        <charset val="204"/>
      </rPr>
      <t>0</t>
    </r>
    <r>
      <rPr>
        <sz val="9"/>
        <rFont val="Times New Roman"/>
        <family val="1"/>
        <charset val="204"/>
      </rPr>
      <t>С отходящего газа после Кл</t>
    </r>
  </si>
  <si>
    <t>лаборатория № 3</t>
  </si>
  <si>
    <t>лаборатория № 4</t>
  </si>
  <si>
    <t>Начальник смены по производству № 4:</t>
  </si>
  <si>
    <t>по производству № 5:</t>
  </si>
  <si>
    <t>Потери гидрокарбоната натрия ,%</t>
  </si>
  <si>
    <t>Общая щелоч-ность (пр.т.), н.д</t>
  </si>
  <si>
    <t>Общая щелочность (пр.т.),н.д</t>
  </si>
  <si>
    <t>хлориды в пересчете на хлорид  натрия</t>
  </si>
  <si>
    <t xml:space="preserve">железо в пересчете на оксид железа (III) </t>
  </si>
  <si>
    <t xml:space="preserve">объёмно-эквивалентная концентрация </t>
  </si>
  <si>
    <t>Об.-экв.к.</t>
  </si>
  <si>
    <t>Отборт проб</t>
  </si>
  <si>
    <t>ИОТ-Ц-66-23-2020</t>
  </si>
  <si>
    <t xml:space="preserve">Проводится
 только при получении результатов по массовой доле гидросульфида натрия  ниже нормативного значения
</t>
  </si>
  <si>
    <t>1.3.</t>
  </si>
  <si>
    <t xml:space="preserve">Натрия гидросульфид технический раствор
отбор  - с каждой ж/д или автоцистерны
</t>
  </si>
  <si>
    <t xml:space="preserve">Массовая доля гидросульфида натрия 
%, не менее
</t>
  </si>
  <si>
    <t xml:space="preserve">ТУ 20.13.41.110-008-43953934-2017
«Натрия гидросульфид технический раствор (натрий сернистый, кислый)»
</t>
  </si>
  <si>
    <t>Массовая доля сульфида натрия, %, не более</t>
  </si>
  <si>
    <t>1.4.</t>
  </si>
  <si>
    <t xml:space="preserve">Гидросульфид натрия технический
отбор  - с каждой ж/д или автоцистерны
</t>
  </si>
  <si>
    <t xml:space="preserve">ТУ 2153-541-05763441-2012
«Гидросульфид натрия технический»
</t>
  </si>
  <si>
    <t>1.5</t>
  </si>
  <si>
    <t xml:space="preserve">Массовая (объёмно-эквивалентная) концентрация хлоридов в пересчёте на хлорид натрия (NaCl), 
г/дм3(н.д.), не менее
</t>
  </si>
  <si>
    <t xml:space="preserve">Массовая (объёмно-эквивалентная) концентрация суммы кальция и магния в пересчёте на ион кальция, 
г/дм3(н.д.), не более
</t>
  </si>
  <si>
    <t xml:space="preserve">Массовая (объёмно-эквивалентная) концентрация углекислого натрия (Na2СО3),
 г/дм3(н.д.),  не более
</t>
  </si>
  <si>
    <t>Плотность при 20 °С, г/см3, не менее</t>
  </si>
  <si>
    <t>Массовая (объёмно-эквивалентная) концентрация сульфат-ионов (SO42-), г/дм3/(н.д.), не более</t>
  </si>
  <si>
    <t>Массовая (объёмно-эквивалентная)  концентрация аммиака в пересчете на ион – аммония NH4+, мг/дм3/(н.д.), не более</t>
  </si>
  <si>
    <t xml:space="preserve">Массовая (объёмно-эквивалентная) концентрация гидроксид-ионов (ОН-), г/дм3,  не более  </t>
  </si>
  <si>
    <t xml:space="preserve">МИ 102-А2-2017
Титриметрический метод
Диапазон измерений  (0,030 – 0,300) н.д.
</t>
  </si>
  <si>
    <t>Массовая (объёмно-эквивалентная)  концентрация хлорид-ионов, г/дм3 /(н.д.)</t>
  </si>
  <si>
    <t xml:space="preserve">МИ 85-А2-2017 
Титриметрический метод 
Диапазон измерений (0,040 – 106,0) н.д.
</t>
  </si>
  <si>
    <t xml:space="preserve">МИ 79-А2-2017
Газо-объёмный метод
Диапазон измерений (0,020 – 200,0) н.д.
</t>
  </si>
  <si>
    <t>ИОТ-Ц-50-18-2018</t>
  </si>
  <si>
    <t xml:space="preserve">МИ 139-А2-2020
Колориметрический метод 
</t>
  </si>
  <si>
    <t>Общая щелочность (прямой титр),г/дм3 (н.д.), не менее</t>
  </si>
  <si>
    <t>Массовая (объёмно-эквивалентная)  концентрация хлорид-ионов, г/дм3 /(н.д.), не более</t>
  </si>
  <si>
    <t>10-12 раз в смену</t>
  </si>
  <si>
    <t>Массовая (объёмно-эквивалентная)  концентрация хлорид-ионов, г/дм3 /(н.д.), не менее</t>
  </si>
  <si>
    <t>Массовая (объёмно-эквивалентная)   концентрация сульфид-ионов, г/дм3 (н.д.)</t>
  </si>
  <si>
    <t xml:space="preserve">МИ 141-А2-2020 
Титриметрический метод 
(0,10 – 300,00) н.д.
ИОТ-Ц-66-08-2018
</t>
  </si>
  <si>
    <t>1 раз в смену из усредненной пробы за смену</t>
  </si>
  <si>
    <t xml:space="preserve">Массовая  концентрация
аммиака и ионов аммония в пересчёте на ион аммония, мг/дм3, не более
</t>
  </si>
  <si>
    <t xml:space="preserve">МИ 140-А2-2020
Колориметрический метод
 Диапазон измерений
(0,3 – 1000) мг/дм3
</t>
  </si>
  <si>
    <t>3 раза в смену</t>
  </si>
  <si>
    <t>Массовая (объёмно-эквивалентная)   концентрация ионов аммония, г/дм3 /(н.д.)</t>
  </si>
  <si>
    <t>1-2  раза в смену</t>
  </si>
  <si>
    <t>12 раз в смену</t>
  </si>
  <si>
    <t>Массовая (объёмно-эквивалентная)   концентрация NH3связ, г/дм3/(н.д.), не менее</t>
  </si>
  <si>
    <t xml:space="preserve">МИ 116-А2-2019
Расчётный метод 
</t>
  </si>
  <si>
    <t xml:space="preserve">Массовая доля хлоридов в пересчёте на хлорид натрия, %, не более
</t>
  </si>
  <si>
    <t>12 раз в смену с каждого фильтра</t>
  </si>
  <si>
    <t>4-6  раз в смену с каждого фильтра</t>
  </si>
  <si>
    <t>Массовая доля железа в пересчете на оксид железа (III), % не более</t>
  </si>
  <si>
    <t xml:space="preserve">2   раза в смену   
из усредненной пробы по ленточным фильтрам
</t>
  </si>
  <si>
    <t xml:space="preserve">МИ 104-А2-2018
Фотоколориметрический метод
Диапазон измерений (0,00030 – 0,0100) %
</t>
  </si>
  <si>
    <t>Промывная вода с ленточных вакуум-фильтро в поз.F-201, оз.F-401,отм.12.0 м  и с барабанных вакуум-фильтров поз.5812-19, отм. 12.0 м</t>
  </si>
  <si>
    <t>2-3  раза в смену</t>
  </si>
  <si>
    <t>Общая щелочность (прямой титр),г/дм3 (н.д.), не  более</t>
  </si>
  <si>
    <t>1 раз из усредненной пробы за смену</t>
  </si>
  <si>
    <t xml:space="preserve"> 2-3 раза в смену с каждого фильтра и 1 раз из усредненной пробы за смену</t>
  </si>
  <si>
    <t>Массовая (объёмно-эквивалентная)   концентрация NH3связ, г/дм3/(н.д.)</t>
  </si>
  <si>
    <t xml:space="preserve">12 раз
в смену с каждого фильтра
(10 раз в смену с каждого фильтра и 2 раза в смену с группы фильтров)
</t>
  </si>
  <si>
    <t xml:space="preserve">МИ 103-А2-2018
Титриметрический метод
Диапазон измерений     (0,030 – 2,00) %
</t>
  </si>
  <si>
    <t>4-6  раз в смену с группы вакуум фильтров</t>
  </si>
  <si>
    <t>4.5</t>
  </si>
  <si>
    <t>2-3 раза в смену и 1 раз из   усредненной пробы за смену</t>
  </si>
  <si>
    <t>1 раз  из  усредненной пробы за смену</t>
  </si>
  <si>
    <t>2-3 раза  в смену и из усредненной пробы за смену</t>
  </si>
  <si>
    <t>1 раз   из усредненной пробы за смену</t>
  </si>
  <si>
    <t xml:space="preserve">1 раз в смену с каждого элемента и из усредненной пробы за смену </t>
  </si>
  <si>
    <t>Массовая (объемно-эквивалентная ) концентрация активного гидроксида кальция в пересчёте на активную окись кальция (СаОакт), г/дм3/(н.д.), не более</t>
  </si>
  <si>
    <t xml:space="preserve">МИ 144-А2-2020 
Титриметрический метод 
Диапазон измерений  
(0,2 – 20,0) н.д.   
</t>
  </si>
  <si>
    <t>6 раз в смену и из усредненной пробы за смену</t>
  </si>
  <si>
    <t>2-3 раза в смену и из усредненной пробы за смену</t>
  </si>
  <si>
    <t>2 раза в смену и из усредненной пробы за смену</t>
  </si>
  <si>
    <t>1 раз  из усредненной пробы за смену</t>
  </si>
  <si>
    <r>
      <t>Конденсатор газа дистилляции (КДС) поз.33</t>
    </r>
    <r>
      <rPr>
        <vertAlign val="subscript"/>
        <sz val="14"/>
        <rFont val="Times New Roman"/>
        <family val="1"/>
        <charset val="204"/>
      </rPr>
      <t>1-7</t>
    </r>
  </si>
  <si>
    <t xml:space="preserve">2 раза
в смену и из усредненной пробы за смену
</t>
  </si>
  <si>
    <t>1 раз в смену с каждого элемента и из усредненной пробы за смену</t>
  </si>
  <si>
    <t xml:space="preserve">2-3 раза в смену 
с каждого фильтра
и 1 раз из усредненной пробы за смену 
</t>
  </si>
  <si>
    <t>6-12 раз в смену</t>
  </si>
  <si>
    <t>Вакуум, мм рт. ст., не более</t>
  </si>
  <si>
    <t>12  раз в смену</t>
  </si>
  <si>
    <t xml:space="preserve">Объёмная доля СО2, % </t>
  </si>
  <si>
    <t xml:space="preserve">Коллектор отходящей воды: Массовая  концентрация аммиака и ионов аммония в пересчёте на ион аммония, мг/дм3
</t>
  </si>
  <si>
    <t>9:00/17:00</t>
  </si>
  <si>
    <r>
      <t>м</t>
    </r>
    <r>
      <rPr>
        <vertAlign val="superscript"/>
        <sz val="14"/>
        <rFont val="Times New Roman"/>
        <family val="1"/>
        <charset val="204"/>
      </rPr>
      <t>3</t>
    </r>
  </si>
  <si>
    <r>
      <t>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>/ч</t>
    </r>
  </si>
  <si>
    <t>ленточный вакуум-фильтр</t>
  </si>
  <si>
    <t>вакуум-фильтр</t>
  </si>
  <si>
    <t>Концентрация</t>
  </si>
  <si>
    <t>двуокись углерода</t>
  </si>
  <si>
    <t>t, 0С</t>
  </si>
  <si>
    <t>Усреднённая проба проба</t>
  </si>
  <si>
    <r>
      <rPr>
        <vertAlign val="superscript"/>
        <sz val="14"/>
        <rFont val="Times New Roman"/>
        <family val="1"/>
        <charset val="204"/>
      </rPr>
      <t>0</t>
    </r>
    <r>
      <rPr>
        <sz val="14"/>
        <rFont val="Times New Roman"/>
        <family val="1"/>
        <charset val="204"/>
      </rPr>
      <t>С</t>
    </r>
  </si>
  <si>
    <r>
      <t>Углекислый натрий (Na</t>
    </r>
    <r>
      <rPr>
        <vertAlign val="subscript"/>
        <sz val="14"/>
        <rFont val="Times New Roman"/>
        <family val="1"/>
        <charset val="204"/>
      </rPr>
      <t>2</t>
    </r>
    <r>
      <rPr>
        <sz val="14"/>
        <rFont val="Times New Roman"/>
        <family val="1"/>
        <charset val="204"/>
      </rPr>
      <t>CO</t>
    </r>
    <r>
      <rPr>
        <vertAlign val="sub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>)</t>
    </r>
  </si>
  <si>
    <r>
      <t>жел. в пер. на Fe</t>
    </r>
    <r>
      <rPr>
        <vertAlign val="subscript"/>
        <sz val="14"/>
        <rFont val="Times New Roman"/>
        <family val="1"/>
        <charset val="204"/>
      </rPr>
      <t>2</t>
    </r>
    <r>
      <rPr>
        <sz val="14"/>
        <rFont val="Times New Roman"/>
        <family val="1"/>
        <charset val="204"/>
      </rPr>
      <t>O</t>
    </r>
    <r>
      <rPr>
        <vertAlign val="sub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>, %</t>
    </r>
  </si>
  <si>
    <r>
      <t xml:space="preserve">t </t>
    </r>
    <r>
      <rPr>
        <sz val="14"/>
        <rFont val="Calibri"/>
        <family val="2"/>
        <charset val="204"/>
      </rPr>
      <t>°</t>
    </r>
    <r>
      <rPr>
        <sz val="14"/>
        <rFont val="Times New Roman"/>
        <family val="1"/>
        <charset val="204"/>
      </rPr>
      <t>С дым.г.</t>
    </r>
  </si>
  <si>
    <r>
      <t>СО</t>
    </r>
    <r>
      <rPr>
        <vertAlign val="subscript"/>
        <sz val="14"/>
        <rFont val="Times New Roman"/>
        <family val="1"/>
        <charset val="204"/>
      </rPr>
      <t xml:space="preserve">2 </t>
    </r>
    <r>
      <rPr>
        <sz val="14"/>
        <rFont val="Times New Roman"/>
        <family val="1"/>
        <charset val="204"/>
      </rPr>
      <t>дым.г.,%</t>
    </r>
  </si>
  <si>
    <t>конц.,к.</t>
  </si>
  <si>
    <t xml:space="preserve">Жидкость после    ТДС  </t>
  </si>
  <si>
    <t>Э.С.Михайлова</t>
  </si>
  <si>
    <t xml:space="preserve">1  раз в смену </t>
  </si>
  <si>
    <t>21,6 (24,0)</t>
  </si>
  <si>
    <t>36,1(40,0)</t>
  </si>
  <si>
    <t>144,3 (160,0)</t>
  </si>
  <si>
    <t>Летом:(90,2÷93,8)/ (100,0÷104,0) Зимой:(92,0÷95,6)/(102,0÷106,0)</t>
  </si>
  <si>
    <t>153,9  (86,8)</t>
  </si>
  <si>
    <t>71,5÷85,8     (65,0÷78,0)</t>
  </si>
  <si>
    <t>Летом:  19,8÷30,7 (22,0÷34,0)      Зимой: 19,8÷27,1 (22,0÷30,0)</t>
  </si>
  <si>
    <t xml:space="preserve">Летом: 81,2÷92,0
(90,0÷102,0)
Зимой: 83,0÷90,2
(92,0÷100,0)
</t>
  </si>
  <si>
    <t xml:space="preserve">Летом:
61,3 (68,0),
Зимой:
63,1 (70,0)
</t>
  </si>
  <si>
    <t>168,4  (95,0)</t>
  </si>
  <si>
    <t>22,5 (25,0)</t>
  </si>
  <si>
    <t>161,3 (91,0)</t>
  </si>
  <si>
    <t>145,4(82,0)</t>
  </si>
  <si>
    <t>164,9 (93,0)</t>
  </si>
  <si>
    <t>156,0 (88,0)</t>
  </si>
  <si>
    <t>106,4 (60,0)</t>
  </si>
  <si>
    <t>36,1 (40,0)</t>
  </si>
  <si>
    <t>153,9                              (86,8)</t>
  </si>
  <si>
    <t xml:space="preserve">Летом:
61,3 (68,0)
Зимой:
63,1 (70,0)
</t>
  </si>
  <si>
    <r>
      <t>Летом:
63,1 (71,0)</t>
    </r>
    <r>
      <rPr>
        <vertAlign val="superscript"/>
        <sz val="14"/>
        <rFont val="Times New Roman"/>
        <family val="1"/>
        <charset val="204"/>
      </rPr>
      <t>у</t>
    </r>
    <r>
      <rPr>
        <sz val="14"/>
        <rFont val="Times New Roman"/>
        <family val="1"/>
        <charset val="204"/>
      </rPr>
      <t xml:space="preserve">
Зимой:
64,9 (72,0)</t>
    </r>
    <r>
      <rPr>
        <vertAlign val="superscript"/>
        <sz val="14"/>
        <rFont val="Times New Roman"/>
        <family val="1"/>
        <charset val="204"/>
      </rPr>
      <t>у</t>
    </r>
    <r>
      <rPr>
        <sz val="14"/>
        <rFont val="Times New Roman"/>
        <family val="1"/>
        <charset val="204"/>
      </rPr>
      <t xml:space="preserve">
</t>
    </r>
  </si>
  <si>
    <t xml:space="preserve">164,9 (93,0) </t>
  </si>
  <si>
    <t>163,1 (91,0)</t>
  </si>
  <si>
    <t>145,4 (82,0)</t>
  </si>
  <si>
    <t>Цех Кальцинированной соды.Отделение Кальцинация - 1</t>
  </si>
  <si>
    <t>Топка содовой печи (поз.81 1-16) отм.5.8</t>
  </si>
  <si>
    <t>Лаборатория № 4 в присутствии персонала цеха</t>
  </si>
  <si>
    <t>Объемная доля углекислого газа в дымовых газах после содовой печи,при работе на природном газе,%, не менее</t>
  </si>
  <si>
    <t>Лаборатория УАК № 4 (по контролю технологических цехов № 82,83,85 и отделения ОБН цеха №68)</t>
  </si>
  <si>
    <t>Коллектор смешанного газа с отделения Карбонизации-1 КГСП №1,2,3 отм.12 м</t>
  </si>
  <si>
    <t>Объемная доля углекислого газа углекислого газа в смешанном газе,%, не менее</t>
  </si>
  <si>
    <t>Лаборатория УАК № 4</t>
  </si>
  <si>
    <r>
      <t>Технологические нитки соды марки Б:                                                                              -после содовых печей  рейдлер Р2,Р2а,Р2б (поз.92</t>
    </r>
    <r>
      <rPr>
        <vertAlign val="subscript"/>
        <sz val="12"/>
        <rFont val="Times New Roman"/>
        <family val="1"/>
        <charset val="204"/>
      </rPr>
      <t>1-3</t>
    </r>
    <r>
      <rPr>
        <sz val="12"/>
        <rFont val="Times New Roman"/>
        <family val="1"/>
        <charset val="204"/>
      </rPr>
      <t>) отм. 0м;                                                                           - после паровых кальцинаторов редлер 4б (поз128) отм.10.3 м</t>
    </r>
  </si>
  <si>
    <t>Массовая доля карбоната натрия, %, не менее</t>
  </si>
  <si>
    <t xml:space="preserve">Лаборатория УАК № 4 </t>
  </si>
  <si>
    <t>Массовая доля хлорид-ионов в пересчете на хлорид натрия, %, не более</t>
  </si>
  <si>
    <t xml:space="preserve">      МИ 138-А2-2019                                                           Фотоколориметрический метод                                      Диапозон измерений   (0,00080-0,0100)%</t>
  </si>
  <si>
    <t>Коллектор газа после паровых кальцинаторов КГПК№4 отметка 12м (Карбонизация-1)</t>
  </si>
  <si>
    <t>Объемная доля углекислого газа в газе после паровых кальцинаторов,%, не менее</t>
  </si>
  <si>
    <t>Коллектор газа после паровых кальцинаторов КГПК№5 отметка 22м в КД-3</t>
  </si>
  <si>
    <t>Примечание:</t>
  </si>
  <si>
    <r>
      <t xml:space="preserve">           1.Анализ воздушной среды рабочей зоны на содержание NH</t>
    </r>
    <r>
      <rPr>
        <vertAlign val="sub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>,H</t>
    </r>
    <r>
      <rPr>
        <vertAlign val="subscript"/>
        <sz val="14"/>
        <rFont val="Times New Roman"/>
        <family val="1"/>
        <charset val="204"/>
      </rPr>
      <t>2</t>
    </r>
    <r>
      <rPr>
        <sz val="14"/>
        <rFont val="Times New Roman"/>
        <family val="1"/>
        <charset val="204"/>
      </rPr>
      <t>S,CO в отделениях Кальцинации-1 проводится лабораторией УАК 1 раз в будние дни в дневную смену.</t>
    </r>
  </si>
  <si>
    <t xml:space="preserve">           2.Анализ воздушной среды на рабочих мнстах в отделениях Кальцинации-1 проводится 1 раз в квартал группой по обслуживанию производств №4,5 лаборатории службы воздуха цеха №53 согласно плану контроля воздушной среды.</t>
  </si>
  <si>
    <r>
      <t xml:space="preserve">           3. По требованию технологического персонала цеха Кальцинированной соды выполняются замеры концентрации CO</t>
    </r>
    <r>
      <rPr>
        <vertAlign val="subscript"/>
        <sz val="14"/>
        <rFont val="Times New Roman"/>
        <family val="1"/>
        <charset val="204"/>
      </rPr>
      <t>2</t>
    </r>
    <r>
      <rPr>
        <sz val="14"/>
        <rFont val="Times New Roman"/>
        <family val="1"/>
        <charset val="204"/>
      </rPr>
      <t xml:space="preserve"> % (об.) по коллекторам технологического газа.</t>
    </r>
  </si>
  <si>
    <t xml:space="preserve">         *- при наработке соды с пониженным содержанием хлоридов нормы:</t>
  </si>
  <si>
    <t>2</t>
  </si>
  <si>
    <t>МИ 140-А2-2020</t>
  </si>
  <si>
    <t>МИ 135-А2-2019                                                            Титриметрический метод                                             Диапазон измерений (94,0 - 99,5)%</t>
  </si>
  <si>
    <t>МИ 134-А2-2019                                                                                   Титриметрический метод                                                   Диапазон измерений (0,1 - 1,50)%</t>
  </si>
  <si>
    <t>МИ 134-А2-2019                                                   Титриметрический метод                                             Диапазон измерений (94-99,5)%</t>
  </si>
  <si>
    <t>МИ 135-А2-2019                                                            Титриметрический метод                                                Диапазон измерений   (0,10-1,50)%</t>
  </si>
  <si>
    <t>МИ 138-А2-2019                                                                   Фотоколориметрический метод                                       Диапазон измерений (0,00080-0,0100)%</t>
  </si>
  <si>
    <t>Расход извести  в пересчёте на 85% СаО, (кг/т.соды)</t>
  </si>
  <si>
    <t>Расход извести  в пересчёте на 100 % СаО, (кг/т.соды)</t>
  </si>
  <si>
    <t>М 8</t>
  </si>
  <si>
    <t>Коллектор отходящей воды: Массовая  концентрация аммиака и ионов аммония в пересчёте на ион аммония, мг/дм3</t>
  </si>
  <si>
    <t>АБ1/АБ2</t>
  </si>
  <si>
    <t>абсорбер 1/ абсорбер 2</t>
  </si>
  <si>
    <t>пр.в</t>
  </si>
  <si>
    <t>н.тех.п</t>
  </si>
  <si>
    <t>н.св</t>
  </si>
  <si>
    <t>н.ж</t>
  </si>
  <si>
    <t>ком.отб</t>
  </si>
  <si>
    <t>об.в</t>
  </si>
  <si>
    <t>забр</t>
  </si>
  <si>
    <t>оч. Р</t>
  </si>
  <si>
    <t>соотв</t>
  </si>
  <si>
    <t>р.в</t>
  </si>
  <si>
    <t>н.п</t>
  </si>
  <si>
    <t xml:space="preserve">    </t>
  </si>
  <si>
    <t>NH₃ связ.</t>
  </si>
  <si>
    <t>связанный аммиак</t>
  </si>
  <si>
    <t>ср.см</t>
  </si>
  <si>
    <t>среднесменная</t>
  </si>
  <si>
    <t>ам.</t>
  </si>
  <si>
    <t>аммонизированный рассол</t>
  </si>
  <si>
    <t>изв. м.</t>
  </si>
  <si>
    <t>известковое молоко</t>
  </si>
  <si>
    <t>гидрокс.кальц.в пер.на акт.окись кальц. (СаОакт)</t>
  </si>
  <si>
    <t xml:space="preserve"> активный гидроксид кальция в пересчёте на активную окись кальция (СаОакт)</t>
  </si>
  <si>
    <r>
      <t>Расход промывной Н</t>
    </r>
    <r>
      <rPr>
        <vertAlign val="subscript"/>
        <sz val="16"/>
        <rFont val="Times New Roman"/>
        <family val="1"/>
        <charset val="204"/>
      </rPr>
      <t>2</t>
    </r>
    <r>
      <rPr>
        <sz val="16"/>
        <rFont val="Times New Roman"/>
        <family val="1"/>
        <charset val="204"/>
      </rPr>
      <t>О</t>
    </r>
  </si>
  <si>
    <r>
      <t>м</t>
    </r>
    <r>
      <rPr>
        <vertAlign val="superscript"/>
        <sz val="16"/>
        <rFont val="Times New Roman"/>
        <family val="1"/>
        <charset val="204"/>
      </rPr>
      <t>3</t>
    </r>
  </si>
  <si>
    <r>
      <t>t газовой смеси на выходе из ДС ,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C</t>
    </r>
  </si>
  <si>
    <r>
      <t xml:space="preserve">t, </t>
    </r>
    <r>
      <rPr>
        <b/>
        <vertAlign val="superscript"/>
        <sz val="12"/>
        <rFont val="Times New Roman"/>
        <family val="1"/>
        <charset val="204"/>
      </rPr>
      <t>0</t>
    </r>
    <r>
      <rPr>
        <b/>
        <sz val="12"/>
        <rFont val="Times New Roman"/>
        <family val="1"/>
        <charset val="204"/>
      </rPr>
      <t xml:space="preserve"> C соды</t>
    </r>
  </si>
  <si>
    <r>
      <t>Р п кг/см</t>
    </r>
    <r>
      <rPr>
        <b/>
        <vertAlign val="superscript"/>
        <sz val="10"/>
        <rFont val="Times New Roman"/>
        <family val="1"/>
        <charset val="204"/>
      </rPr>
      <t>3</t>
    </r>
  </si>
  <si>
    <r>
      <t xml:space="preserve">t </t>
    </r>
    <r>
      <rPr>
        <b/>
        <vertAlign val="superscript"/>
        <sz val="10"/>
        <rFont val="Times New Roman"/>
        <family val="1"/>
        <charset val="204"/>
      </rPr>
      <t>0</t>
    </r>
    <r>
      <rPr>
        <b/>
        <sz val="10"/>
        <rFont val="Times New Roman"/>
        <family val="1"/>
        <charset val="204"/>
      </rPr>
      <t xml:space="preserve">Спар. </t>
    </r>
  </si>
  <si>
    <r>
      <t xml:space="preserve">t, </t>
    </r>
    <r>
      <rPr>
        <b/>
        <vertAlign val="superscript"/>
        <sz val="9"/>
        <rFont val="Times New Roman"/>
        <family val="1"/>
        <charset val="204"/>
      </rPr>
      <t>0</t>
    </r>
    <r>
      <rPr>
        <b/>
        <sz val="9"/>
        <rFont val="Times New Roman"/>
        <family val="1"/>
        <charset val="204"/>
      </rPr>
      <t xml:space="preserve"> C соды</t>
    </r>
  </si>
  <si>
    <r>
      <t xml:space="preserve">t </t>
    </r>
    <r>
      <rPr>
        <b/>
        <vertAlign val="superscript"/>
        <sz val="9"/>
        <rFont val="Times New Roman"/>
        <family val="1"/>
        <charset val="204"/>
      </rPr>
      <t>0</t>
    </r>
    <r>
      <rPr>
        <b/>
        <sz val="9"/>
        <rFont val="Times New Roman"/>
        <family val="1"/>
        <charset val="204"/>
      </rPr>
      <t xml:space="preserve"> C  выходящих газов/</t>
    </r>
    <r>
      <rPr>
        <sz val="9"/>
        <rFont val="Times New Roman"/>
        <family val="1"/>
        <charset val="204"/>
      </rPr>
      <t>маз</t>
    </r>
  </si>
  <si>
    <r>
      <t xml:space="preserve">t </t>
    </r>
    <r>
      <rPr>
        <b/>
        <vertAlign val="superscript"/>
        <sz val="9"/>
        <rFont val="Times New Roman"/>
        <family val="1"/>
        <charset val="204"/>
      </rPr>
      <t>0</t>
    </r>
    <r>
      <rPr>
        <b/>
        <sz val="9"/>
        <rFont val="Times New Roman"/>
        <family val="1"/>
        <charset val="204"/>
      </rPr>
      <t xml:space="preserve"> C  выходящих газов/газ</t>
    </r>
  </si>
  <si>
    <r>
      <t>СО</t>
    </r>
    <r>
      <rPr>
        <b/>
        <vertAlign val="subscript"/>
        <sz val="9"/>
        <rFont val="Times New Roman"/>
        <family val="1"/>
        <charset val="204"/>
      </rPr>
      <t>2</t>
    </r>
    <r>
      <rPr>
        <b/>
        <sz val="9"/>
        <rFont val="Times New Roman"/>
        <family val="1"/>
        <charset val="204"/>
      </rPr>
      <t xml:space="preserve"> дымовых газов, %</t>
    </r>
  </si>
  <si>
    <r>
      <t xml:space="preserve">t </t>
    </r>
    <r>
      <rPr>
        <b/>
        <vertAlign val="superscript"/>
        <sz val="9"/>
        <rFont val="Times New Roman"/>
        <family val="1"/>
        <charset val="204"/>
      </rPr>
      <t>0</t>
    </r>
    <r>
      <rPr>
        <b/>
        <sz val="9"/>
        <rFont val="Times New Roman"/>
        <family val="1"/>
        <charset val="204"/>
      </rPr>
      <t xml:space="preserve"> C  воздух на горение</t>
    </r>
  </si>
  <si>
    <r>
      <t>расход газа м</t>
    </r>
    <r>
      <rPr>
        <b/>
        <vertAlign val="superscript"/>
        <sz val="9"/>
        <rFont val="Times New Roman"/>
        <family val="1"/>
        <charset val="204"/>
      </rPr>
      <t>3</t>
    </r>
    <r>
      <rPr>
        <b/>
        <sz val="9"/>
        <rFont val="Times New Roman"/>
        <family val="1"/>
        <charset val="204"/>
      </rPr>
      <t>/час</t>
    </r>
  </si>
  <si>
    <r>
      <t xml:space="preserve">t, 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С газа</t>
    </r>
  </si>
  <si>
    <r>
      <t>СО</t>
    </r>
    <r>
      <rPr>
        <b/>
        <vertAlign val="subscript"/>
        <sz val="14"/>
        <color indexed="12"/>
        <rFont val="Times New Roman"/>
        <family val="1"/>
        <charset val="204"/>
      </rPr>
      <t>2</t>
    </r>
    <r>
      <rPr>
        <b/>
        <sz val="14"/>
        <color indexed="12"/>
        <rFont val="Times New Roman"/>
        <family val="1"/>
        <charset val="204"/>
      </rPr>
      <t>топоч.</t>
    </r>
  </si>
  <si>
    <r>
      <t>СО</t>
    </r>
    <r>
      <rPr>
        <b/>
        <vertAlign val="subscript"/>
        <sz val="14"/>
        <color indexed="12"/>
        <rFont val="Times New Roman"/>
        <family val="1"/>
        <charset val="204"/>
      </rPr>
      <t>2</t>
    </r>
    <r>
      <rPr>
        <b/>
        <sz val="14"/>
        <color indexed="12"/>
        <rFont val="Times New Roman"/>
        <family val="1"/>
        <charset val="204"/>
      </rPr>
      <t xml:space="preserve"> Sb.</t>
    </r>
  </si>
  <si>
    <r>
      <t>СО</t>
    </r>
    <r>
      <rPr>
        <b/>
        <vertAlign val="subscript"/>
        <sz val="14"/>
        <color indexed="12"/>
        <rFont val="Times New Roman"/>
        <family val="1"/>
        <charset val="204"/>
      </rPr>
      <t>2</t>
    </r>
    <r>
      <rPr>
        <b/>
        <sz val="14"/>
        <color indexed="12"/>
        <rFont val="Times New Roman"/>
        <family val="1"/>
        <charset val="204"/>
      </rPr>
      <t xml:space="preserve"> ПК.</t>
    </r>
  </si>
  <si>
    <r>
      <t>t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 C соды</t>
    </r>
  </si>
  <si>
    <r>
      <t xml:space="preserve">t 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C  д.г./</t>
    </r>
    <r>
      <rPr>
        <sz val="14"/>
        <rFont val="Times New Roman"/>
        <family val="1"/>
        <charset val="204"/>
      </rPr>
      <t>маз</t>
    </r>
  </si>
  <si>
    <r>
      <t>СО</t>
    </r>
    <r>
      <rPr>
        <b/>
        <vertAlign val="subscript"/>
        <sz val="14"/>
        <rFont val="Times New Roman"/>
        <family val="1"/>
        <charset val="204"/>
      </rPr>
      <t>2</t>
    </r>
    <r>
      <rPr>
        <b/>
        <sz val="14"/>
        <rFont val="Times New Roman"/>
        <family val="1"/>
        <charset val="204"/>
      </rPr>
      <t xml:space="preserve"> т.г.</t>
    </r>
  </si>
  <si>
    <r>
      <t xml:space="preserve">t 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C  в газ-де</t>
    </r>
  </si>
  <si>
    <t>Т⁰ соды</t>
  </si>
  <si>
    <t>Т⁰С д.г.</t>
  </si>
  <si>
    <t>СО₂ т.г. %</t>
  </si>
  <si>
    <t>Т⁰С рекуп.</t>
  </si>
  <si>
    <t>расх.газа, м³/час</t>
  </si>
  <si>
    <t>Автоматические показатели работы СП  21:00</t>
  </si>
  <si>
    <t xml:space="preserve">Инженер 1 категории </t>
  </si>
  <si>
    <r>
      <t>м</t>
    </r>
    <r>
      <rPr>
        <vertAlign val="superscript"/>
        <sz val="16"/>
        <rFont val="Times New Roman"/>
        <family val="1"/>
        <charset val="204"/>
      </rPr>
      <t>3</t>
    </r>
    <r>
      <rPr>
        <sz val="16"/>
        <rFont val="Times New Roman"/>
        <family val="1"/>
        <charset val="204"/>
      </rPr>
      <t>/ч</t>
    </r>
  </si>
  <si>
    <t>коллектор газа               1 ввода</t>
  </si>
  <si>
    <t>часы</t>
  </si>
  <si>
    <t>Нагрузка</t>
  </si>
  <si>
    <t xml:space="preserve">количество </t>
  </si>
  <si>
    <t>25 бочки</t>
  </si>
  <si>
    <t xml:space="preserve">Количество выполненных анализов за сутки </t>
  </si>
  <si>
    <t xml:space="preserve">Количество показателей автоматического контроля  за сутки </t>
  </si>
  <si>
    <t>низа</t>
  </si>
  <si>
    <t>Количество анализов и показателей авт. контроля за сутки</t>
  </si>
  <si>
    <t>Расход промывной воды</t>
  </si>
  <si>
    <t>Количество  дополнительных  анализов</t>
  </si>
  <si>
    <t>итого за сутки</t>
  </si>
  <si>
    <t>ВК1</t>
  </si>
  <si>
    <t>ВК2</t>
  </si>
  <si>
    <t xml:space="preserve"> Жидкость после   дистиллера слабой жидкости (ДСЖ № 1 )  </t>
  </si>
  <si>
    <t xml:space="preserve"> Жидкость после   дистиллера флегмы (ДСЖ № 2 )  </t>
  </si>
  <si>
    <t xml:space="preserve">2 раза в смену </t>
  </si>
  <si>
    <t xml:space="preserve">ПК4 - 75% Объёмная доля СО2, %(об.) </t>
  </si>
  <si>
    <t>Норма ТК -80%</t>
  </si>
  <si>
    <t xml:space="preserve">сода кальцинированная марка Б: после содовых печей рейдлер Р2,Р2а,р2б; после паровых кальцинаторов редлер 4б </t>
  </si>
  <si>
    <t>Температура соды на выходе ПК  165-185</t>
  </si>
  <si>
    <t>СО2 дымовых газов, %      не менее 8,5%</t>
  </si>
  <si>
    <r>
      <t xml:space="preserve">t </t>
    </r>
    <r>
      <rPr>
        <b/>
        <sz val="14"/>
        <color theme="1"/>
        <rFont val="Calibri"/>
        <family val="2"/>
        <charset val="204"/>
      </rPr>
      <t>˚</t>
    </r>
    <r>
      <rPr>
        <b/>
        <sz val="14"/>
        <color theme="1"/>
        <rFont val="Times New Roman"/>
        <family val="1"/>
        <charset val="204"/>
      </rPr>
      <t>C  возд. на горение</t>
    </r>
  </si>
  <si>
    <r>
      <t xml:space="preserve">t  </t>
    </r>
    <r>
      <rPr>
        <b/>
        <sz val="14"/>
        <color theme="1"/>
        <rFont val="Calibri"/>
        <family val="2"/>
        <charset val="204"/>
      </rPr>
      <t>˚</t>
    </r>
    <r>
      <rPr>
        <b/>
        <sz val="14"/>
        <color theme="1"/>
        <rFont val="Times New Roman"/>
        <family val="1"/>
        <charset val="204"/>
      </rPr>
      <t xml:space="preserve"> C  выходящих газов/газ                                                    - не более 550</t>
    </r>
  </si>
  <si>
    <t xml:space="preserve">Температура соды из выгружного шнека СП - 145-165                                            </t>
  </si>
  <si>
    <t>Объёмная доля СО2 в газе после ПГСП                             Норма ТР- не менее 84%</t>
  </si>
  <si>
    <t>Норма ТК -  90%</t>
  </si>
  <si>
    <t>Удлинение барабана СП - не более 120 мм</t>
  </si>
  <si>
    <t xml:space="preserve">Объёмная доля СО2 в газе ПК№5 3 сода - 85% </t>
  </si>
  <si>
    <t>Норма ТК - 85%</t>
  </si>
  <si>
    <t>Давление газа кгс/см²</t>
  </si>
  <si>
    <t>Вакуум мм.водн. ст. не ниже 380</t>
  </si>
  <si>
    <r>
      <t>М.д. железа% (Fe</t>
    </r>
    <r>
      <rPr>
        <b/>
        <vertAlign val="subscript"/>
        <sz val="13"/>
        <rFont val="Times New Roman"/>
        <family val="1"/>
        <charset val="204"/>
      </rPr>
      <t>2</t>
    </r>
    <r>
      <rPr>
        <b/>
        <sz val="13"/>
        <rFont val="Times New Roman"/>
        <family val="1"/>
        <charset val="204"/>
      </rPr>
      <t>О</t>
    </r>
    <r>
      <rPr>
        <b/>
        <vertAlign val="subscript"/>
        <sz val="13"/>
        <rFont val="Times New Roman"/>
        <family val="1"/>
        <charset val="204"/>
      </rPr>
      <t>3)</t>
    </r>
  </si>
  <si>
    <t>кол.</t>
  </si>
  <si>
    <t>откл</t>
  </si>
  <si>
    <t>СL</t>
  </si>
  <si>
    <t>т-ра</t>
  </si>
  <si>
    <t>кол</t>
  </si>
  <si>
    <t xml:space="preserve">1 вх </t>
  </si>
  <si>
    <t xml:space="preserve">2вх </t>
  </si>
  <si>
    <t>1 вх - 3,6-4,2</t>
  </si>
  <si>
    <t>2вх  - 2,5-3,3</t>
  </si>
  <si>
    <t>ф.г. - 3,4-4,2</t>
  </si>
  <si>
    <t>КАЛЬЦИНАЦИЯ</t>
  </si>
  <si>
    <t xml:space="preserve">ИП </t>
  </si>
  <si>
    <t>2ВХ</t>
  </si>
  <si>
    <t>Р</t>
  </si>
  <si>
    <t xml:space="preserve">В общ </t>
  </si>
  <si>
    <t xml:space="preserve">В до цикл </t>
  </si>
  <si>
    <t>н/б</t>
  </si>
  <si>
    <t>Часы</t>
  </si>
  <si>
    <t xml:space="preserve"> МИ 15-А2-2021                                                                                                                                                                                              Объёмный метод                                           Диапозон измерений (0,2 – 99,0) %</t>
  </si>
  <si>
    <t xml:space="preserve"> МИ 15-А2-2021                                                          Объёмный метод                                                    Диапозон измерений (0,2 – 99,0) %</t>
  </si>
  <si>
    <t>МИ 15-А2-2021                                              Объёмный метод                                                   Диапозон измерений (0,2 – 99,0) %</t>
  </si>
  <si>
    <t>МИ 15-А2-2021                                                                        Объёмный метод                                                      Диапозон измерений (0,2 – 99,0) %</t>
  </si>
  <si>
    <t>не менее  85</t>
  </si>
  <si>
    <t>Автоматические показатели работы СП  09:00</t>
  </si>
  <si>
    <t>Вакуум в/ф</t>
  </si>
  <si>
    <t>Р  024-2023</t>
  </si>
  <si>
    <t>Приложение 3</t>
  </si>
  <si>
    <t>Приложение № 3</t>
  </si>
  <si>
    <t>А.З.Краснова</t>
  </si>
  <si>
    <t xml:space="preserve">Цех № 66 Отделение Карбонизации-1  </t>
  </si>
  <si>
    <t>отметка 0,0м</t>
  </si>
  <si>
    <t>отметка 8,0м</t>
  </si>
  <si>
    <t>отметка 12,0м</t>
  </si>
  <si>
    <t>М.к.аммиака (в пересчете на 25,5%), кг/т соды</t>
  </si>
  <si>
    <t xml:space="preserve"> угл. газ, СО2</t>
  </si>
  <si>
    <t>двуок.угл.</t>
  </si>
  <si>
    <t>Об.экв.к. сульфид-ионов, н.д</t>
  </si>
  <si>
    <t>Об.экв.к. хлорид-ионов,н.д</t>
  </si>
  <si>
    <t>Об.экв.к. хлорид-ионов,  н.д</t>
  </si>
  <si>
    <t>Об.экв.к.ионов аммония, н.д</t>
  </si>
  <si>
    <t>Об.экв.к. NH₃ связ., н.д</t>
  </si>
  <si>
    <r>
      <t xml:space="preserve">t, </t>
    </r>
    <r>
      <rPr>
        <vertAlign val="superscript"/>
        <sz val="9"/>
        <rFont val="Times New Roman"/>
        <family val="1"/>
        <charset val="204"/>
      </rPr>
      <t>0</t>
    </r>
    <r>
      <rPr>
        <sz val="9"/>
        <rFont val="Times New Roman"/>
        <family val="1"/>
        <charset val="204"/>
      </rPr>
      <t>С 14 бочки</t>
    </r>
  </si>
  <si>
    <r>
      <t xml:space="preserve">t, </t>
    </r>
    <r>
      <rPr>
        <vertAlign val="superscript"/>
        <sz val="9"/>
        <rFont val="Times New Roman"/>
        <family val="1"/>
        <charset val="204"/>
      </rPr>
      <t>0</t>
    </r>
    <r>
      <rPr>
        <sz val="9"/>
        <rFont val="Times New Roman"/>
        <family val="1"/>
        <charset val="204"/>
      </rPr>
      <t>С 25 бочки</t>
    </r>
  </si>
  <si>
    <t>Об.экв.к.хлорид-ионов,  н.д</t>
  </si>
  <si>
    <t>Об.экв.к.ионов аммония,н.д</t>
  </si>
  <si>
    <t>Об.экв.к.хлорид-ионов, н.д</t>
  </si>
  <si>
    <t>Об.экв.к.NH₃ связ, н.д</t>
  </si>
  <si>
    <t>Об.экв.к.хлорид-ионов,н.д</t>
  </si>
  <si>
    <t>Об.экв.к. хлорид-ионов, н.д</t>
  </si>
  <si>
    <t>Об.экв.к.NH₃ связ., н.д</t>
  </si>
  <si>
    <t>Усредненные прбы за смену</t>
  </si>
  <si>
    <t xml:space="preserve">МЖ 1л/ф </t>
  </si>
  <si>
    <t xml:space="preserve">МЖ 2л/ф </t>
  </si>
  <si>
    <t xml:space="preserve">МЖ б/ф </t>
  </si>
  <si>
    <t>Сусп.л/ф ср.зн.</t>
  </si>
  <si>
    <t>МЖ л/ф ср.зн.</t>
  </si>
  <si>
    <t>Потери гидрокарбоната натрия, %</t>
  </si>
  <si>
    <t>МЖ</t>
  </si>
  <si>
    <t>Об.экв.к.акт.гидрокс.кальц.в пер.на акт.окись кальц.(СаОакт), н.д</t>
  </si>
  <si>
    <t>Об.экв.к.аммиака, н.д/2л</t>
  </si>
  <si>
    <t>Усредненные пробы за смену</t>
  </si>
  <si>
    <t>Уровень       САР 1бак</t>
  </si>
  <si>
    <t>Уровень       САР 2бак</t>
  </si>
  <si>
    <t>Уровень                       СФЖ 1бак</t>
  </si>
  <si>
    <t>Уровень                 СФЖ 2бак</t>
  </si>
  <si>
    <t>конец смены</t>
  </si>
  <si>
    <t>начало смены</t>
  </si>
  <si>
    <r>
      <t>t</t>
    </r>
    <r>
      <rPr>
        <vertAlign val="superscript"/>
        <sz val="14"/>
        <rFont val="Times New Roman"/>
        <family val="1"/>
        <charset val="204"/>
      </rPr>
      <t xml:space="preserve">0 </t>
    </r>
    <r>
      <rPr>
        <sz val="14"/>
        <rFont val="Times New Roman"/>
        <family val="1"/>
        <charset val="204"/>
      </rPr>
      <t>р.в.</t>
    </r>
  </si>
  <si>
    <r>
      <t>t</t>
    </r>
    <r>
      <rPr>
        <vertAlign val="superscript"/>
        <sz val="14"/>
        <rFont val="Times New Roman"/>
        <family val="1"/>
        <charset val="204"/>
      </rPr>
      <t>0</t>
    </r>
    <r>
      <rPr>
        <sz val="14"/>
        <rFont val="Times New Roman"/>
        <family val="1"/>
        <charset val="204"/>
      </rPr>
      <t xml:space="preserve"> об.в.</t>
    </r>
  </si>
  <si>
    <r>
      <t>t</t>
    </r>
    <r>
      <rPr>
        <vertAlign val="superscript"/>
        <sz val="14"/>
        <rFont val="Times New Roman"/>
        <family val="1"/>
        <charset val="204"/>
      </rPr>
      <t>0</t>
    </r>
    <r>
      <rPr>
        <sz val="14"/>
        <rFont val="Times New Roman"/>
        <family val="1"/>
        <charset val="204"/>
      </rPr>
      <t xml:space="preserve"> н.в.</t>
    </r>
  </si>
  <si>
    <r>
      <t>t</t>
    </r>
    <r>
      <rPr>
        <vertAlign val="superscript"/>
        <sz val="14"/>
        <rFont val="Times New Roman"/>
        <family val="1"/>
        <charset val="204"/>
      </rPr>
      <t>0</t>
    </r>
    <r>
      <rPr>
        <sz val="14"/>
        <rFont val="Times New Roman"/>
        <family val="1"/>
        <charset val="204"/>
      </rPr>
      <t xml:space="preserve"> пр.в</t>
    </r>
  </si>
  <si>
    <r>
      <t>t</t>
    </r>
    <r>
      <rPr>
        <vertAlign val="superscript"/>
        <sz val="14"/>
        <rFont val="Times New Roman"/>
        <family val="1"/>
        <charset val="204"/>
      </rPr>
      <t>0</t>
    </r>
    <r>
      <rPr>
        <sz val="14"/>
        <rFont val="Times New Roman"/>
        <family val="1"/>
        <charset val="204"/>
      </rPr>
      <t xml:space="preserve"> ам. рассола</t>
    </r>
  </si>
  <si>
    <r>
      <t xml:space="preserve"> 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>C</t>
    </r>
  </si>
  <si>
    <t>Р н.в.</t>
  </si>
  <si>
    <t>Сырой гидрокарбонат натрия</t>
  </si>
  <si>
    <t>Массовая доля влаги, %</t>
  </si>
  <si>
    <t>Массовая доля хлоридов, %</t>
  </si>
  <si>
    <r>
      <t>Объёмная доля СО</t>
    </r>
    <r>
      <rPr>
        <vertAlign val="subscript"/>
        <sz val="16"/>
        <rFont val="Times New Roman"/>
        <family val="1"/>
        <charset val="204"/>
      </rPr>
      <t xml:space="preserve">2 </t>
    </r>
    <r>
      <rPr>
        <sz val="16"/>
        <rFont val="Times New Roman"/>
        <family val="1"/>
        <charset val="204"/>
      </rPr>
      <t xml:space="preserve">в газе, % </t>
    </r>
  </si>
  <si>
    <t>Ж-ть после ПГКЛ-II</t>
  </si>
  <si>
    <t>Ж-ть после ПГАБ</t>
  </si>
  <si>
    <t xml:space="preserve"> ПГАБ</t>
  </si>
  <si>
    <r>
      <t>Расход ФЖ на элемент ДС,м</t>
    </r>
    <r>
      <rPr>
        <vertAlign val="superscript"/>
        <sz val="12"/>
        <rFont val="Times New Roman"/>
        <family val="1"/>
        <charset val="204"/>
      </rPr>
      <t>3</t>
    </r>
    <r>
      <rPr>
        <sz val="12"/>
        <rFont val="Times New Roman"/>
        <family val="1"/>
        <charset val="204"/>
      </rPr>
      <t>/ч</t>
    </r>
  </si>
  <si>
    <t>Мастер смены отд. Компрессии-1:</t>
  </si>
  <si>
    <t>Мастер смены отд.Карбонизации-1:</t>
  </si>
  <si>
    <t>Мастер смены отд.Кальцинации-1:</t>
  </si>
  <si>
    <t>Кол-во л/ф</t>
  </si>
  <si>
    <t>Кол-во б/ф</t>
  </si>
  <si>
    <t>Вакуум на машины,мм.рт.ст.</t>
  </si>
  <si>
    <t>Дата:</t>
  </si>
  <si>
    <t>Лаборатория № 3:</t>
  </si>
  <si>
    <t>Лаборанты хим.анализа:</t>
  </si>
  <si>
    <t>20:00-21:00</t>
  </si>
  <si>
    <t>21:00-22:00</t>
  </si>
  <si>
    <t>22:00-23:00</t>
  </si>
  <si>
    <t>23:00-24:00</t>
  </si>
  <si>
    <t>00:00-01:00</t>
  </si>
  <si>
    <t>01:00-02:00</t>
  </si>
  <si>
    <t>02:00-03:00</t>
  </si>
  <si>
    <t>03:00-04:00</t>
  </si>
  <si>
    <t>04:00-05:00</t>
  </si>
  <si>
    <t>05:00-06:00</t>
  </si>
  <si>
    <t>06:00-07:00</t>
  </si>
  <si>
    <t>07:00-08:00</t>
  </si>
  <si>
    <t>24:00-01:00</t>
  </si>
  <si>
    <t>08:00-09:00</t>
  </si>
  <si>
    <t>09:00-10:00</t>
  </si>
  <si>
    <t>10:00-11:00</t>
  </si>
  <si>
    <t>11:00-12:00</t>
  </si>
  <si>
    <t>12:00-13:00</t>
  </si>
  <si>
    <t>13:00-14:00</t>
  </si>
  <si>
    <t>14:00-15:00</t>
  </si>
  <si>
    <t>15:00-16:00</t>
  </si>
  <si>
    <t>16:00-17:00</t>
  </si>
  <si>
    <t>17:00-18:00</t>
  </si>
  <si>
    <t>18:00-19:00</t>
  </si>
  <si>
    <t>19:00-20:00</t>
  </si>
  <si>
    <r>
      <t>NH</t>
    </r>
    <r>
      <rPr>
        <vertAlign val="subscript"/>
        <sz val="11"/>
        <color theme="1"/>
        <rFont val="Times New Roman"/>
        <family val="1"/>
        <charset val="204"/>
      </rPr>
      <t>3</t>
    </r>
    <r>
      <rPr>
        <sz val="11"/>
        <color theme="1"/>
        <rFont val="Times New Roman"/>
        <family val="1"/>
        <charset val="204"/>
      </rPr>
      <t>, мг/м</t>
    </r>
    <r>
      <rPr>
        <vertAlign val="superscript"/>
        <sz val="11"/>
        <color theme="1"/>
        <rFont val="Times New Roman"/>
        <family val="1"/>
        <charset val="204"/>
      </rPr>
      <t>3</t>
    </r>
  </si>
  <si>
    <r>
      <t>H</t>
    </r>
    <r>
      <rPr>
        <vertAlign val="subscript"/>
        <sz val="11"/>
        <color theme="1"/>
        <rFont val="Times New Roman"/>
        <family val="1"/>
        <charset val="204"/>
      </rPr>
      <t>2</t>
    </r>
    <r>
      <rPr>
        <sz val="11"/>
        <color theme="1"/>
        <rFont val="Times New Roman"/>
        <family val="1"/>
        <charset val="204"/>
      </rPr>
      <t>S, мг/м</t>
    </r>
    <r>
      <rPr>
        <vertAlign val="superscript"/>
        <sz val="11"/>
        <color theme="1"/>
        <rFont val="Times New Roman"/>
        <family val="1"/>
        <charset val="204"/>
      </rPr>
      <t>3</t>
    </r>
  </si>
  <si>
    <r>
      <t>СО, мг/м</t>
    </r>
    <r>
      <rPr>
        <vertAlign val="superscript"/>
        <sz val="11"/>
        <color theme="1"/>
        <rFont val="Times New Roman"/>
        <family val="1"/>
        <charset val="204"/>
      </rPr>
      <t>3</t>
    </r>
  </si>
  <si>
    <r>
      <t>О</t>
    </r>
    <r>
      <rPr>
        <vertAlign val="subscript"/>
        <sz val="11"/>
        <color theme="1"/>
        <rFont val="Times New Roman"/>
        <family val="1"/>
        <charset val="204"/>
      </rPr>
      <t>2</t>
    </r>
    <r>
      <rPr>
        <sz val="11"/>
        <color theme="1"/>
        <rFont val="Times New Roman"/>
        <family val="1"/>
        <charset val="204"/>
      </rPr>
      <t xml:space="preserve">
%</t>
    </r>
  </si>
  <si>
    <t>1.Входной контроль</t>
  </si>
  <si>
    <t xml:space="preserve">МИ 116-А2-2019 
Титриметрический метод 
Диапазон измерений: 
в жидкостях от 1,0 до 300,0 н.д.
</t>
  </si>
  <si>
    <t xml:space="preserve">МИ 85-А2-2017 
Титриметрический метод 
Диапазон измерений 
(0,040 – 106,0) н.д.
</t>
  </si>
  <si>
    <t xml:space="preserve">МИ 103-А2-2018
Титриметрический метод
Диапазон измерений                     
(0,030 – 2,00) %
</t>
  </si>
  <si>
    <t xml:space="preserve">МИ 104-А2-2018
Фотоколориметрический метод
Диапазон измерений 
(0,00030 – 0,0100) %
</t>
  </si>
  <si>
    <t xml:space="preserve">МИ 115-А2-2019
Титриметрический метод
Диапазон измерений -                                                  
в жидкостях  (1,0 до 300,0) н.д.
</t>
  </si>
  <si>
    <t xml:space="preserve">МИ 103-А2-2018
Титриметрический метод
Диапазон измерений                    
 (0,030 – 2,00) %
</t>
  </si>
  <si>
    <t xml:space="preserve">МИ 116-А2-2019 
Титриметрический метод 
Диапазон измерений:
 в жидкостях от 1,0 до 300,0 н.д.
</t>
  </si>
  <si>
    <t>Отделение Абсорбции-Дистилляции-1</t>
  </si>
  <si>
    <t>Станция Карбонизации</t>
  </si>
  <si>
    <t>Жидк. после ПГКл-2</t>
  </si>
  <si>
    <t>Жидк. после ПГАБ</t>
  </si>
  <si>
    <t>Общая щелоч-ность                            (пр.т.), н.д.</t>
  </si>
  <si>
    <t>Общая щелочность                            (пр.т.), н.д.</t>
  </si>
  <si>
    <t>Об.экв. концентра-ция хлорид-ионов, н.д.</t>
  </si>
  <si>
    <t>Об.экв. концент-рация ионов аммония,                н.д.</t>
  </si>
  <si>
    <t>Об.экв.
концентра-ция NH₃ связан,н.д</t>
  </si>
  <si>
    <t>Флегма (конденсат) после КДС</t>
  </si>
  <si>
    <t>Выходящая жидкость из КДС</t>
  </si>
  <si>
    <r>
      <t>Объем Hg(NO</t>
    </r>
    <r>
      <rPr>
        <sz val="10"/>
        <color theme="1"/>
        <rFont val="Calibri"/>
        <family val="2"/>
        <charset val="204"/>
      </rPr>
      <t>₃</t>
    </r>
    <r>
      <rPr>
        <sz val="10"/>
        <color theme="1"/>
        <rFont val="Times New Roman"/>
        <family val="1"/>
        <charset val="204"/>
      </rPr>
      <t>)</t>
    </r>
    <r>
      <rPr>
        <sz val="10"/>
        <color theme="1"/>
        <rFont val="Calibri"/>
        <family val="2"/>
        <charset val="204"/>
      </rPr>
      <t xml:space="preserve">₂=  </t>
    </r>
    <r>
      <rPr>
        <sz val="10"/>
        <color theme="1"/>
        <rFont val="Times New Roman"/>
        <family val="1"/>
        <charset val="204"/>
      </rPr>
      <t>0,1моль/дм</t>
    </r>
    <r>
      <rPr>
        <sz val="10"/>
        <color theme="1"/>
        <rFont val="Calibri"/>
        <family val="2"/>
        <charset val="204"/>
      </rPr>
      <t>³</t>
    </r>
    <r>
      <rPr>
        <sz val="10"/>
        <color theme="1"/>
        <rFont val="Times New Roman"/>
        <family val="1"/>
        <charset val="204"/>
      </rPr>
      <t>, израсходова-нный на титрование,                        см</t>
    </r>
    <r>
      <rPr>
        <sz val="10"/>
        <color theme="1"/>
        <rFont val="Calibri"/>
        <family val="2"/>
        <charset val="204"/>
      </rPr>
      <t>³</t>
    </r>
  </si>
  <si>
    <r>
      <t>Объем  HCL =1моль/дм</t>
    </r>
    <r>
      <rPr>
        <sz val="10"/>
        <color theme="1"/>
        <rFont val="Calibri"/>
        <family val="2"/>
        <charset val="204"/>
      </rPr>
      <t xml:space="preserve">³ </t>
    </r>
    <r>
      <rPr>
        <sz val="10"/>
        <color theme="1"/>
        <rFont val="Times New Roman"/>
        <family val="1"/>
        <charset val="204"/>
      </rPr>
      <t>израсходо-ванный на титрование, см</t>
    </r>
    <r>
      <rPr>
        <sz val="10"/>
        <color theme="1"/>
        <rFont val="Calibri"/>
        <family val="2"/>
        <charset val="204"/>
      </rPr>
      <t>³</t>
    </r>
  </si>
  <si>
    <t>№ 1</t>
  </si>
  <si>
    <t>№ 2</t>
  </si>
  <si>
    <t>№ 3</t>
  </si>
  <si>
    <t>№ 4</t>
  </si>
  <si>
    <t>№ 5</t>
  </si>
  <si>
    <t>№ 6</t>
  </si>
  <si>
    <t>№ 7</t>
  </si>
  <si>
    <t>№ эле-мента</t>
  </si>
  <si>
    <t>Отх. газ после ПВФл</t>
  </si>
  <si>
    <t>Отходящий газ после ПГКл-2</t>
  </si>
  <si>
    <t>Отх.газ после ПГАБ</t>
  </si>
  <si>
    <t>Газ после ХГДС</t>
  </si>
  <si>
    <t xml:space="preserve">Аммонизировнный рассол </t>
  </si>
  <si>
    <t>Газ после КДС</t>
  </si>
  <si>
    <t>Жидк. после ДСЖ</t>
  </si>
  <si>
    <t>Жидкость после испарителя</t>
  </si>
  <si>
    <t xml:space="preserve">Жидкость после ТДС </t>
  </si>
  <si>
    <t xml:space="preserve">Суспензия гидрокарбонатат натрия </t>
  </si>
  <si>
    <t xml:space="preserve">Жидк.после КЛПК </t>
  </si>
  <si>
    <t>Сырой гидрокарбонат натрия с б/ф</t>
  </si>
  <si>
    <t xml:space="preserve"> Маточная жидкость с б/ф</t>
  </si>
  <si>
    <t>Сырой гидрокарбонат натрия с л/ф</t>
  </si>
  <si>
    <t xml:space="preserve"> Маточная жидкость с л/ф</t>
  </si>
  <si>
    <t>М.к. аммиака</t>
  </si>
  <si>
    <t>кол-во ан.</t>
  </si>
  <si>
    <t>кол-во откл.</t>
  </si>
  <si>
    <t>Общ.щ.</t>
  </si>
  <si>
    <t>Об.доля СО₂</t>
  </si>
  <si>
    <t xml:space="preserve">кол-во откл.по ТК </t>
  </si>
  <si>
    <t>Тем-ра</t>
  </si>
  <si>
    <t>Об.экв.к. Cl⁻</t>
  </si>
  <si>
    <t>Об.экв.к. S²⁻</t>
  </si>
  <si>
    <t>Об.экв.к.NH₃</t>
  </si>
  <si>
    <t>Об.экв.к.CаО</t>
  </si>
  <si>
    <t>Об.экв.к. СО₂</t>
  </si>
  <si>
    <t>Об.экв.к.св. NH₃</t>
  </si>
  <si>
    <t>М.д.                        влаги</t>
  </si>
  <si>
    <t>М.д.хлоридов</t>
  </si>
  <si>
    <t>П б-та</t>
  </si>
  <si>
    <t>не более 0,80 кг/ т.с</t>
  </si>
  <si>
    <t>не более 24,0 н.д</t>
  </si>
  <si>
    <t>не более 8,0 н.д</t>
  </si>
  <si>
    <t>не более 0,80 кг/т.с</t>
  </si>
  <si>
    <t>н.б. 0,20 кг/т.с.</t>
  </si>
  <si>
    <t>не менее 90,0 %</t>
  </si>
  <si>
    <t>не более 40,0 н.д</t>
  </si>
  <si>
    <t>56-62 ⁰С</t>
  </si>
  <si>
    <t>не менее 86,8 н.д</t>
  </si>
  <si>
    <t>0,20-1,00 н.д</t>
  </si>
  <si>
    <t>не более 70⁰С</t>
  </si>
  <si>
    <t>не более 71 ⁰С</t>
  </si>
  <si>
    <t>не более 20,0 н.д/2л</t>
  </si>
  <si>
    <t>не более 15,0 н.д/2л</t>
  </si>
  <si>
    <t>не более 2,5 н.д</t>
  </si>
  <si>
    <t>не менее 60,0 н.д</t>
  </si>
  <si>
    <t>не более 2,00 н.д</t>
  </si>
  <si>
    <t>не менее 70,0 н.д.</t>
  </si>
  <si>
    <t>н.м.72,0</t>
  </si>
  <si>
    <t>не менее 95,0 н.д</t>
  </si>
  <si>
    <t>25-36 ⁰С</t>
  </si>
  <si>
    <t>42-52 ⁰С</t>
  </si>
  <si>
    <t>55,0-68,0 н.д</t>
  </si>
  <si>
    <t>не более 17,0 %</t>
  </si>
  <si>
    <t>не более 0,08 %</t>
  </si>
  <si>
    <t>не более 10,0 %</t>
  </si>
  <si>
    <t>не менее 82,0 н.д</t>
  </si>
  <si>
    <t>не более 16,8 %</t>
  </si>
  <si>
    <t>не более 3,5 %</t>
  </si>
  <si>
    <t>не менее 91,0 н.д</t>
  </si>
  <si>
    <t>30-40 ⁰С</t>
  </si>
  <si>
    <t>не более 0,30 н.д</t>
  </si>
  <si>
    <t>не более 25,0 н.д</t>
  </si>
  <si>
    <t>не менее 220 мм.рт.ст.</t>
  </si>
  <si>
    <t xml:space="preserve">72 -лето </t>
  </si>
  <si>
    <t xml:space="preserve">71 -зима </t>
  </si>
  <si>
    <t xml:space="preserve">70 -зима </t>
  </si>
  <si>
    <t xml:space="preserve">68 -лето </t>
  </si>
  <si>
    <t>V оч.р.</t>
  </si>
  <si>
    <t>СаО кг/т.с</t>
  </si>
  <si>
    <t>U СФЖ</t>
  </si>
  <si>
    <t>V шл</t>
  </si>
  <si>
    <t>V тдс</t>
  </si>
  <si>
    <t>СаО дс</t>
  </si>
  <si>
    <t>Об.экв.концентрация NH₃ связ., н.д</t>
  </si>
  <si>
    <t>Средн.
знач.</t>
  </si>
  <si>
    <t>Мин.
знач.</t>
  </si>
  <si>
    <t>Макс.
знач.</t>
  </si>
  <si>
    <t>Газ 1 ввода</t>
  </si>
  <si>
    <t>Газ после ПГАБ</t>
  </si>
  <si>
    <t>Расход извести</t>
  </si>
  <si>
    <t>4 ПК</t>
  </si>
  <si>
    <t>мин.знач.</t>
  </si>
  <si>
    <r>
      <t>NH</t>
    </r>
    <r>
      <rPr>
        <vertAlign val="subscript"/>
        <sz val="12"/>
        <rFont val="Times New Roman"/>
        <family val="1"/>
        <charset val="204"/>
      </rPr>
      <t>3</t>
    </r>
  </si>
  <si>
    <r>
      <t>Об.д.СО</t>
    </r>
    <r>
      <rPr>
        <vertAlign val="subscript"/>
        <sz val="12"/>
        <rFont val="Times New Roman"/>
        <family val="1"/>
        <charset val="204"/>
      </rPr>
      <t>2</t>
    </r>
  </si>
  <si>
    <r>
      <t>Т</t>
    </r>
    <r>
      <rPr>
        <vertAlign val="superscript"/>
        <sz val="12"/>
        <rFont val="Times New Roman"/>
        <family val="1"/>
        <charset val="204"/>
      </rPr>
      <t>0,</t>
    </r>
    <r>
      <rPr>
        <sz val="12"/>
        <rFont val="Times New Roman"/>
        <family val="1"/>
        <charset val="204"/>
      </rPr>
      <t>C</t>
    </r>
  </si>
  <si>
    <t>ИС и ШЛ</t>
  </si>
  <si>
    <t>СL⁻</t>
  </si>
  <si>
    <t>Об.экв.к. аммиака связ.</t>
  </si>
  <si>
    <t>Кл низ</t>
  </si>
  <si>
    <t>Кл верх</t>
  </si>
  <si>
    <t>М.д. влаги в бик-те</t>
  </si>
  <si>
    <t>М.д. хлоридов в бик-те</t>
  </si>
  <si>
    <t>М.д. хлоридов в пересчете на хлорид натрия, %</t>
  </si>
  <si>
    <t xml:space="preserve">М.д.железа в пересч. на оксид железа (III),% </t>
  </si>
  <si>
    <t>Потери бик-та</t>
  </si>
  <si>
    <t>СL⁻ в МЖ</t>
  </si>
  <si>
    <t>Об.экв.к. СL⁻</t>
  </si>
  <si>
    <t>Суспензия гидрокарбоната натрия</t>
  </si>
  <si>
    <t>Для Ермиловой</t>
  </si>
  <si>
    <r>
      <t>Р п кг/см</t>
    </r>
    <r>
      <rPr>
        <vertAlign val="superscript"/>
        <sz val="12"/>
        <rFont val="Times New Roman"/>
        <family val="1"/>
        <charset val="204"/>
      </rPr>
      <t>3</t>
    </r>
  </si>
  <si>
    <r>
      <t xml:space="preserve">t 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 xml:space="preserve">Спар. </t>
    </r>
  </si>
  <si>
    <r>
      <t>Fe</t>
    </r>
    <r>
      <rPr>
        <vertAlign val="superscript"/>
        <sz val="12"/>
        <rFont val="Times New Roman"/>
        <family val="1"/>
        <charset val="204"/>
      </rPr>
      <t>+3</t>
    </r>
  </si>
  <si>
    <t>Реч.в.</t>
  </si>
  <si>
    <t>Об.в.</t>
  </si>
  <si>
    <t>Наружн.воздух</t>
  </si>
  <si>
    <t>Оч.р</t>
  </si>
  <si>
    <t>Пр.в. 1л/ф</t>
  </si>
  <si>
    <t>Пр.в. 2л/ф</t>
  </si>
  <si>
    <t>суспензии</t>
  </si>
  <si>
    <t>газа Кл</t>
  </si>
  <si>
    <t>14 бочки</t>
  </si>
  <si>
    <r>
      <t>Т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,C</t>
    </r>
  </si>
  <si>
    <r>
      <t>Т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,C газа</t>
    </r>
  </si>
  <si>
    <t>М.к. аммиака в отх.газах</t>
  </si>
  <si>
    <t>ПГКл-2</t>
  </si>
  <si>
    <r>
      <t>S</t>
    </r>
    <r>
      <rPr>
        <vertAlign val="superscript"/>
        <sz val="11"/>
        <rFont val="Times New Roman"/>
        <family val="1"/>
        <charset val="204"/>
      </rPr>
      <t>2⁻</t>
    </r>
  </si>
  <si>
    <r>
      <t>СО</t>
    </r>
    <r>
      <rPr>
        <vertAlign val="subscript"/>
        <sz val="12"/>
        <rFont val="Times New Roman"/>
        <family val="1"/>
        <charset val="204"/>
      </rPr>
      <t>2</t>
    </r>
  </si>
  <si>
    <t>Для жидкостного</t>
  </si>
  <si>
    <t>Суспензия гидрокарбоната натрия с б/ф</t>
  </si>
  <si>
    <t>Суспензия гидрокарбоната натрия с 1 л/ф</t>
  </si>
  <si>
    <t>Суспензия гидрокарбоната натрия с 2 л/ф</t>
  </si>
  <si>
    <t>Маточная жидкость с б/ф</t>
  </si>
  <si>
    <t>Маточная жидкость с 1 л/ф</t>
  </si>
  <si>
    <t>Маточная жидкость с 2 л/ф</t>
  </si>
  <si>
    <t>Фильтровая жидкость с СФЖ</t>
  </si>
  <si>
    <t>Жидкость после ХГСП</t>
  </si>
  <si>
    <t>М.д.хлоридов в бик-те</t>
  </si>
  <si>
    <r>
      <t>NH</t>
    </r>
    <r>
      <rPr>
        <vertAlign val="subscript"/>
        <sz val="12"/>
        <rFont val="Times New Roman"/>
        <family val="1"/>
        <charset val="204"/>
      </rPr>
      <t>4</t>
    </r>
    <r>
      <rPr>
        <sz val="11"/>
        <color theme="1"/>
        <rFont val="Calibri"/>
        <family val="2"/>
        <charset val="204"/>
        <scheme val="minor"/>
      </rPr>
      <t/>
    </r>
  </si>
  <si>
    <t>S2⁻</t>
  </si>
  <si>
    <t>Жидкость после ПГКл-1</t>
  </si>
  <si>
    <t>14 бочка</t>
  </si>
  <si>
    <t>Жидкость после КлПК</t>
  </si>
  <si>
    <t>АБ-1</t>
  </si>
  <si>
    <r>
      <t>СО</t>
    </r>
    <r>
      <rPr>
        <vertAlign val="subscript"/>
        <sz val="12"/>
        <color indexed="8"/>
        <rFont val="Times New Roman"/>
        <family val="1"/>
        <charset val="204"/>
      </rPr>
      <t>2</t>
    </r>
  </si>
  <si>
    <t>Бик-т</t>
  </si>
  <si>
    <t>М.д.железа</t>
  </si>
  <si>
    <t>Маточная жидкость с л/ф</t>
  </si>
  <si>
    <t>25 бочка</t>
  </si>
  <si>
    <t>температура</t>
  </si>
  <si>
    <t>Жидк.после ИС</t>
  </si>
  <si>
    <t xml:space="preserve">Отх.вода </t>
  </si>
  <si>
    <t>1 смена</t>
  </si>
  <si>
    <t>2 смена</t>
  </si>
  <si>
    <t>СL⁻шл</t>
  </si>
  <si>
    <t>М.д.железа в бик-те</t>
  </si>
  <si>
    <t>М.д.влаги в бик-те</t>
  </si>
  <si>
    <t>Об.экв.к. СL⁻ с разб.</t>
  </si>
  <si>
    <t>Об.экв.к. СL⁻ без разб.</t>
  </si>
  <si>
    <r>
      <t>Об.экв.к. общ.NH</t>
    </r>
    <r>
      <rPr>
        <vertAlign val="subscript"/>
        <sz val="12"/>
        <rFont val="Times New Roman"/>
        <family val="1"/>
        <charset val="204"/>
      </rPr>
      <t>3</t>
    </r>
  </si>
  <si>
    <r>
      <t>Об.экв.к.СО</t>
    </r>
    <r>
      <rPr>
        <vertAlign val="subscript"/>
        <sz val="12"/>
        <rFont val="Times New Roman"/>
        <family val="1"/>
        <charset val="204"/>
      </rPr>
      <t>2</t>
    </r>
    <r>
      <rPr>
        <sz val="12"/>
        <rFont val="Times New Roman"/>
        <family val="1"/>
        <charset val="204"/>
      </rPr>
      <t xml:space="preserve"> в жид-х</t>
    </r>
  </si>
  <si>
    <r>
      <t>М.к. NH</t>
    </r>
    <r>
      <rPr>
        <vertAlign val="subscript"/>
        <sz val="12"/>
        <rFont val="Times New Roman"/>
        <family val="1"/>
        <charset val="204"/>
      </rPr>
      <t>3</t>
    </r>
    <r>
      <rPr>
        <sz val="12"/>
        <rFont val="Times New Roman"/>
        <family val="1"/>
        <charset val="204"/>
      </rPr>
      <t xml:space="preserve"> в отх.газе</t>
    </r>
  </si>
  <si>
    <r>
      <t>Об.экв.к. S</t>
    </r>
    <r>
      <rPr>
        <vertAlign val="superscript"/>
        <sz val="12"/>
        <rFont val="Times New Roman"/>
        <family val="1"/>
        <charset val="204"/>
      </rPr>
      <t>2-</t>
    </r>
  </si>
  <si>
    <r>
      <t>М.к.NH</t>
    </r>
    <r>
      <rPr>
        <vertAlign val="subscript"/>
        <sz val="12"/>
        <rFont val="Times New Roman"/>
        <family val="1"/>
        <charset val="204"/>
      </rPr>
      <t>3</t>
    </r>
    <r>
      <rPr>
        <sz val="12"/>
        <rFont val="Times New Roman"/>
        <family val="1"/>
        <charset val="204"/>
      </rPr>
      <t xml:space="preserve"> в отх.воде</t>
    </r>
  </si>
  <si>
    <r>
      <t>Об.д.СО</t>
    </r>
    <r>
      <rPr>
        <vertAlign val="subscript"/>
        <sz val="12"/>
        <rFont val="Times New Roman"/>
        <family val="1"/>
        <charset val="204"/>
      </rPr>
      <t xml:space="preserve">2 </t>
    </r>
    <r>
      <rPr>
        <sz val="12"/>
        <rFont val="Times New Roman"/>
        <family val="1"/>
        <charset val="204"/>
      </rPr>
      <t>в газе</t>
    </r>
  </si>
  <si>
    <t>Итого</t>
  </si>
  <si>
    <t>Кол-во ан.</t>
  </si>
  <si>
    <t xml:space="preserve">верха </t>
  </si>
  <si>
    <t xml:space="preserve">ПГКл-1 </t>
  </si>
  <si>
    <t>Оч.р.</t>
  </si>
  <si>
    <t>Речн.в.</t>
  </si>
  <si>
    <t>Обор.в.</t>
  </si>
  <si>
    <t>Нар.возд.</t>
  </si>
  <si>
    <r>
      <t>NH</t>
    </r>
    <r>
      <rPr>
        <b/>
        <vertAlign val="subscript"/>
        <sz val="14"/>
        <rFont val="Times New Roman"/>
        <family val="1"/>
        <charset val="204"/>
      </rPr>
      <t xml:space="preserve">3  </t>
    </r>
    <r>
      <rPr>
        <b/>
        <sz val="14"/>
        <rFont val="Times New Roman"/>
        <family val="1"/>
        <charset val="204"/>
      </rPr>
      <t>ПВФл</t>
    </r>
  </si>
  <si>
    <r>
      <t>NH</t>
    </r>
    <r>
      <rPr>
        <b/>
        <vertAlign val="sub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 xml:space="preserve"> ДСЖ</t>
    </r>
  </si>
  <si>
    <r>
      <t>СО</t>
    </r>
    <r>
      <rPr>
        <b/>
        <vertAlign val="subscript"/>
        <sz val="14"/>
        <rFont val="Times New Roman"/>
        <family val="1"/>
        <charset val="204"/>
      </rPr>
      <t xml:space="preserve">2  </t>
    </r>
    <r>
      <rPr>
        <b/>
        <sz val="14"/>
        <rFont val="Times New Roman"/>
        <family val="1"/>
        <charset val="204"/>
      </rPr>
      <t>КЛПК</t>
    </r>
  </si>
  <si>
    <t>Общ.щ. ПГКЛ-2</t>
  </si>
  <si>
    <r>
      <t>СО</t>
    </r>
    <r>
      <rPr>
        <b/>
        <vertAlign val="subscript"/>
        <sz val="14"/>
        <rFont val="Times New Roman"/>
        <family val="1"/>
        <charset val="204"/>
      </rPr>
      <t xml:space="preserve">2 </t>
    </r>
    <r>
      <rPr>
        <b/>
        <sz val="14"/>
        <rFont val="Times New Roman"/>
        <family val="1"/>
        <charset val="204"/>
      </rPr>
      <t>ПГКл-2</t>
    </r>
  </si>
  <si>
    <r>
      <t>NH</t>
    </r>
    <r>
      <rPr>
        <b/>
        <vertAlign val="sub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 xml:space="preserve"> ПГКл-2</t>
    </r>
  </si>
  <si>
    <r>
      <t>СО</t>
    </r>
    <r>
      <rPr>
        <b/>
        <vertAlign val="subscript"/>
        <sz val="14"/>
        <rFont val="Times New Roman"/>
        <family val="1"/>
        <charset val="204"/>
      </rPr>
      <t xml:space="preserve">2  </t>
    </r>
    <r>
      <rPr>
        <b/>
        <sz val="14"/>
        <rFont val="Times New Roman"/>
        <family val="1"/>
        <charset val="204"/>
      </rPr>
      <t>после ПГАБ</t>
    </r>
  </si>
  <si>
    <t>Общ.щ. ПГАБ</t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</si>
  <si>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ХГДС</t>
    </r>
  </si>
  <si>
    <t>Об.щ. САР</t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</si>
  <si>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Сара</t>
    </r>
  </si>
  <si>
    <t>СL⁻ Сара</t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</si>
  <si>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КДС</t>
    </r>
  </si>
  <si>
    <r>
      <t>NH</t>
    </r>
    <r>
      <rPr>
        <b/>
        <vertAlign val="subscript"/>
        <sz val="14"/>
        <rFont val="Times New Roman"/>
        <family val="1"/>
        <charset val="204"/>
      </rPr>
      <t xml:space="preserve">3 </t>
    </r>
    <r>
      <rPr>
        <b/>
        <sz val="14"/>
        <rFont val="Times New Roman"/>
        <family val="1"/>
        <charset val="204"/>
      </rPr>
      <t>ИС</t>
    </r>
  </si>
  <si>
    <t>СаО ИС</t>
  </si>
  <si>
    <t>макс.знач.</t>
  </si>
  <si>
    <r>
      <t>СО</t>
    </r>
    <r>
      <rPr>
        <b/>
        <vertAlign val="subscript"/>
        <sz val="14"/>
        <rFont val="Times New Roman"/>
        <family val="1"/>
        <charset val="204"/>
      </rPr>
      <t xml:space="preserve">2 </t>
    </r>
    <r>
      <rPr>
        <b/>
        <sz val="14"/>
        <rFont val="Times New Roman"/>
        <family val="1"/>
        <charset val="204"/>
      </rPr>
      <t>ТДС</t>
    </r>
  </si>
  <si>
    <r>
      <t>Связ. NH</t>
    </r>
    <r>
      <rPr>
        <b/>
        <vertAlign val="sub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 xml:space="preserve"> Кл</t>
    </r>
  </si>
  <si>
    <r>
      <t>СО</t>
    </r>
    <r>
      <rPr>
        <b/>
        <vertAlign val="subscript"/>
        <sz val="14"/>
        <rFont val="Times New Roman"/>
        <family val="1"/>
        <charset val="204"/>
      </rPr>
      <t xml:space="preserve">2 </t>
    </r>
    <r>
      <rPr>
        <b/>
        <sz val="14"/>
        <rFont val="Times New Roman"/>
        <family val="1"/>
        <charset val="204"/>
      </rPr>
      <t>1 вход</t>
    </r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</si>
  <si>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сусп Кл</t>
    </r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</si>
  <si>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верха Кл</t>
    </r>
  </si>
  <si>
    <t>W б/ф</t>
  </si>
  <si>
    <t>W л/ф</t>
  </si>
  <si>
    <t>Потери л/ф</t>
  </si>
  <si>
    <t>Потери б/ф</t>
  </si>
  <si>
    <t>СL МЖ л/ф</t>
  </si>
  <si>
    <t>СL в МЖ б/ф</t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</si>
  <si>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пр. воды</t>
    </r>
  </si>
  <si>
    <t>Общ.щ.  Пр.воды</t>
  </si>
  <si>
    <t>СL в соде</t>
  </si>
  <si>
    <t>Вакуум на в/ф</t>
  </si>
  <si>
    <t>Об.экв.к. СаО</t>
  </si>
  <si>
    <r>
      <t>Fe</t>
    </r>
    <r>
      <rPr>
        <vertAlign val="subscript"/>
        <sz val="12"/>
        <rFont val="Times New Roman"/>
        <family val="1"/>
        <charset val="204"/>
      </rPr>
      <t>2</t>
    </r>
    <r>
      <rPr>
        <sz val="12"/>
        <rFont val="Times New Roman"/>
        <family val="1"/>
        <charset val="204"/>
      </rPr>
      <t>О</t>
    </r>
    <r>
      <rPr>
        <vertAlign val="subscript"/>
        <sz val="12"/>
        <rFont val="Times New Roman"/>
        <family val="1"/>
        <charset val="204"/>
      </rPr>
      <t>3</t>
    </r>
  </si>
  <si>
    <t>Жидкость после ДФ</t>
  </si>
  <si>
    <t xml:space="preserve"> 25 бочка</t>
  </si>
  <si>
    <t xml:space="preserve"> 14 бочка</t>
  </si>
  <si>
    <t>Р низа ДС</t>
  </si>
  <si>
    <t>Речн.вода</t>
  </si>
  <si>
    <t>Бикарбонат натрия с б/ф</t>
  </si>
  <si>
    <t>Жидк.после ДСЖ</t>
  </si>
  <si>
    <t xml:space="preserve">Температура </t>
  </si>
  <si>
    <t>Отходящая вода</t>
  </si>
  <si>
    <t xml:space="preserve"> ТДС</t>
  </si>
  <si>
    <t>Давление.</t>
  </si>
  <si>
    <t>Наружн.
воздух</t>
  </si>
  <si>
    <t>Бик-т натр.с 1 л/ф</t>
  </si>
  <si>
    <t>1,2 л/ф</t>
  </si>
  <si>
    <t>Пр.в.</t>
  </si>
  <si>
    <t>Бик-т натр.с 2 л/ф</t>
  </si>
  <si>
    <t>маточной жидкости</t>
  </si>
  <si>
    <t xml:space="preserve">м.д.влаги </t>
  </si>
  <si>
    <t>в суспензии с л/ф</t>
  </si>
  <si>
    <t>в маточной жидкости с л/ф</t>
  </si>
  <si>
    <t>в бикарбонате с л.ф.</t>
  </si>
  <si>
    <t>очищ.рассола</t>
  </si>
  <si>
    <t>Утил.Na</t>
  </si>
  <si>
    <t>102,0-106,0 н.д</t>
  </si>
  <si>
    <t>разряжение  СП, Па</t>
  </si>
  <si>
    <t>разряжение  СП , Па</t>
  </si>
  <si>
    <t>Па</t>
  </si>
  <si>
    <t>Паскаль</t>
  </si>
  <si>
    <t>Анализ воздушной среды в цехе № 66 отд.Карб-1</t>
  </si>
  <si>
    <r>
      <t>NH</t>
    </r>
    <r>
      <rPr>
        <vertAlign val="subscript"/>
        <sz val="11"/>
        <rFont val="Times New Roman"/>
        <family val="1"/>
        <charset val="204"/>
      </rPr>
      <t>3</t>
    </r>
    <r>
      <rPr>
        <sz val="11"/>
        <rFont val="Times New Roman"/>
        <family val="1"/>
        <charset val="204"/>
      </rPr>
      <t>, мг/м</t>
    </r>
    <r>
      <rPr>
        <vertAlign val="superscript"/>
        <sz val="11"/>
        <rFont val="Times New Roman"/>
        <family val="1"/>
        <charset val="204"/>
      </rPr>
      <t>3</t>
    </r>
  </si>
  <si>
    <r>
      <t>H</t>
    </r>
    <r>
      <rPr>
        <vertAlign val="subscript"/>
        <sz val="11"/>
        <rFont val="Times New Roman"/>
        <family val="1"/>
        <charset val="204"/>
      </rPr>
      <t>2</t>
    </r>
    <r>
      <rPr>
        <sz val="11"/>
        <rFont val="Times New Roman"/>
        <family val="1"/>
        <charset val="204"/>
      </rPr>
      <t>S, мг/м</t>
    </r>
    <r>
      <rPr>
        <vertAlign val="superscript"/>
        <sz val="11"/>
        <rFont val="Times New Roman"/>
        <family val="1"/>
        <charset val="204"/>
      </rPr>
      <t>3</t>
    </r>
  </si>
  <si>
    <r>
      <t>СО, мг/м</t>
    </r>
    <r>
      <rPr>
        <vertAlign val="superscript"/>
        <sz val="11"/>
        <rFont val="Times New Roman"/>
        <family val="1"/>
        <charset val="204"/>
      </rPr>
      <t>3</t>
    </r>
  </si>
  <si>
    <t>Температура газа - 50-65(50-70 до30.06.25)</t>
  </si>
  <si>
    <t>Об.экв.к. двуок.угл.,н.д.</t>
  </si>
  <si>
    <t>Об.экв.к. двуок.угл.,
н.д.</t>
  </si>
  <si>
    <t>Об.экв.к.двуок.угл.,н.д.</t>
  </si>
  <si>
    <t>Об.экв.к.двуок.угл. н.д.</t>
  </si>
  <si>
    <t>Об.экв.к.
двуок.угл.,н.д.</t>
  </si>
  <si>
    <t>Об.экв.к.двуок.угл.,
н.д.</t>
  </si>
  <si>
    <t>СО2 дымовых газов, %</t>
  </si>
  <si>
    <t>стоки</t>
  </si>
  <si>
    <t>итого</t>
  </si>
  <si>
    <t>количество ан.</t>
  </si>
  <si>
    <t>минуты</t>
  </si>
  <si>
    <t>Автоматические показатели работы СП</t>
  </si>
  <si>
    <t>Давление газа, разряжение</t>
  </si>
  <si>
    <t>t, 0 С газа</t>
  </si>
  <si>
    <t>t, 0 C соды</t>
  </si>
  <si>
    <t>t 0 C  выходящих газов/газ</t>
  </si>
  <si>
    <t>t 0 C  воздух на горение</t>
  </si>
  <si>
    <t>расход газа м3/час</t>
  </si>
  <si>
    <t>разряжение  СП мм.в.ст</t>
  </si>
  <si>
    <t>1вх, 2 вх, ф.г.</t>
  </si>
  <si>
    <t>1см</t>
  </si>
  <si>
    <t xml:space="preserve">2см </t>
  </si>
  <si>
    <t>отбор проб по инициативе лаборатории УАК</t>
  </si>
  <si>
    <t>отм.8,0</t>
  </si>
  <si>
    <t>отм.32,0</t>
  </si>
  <si>
    <t>отм.46,0</t>
  </si>
  <si>
    <t>Отделение АД-1</t>
  </si>
  <si>
    <t>Массовая (объёмно-эквивалентная) концентрация двуокиси углерода,
 г/дм3 /(н.д.)</t>
  </si>
  <si>
    <t xml:space="preserve">Массовая  (объемно-эквивалентная) концентрация активного гидроксида кальция в пересчете на активную окись  СаОакт.,  г/дм3 (н.д.), не менее </t>
  </si>
  <si>
    <t xml:space="preserve">МИ 118-А2-2019
(свидетельство об 
аттестации  № 024.08.04.2019/
RA.RU.312345)
Титриметрический метод 
Диапазон измерений   
 (120,0 – 260,0) н.д.
</t>
  </si>
  <si>
    <r>
      <t>Промыватель воздуха фильтров поз.2</t>
    </r>
    <r>
      <rPr>
        <vertAlign val="subscript"/>
        <sz val="13"/>
        <color rgb="FF000000"/>
        <rFont val="Times New Roman"/>
        <family val="1"/>
        <charset val="204"/>
      </rPr>
      <t xml:space="preserve">1-3 </t>
    </r>
    <r>
      <rPr>
        <sz val="13"/>
        <color rgb="FF000000"/>
        <rFont val="Times New Roman"/>
        <family val="1"/>
        <charset val="204"/>
      </rPr>
      <t xml:space="preserve"> (ПВФл). Отбор пробы жидкости с трубопровода после аппарата,отм. 36.0 м</t>
    </r>
  </si>
  <si>
    <t xml:space="preserve">МИ 115-А2-2019
Титриметрический метод
Диапазон измерений -                                                         - в жидкостях 1,0 до 300,0 н.д. включительно
</t>
  </si>
  <si>
    <t xml:space="preserve">МИ 115-А2-2019
Титриметрический метод
Диапазон измерений -
- в жидкостях 1,0 до 300,0 н.д. включительно
</t>
  </si>
  <si>
    <t xml:space="preserve">МИ 115-А2-2019
Титриметрический метод
Диапазон измерений -                                                 
 - в жидкостях 1,0 до 300,0 н.д. включительно
</t>
  </si>
  <si>
    <t xml:space="preserve">МИ 115-А2-2019
Титриметрический метод
Диапазон измерений -                                                  
- в жидкостях 1,0 до 300,0 н.д. включительно
</t>
  </si>
  <si>
    <t xml:space="preserve">МИ 116-А2-2019 
Титриметрический метод 
Диапазон измерений: 
- в жидкостях 1,0 до 300,0 н.д. включительно
</t>
  </si>
  <si>
    <t xml:space="preserve">МИ 115-А2-2019
Титриметрический метод
Диапазон измерений -                                                 
- в жидкостях 1,0 до 300,0 н.д. включительно
</t>
  </si>
  <si>
    <t xml:space="preserve">Массовая концентрация аммиака в газе, выходящем из ПВФл и расчет потерь аммиака с газом на 1 т соды (в пересчёте на  аммиачную воду с массовой долей 25,5 %), кг/т соды, 
не более
</t>
  </si>
  <si>
    <t xml:space="preserve">Массовая концентрация аммиака в газе, выходящем из ПГКл-2 и расчет потерь аммиака с газом на 1 т соды (в пересчёте на  аммиачную воду с массовой долей 25,5 %), кг/т соды, не более
</t>
  </si>
  <si>
    <r>
      <t>Холодильник газа дистилляции  поз.8</t>
    </r>
    <r>
      <rPr>
        <vertAlign val="subscript"/>
        <sz val="13"/>
        <color rgb="FF000000"/>
        <rFont val="Times New Roman"/>
        <family val="1"/>
        <charset val="204"/>
      </rPr>
      <t xml:space="preserve">1-7 </t>
    </r>
    <r>
      <rPr>
        <sz val="13"/>
        <color rgb="FF000000"/>
        <rFont val="Times New Roman"/>
        <family val="1"/>
        <charset val="204"/>
      </rPr>
      <t>(ХГДС). Отбор  проб конденсата после аппарата с коллектора отм. 36.0 м; 40.0 м</t>
    </r>
  </si>
  <si>
    <r>
      <t>Сборник аммонизированного  рассола</t>
    </r>
    <r>
      <rPr>
        <b/>
        <sz val="13"/>
        <color rgb="FF000000"/>
        <rFont val="Times New Roman"/>
        <family val="1"/>
        <charset val="204"/>
      </rPr>
      <t xml:space="preserve"> (</t>
    </r>
    <r>
      <rPr>
        <sz val="13"/>
        <color rgb="FF000000"/>
        <rFont val="Times New Roman"/>
        <family val="1"/>
        <charset val="204"/>
      </rPr>
      <t>САР) поз.15</t>
    </r>
    <r>
      <rPr>
        <vertAlign val="subscript"/>
        <sz val="13"/>
        <color rgb="FF000000"/>
        <rFont val="Times New Roman"/>
        <family val="1"/>
        <charset val="204"/>
      </rPr>
      <t xml:space="preserve">1,2. </t>
    </r>
    <r>
      <rPr>
        <sz val="13"/>
        <color rgb="FF000000"/>
        <rFont val="Times New Roman"/>
        <family val="1"/>
        <charset val="204"/>
      </rPr>
      <t>Отбор проб с коллектора отм.12.0м; 22.0м</t>
    </r>
  </si>
  <si>
    <t xml:space="preserve">ИОТ-Ц-50-18-2023
МИ 139-А2-2020
</t>
  </si>
  <si>
    <t xml:space="preserve">ИОТ-Ц-50-18-2023
МИ 15-А2-2016
</t>
  </si>
  <si>
    <t xml:space="preserve">МИ 115-А2-2019
Титриметрический метод
Диапазон измерений:                                                        - в жидкостях 1,0 до 300,0 н.д. включительно
</t>
  </si>
  <si>
    <t>МИ 15-А2-2016
Газообъемный метод . 
Диапазон измерений 
по углекислому газу (0,2 – 99,0) %</t>
  </si>
  <si>
    <t>Массовая (объёмно-эквивалентная)  концентрация хлорид-ионов, г/дм3 (н.д.), не менее</t>
  </si>
  <si>
    <t>ИОТ-Ц-66-08-2022</t>
  </si>
  <si>
    <t xml:space="preserve">МИ 115-А2-2019
Титриметрический метод
Диапазон измерений 
- в жидкостях 1,0 до 300,0 н.д. включительно
ИОТ-Ц-66-08-2022
</t>
  </si>
  <si>
    <t>ИОТ-Ц-66-10-2023                                                       ИОТ-Ц-66-38-2023</t>
  </si>
  <si>
    <t>ИОТ-Ц-66-11-2023</t>
  </si>
  <si>
    <t xml:space="preserve">ИОТ-Ц-66-10-2023
ИОТ-Ц-66-38-2023
</t>
  </si>
  <si>
    <t>ИОТ-Ц-66-06-2023</t>
  </si>
  <si>
    <t>7. Станция дистилляции</t>
  </si>
  <si>
    <t>ИОТ-Ц-50-18-2018
МИ 140-А2-2020</t>
  </si>
  <si>
    <t>2. Станция абсорбции</t>
  </si>
  <si>
    <t xml:space="preserve">МИ 115-А2-2019
Титриметрический метод
Диапазон измерений -                                                         - в жидкостях 1,0 до 300,0 н.д. включительно
ИОТ-Ц-66-08-2022
</t>
  </si>
  <si>
    <t xml:space="preserve">МИ 115-А2-2019
Титриметрический метод
Диапазон измерений                                                         - в жидкостях 1,0 до 300,0 н.д. включительно
ИОТ-Ц-66-08-2022
</t>
  </si>
  <si>
    <t>Лаборатория № 3                                                                                                                                        
Аппапратчик</t>
  </si>
  <si>
    <t xml:space="preserve">2  раза в смену
4 раза в смену
</t>
  </si>
  <si>
    <t>Лаборатория № 3 
Аппаратчик</t>
  </si>
  <si>
    <t xml:space="preserve">10-12 раз в смену 
не реже 1 раза в час
</t>
  </si>
  <si>
    <t>Лаборатория № 3                                                                                                                                        
Аппапратчик</t>
  </si>
  <si>
    <t>3. Станция карбонизации</t>
  </si>
  <si>
    <t xml:space="preserve">2 раза в смену с ленточных фильтров и группы колонн с барабанных фильтров и из усредненных проб за смену
не менее 1 раза
в смену с каждой колонны
</t>
  </si>
  <si>
    <t>Лаборатория № 3 
Аппаратчик</t>
  </si>
  <si>
    <t xml:space="preserve">МИ 115-А2-2019
Титриметрический метод
Диапазон измерений 
- в суспензиях  
от 1,0 до 130,0 н.д. включительно
ИОТ-Ц-66-10-2023
ИОТ-Ц-66-38-2023
</t>
  </si>
  <si>
    <t>2 раза в смену с ленточных фильтров и группы колонн с барабанных фильтров и из усредненных проб за смену</t>
  </si>
  <si>
    <t xml:space="preserve">МИ 116-А2-2019 
Титриметрический метод 
Диапазон измерений: 
в суспензиях 
от 1,0 до 140,0 н.д. включительно
</t>
  </si>
  <si>
    <t>1-2 раза в смену с ленточных фильтров и группы колонн с барабанных фильтров и из усредненных проб за смену</t>
  </si>
  <si>
    <t xml:space="preserve">1 раз 
из усредненных проб за смену
</t>
  </si>
  <si>
    <t>2  раза в смену</t>
  </si>
  <si>
    <t xml:space="preserve">2-3 раза в смену 
с каждого фильтра
и 1 раз из усредненной пробы с каждого фильтра за смену
</t>
  </si>
  <si>
    <t xml:space="preserve">МИ 116-А2-2019
Титриметрический метод
Диапазон измерений -                                                  
- в жидкостях 1,0 до 300,0 н.д. включительно
</t>
  </si>
  <si>
    <t xml:space="preserve">МИ 107-А2-2019                                             Титриметрический метод                                             Диапазон измерений       (10,0 – 40,0) %
</t>
  </si>
  <si>
    <t xml:space="preserve">МИ 107-А2-2019                                             Титриметрический метод                                             Диапазон измерений      
 (10,0 – 40,0) %
</t>
  </si>
  <si>
    <t xml:space="preserve">МИ 107-А2-2019                                             Титриметрический метод                                             Диапазон измерений (10,0 – 40,0) %
</t>
  </si>
  <si>
    <t xml:space="preserve">МИ 107-А2-2019                                             Титриметрический метод                                             Диапазон измерений       
(10,0 – 40,0) %
</t>
  </si>
  <si>
    <t xml:space="preserve">1 раз в смену  </t>
  </si>
  <si>
    <t xml:space="preserve">ИОТ-Ц-66-06-2023
ИОТ-Ц-50-18-2023
</t>
  </si>
  <si>
    <t xml:space="preserve">0,13
(0,15; 15,0)
</t>
  </si>
  <si>
    <t xml:space="preserve">МИ 117-А2-2019
Титриметрический метод
Диапазон измерений
от 1,0 до 1000,0
(н.д. *100; н.д./2л)
</t>
  </si>
  <si>
    <t>Массовая (объёмно-эквивалентная) концентрация аммиака, г/дм3/(н.д., н.д./2л), не более</t>
  </si>
  <si>
    <t xml:space="preserve">1 раз в смену с каждого элемента и из усредненной пробы за смену 
не менее
1 раза в час
</t>
  </si>
  <si>
    <t>Лаборатория № 3
 Аппаратчик</t>
  </si>
  <si>
    <t xml:space="preserve">МИ 144-А2-2020 
Титриметрический метод 
Диапазон измерений  
(0,2 – 20,0) н.д.   
ИОТ-Ц-66-06-2023
</t>
  </si>
  <si>
    <t xml:space="preserve">1 раз из усредненной пробы за месяц </t>
  </si>
  <si>
    <t>Плотность, г/см3</t>
  </si>
  <si>
    <t xml:space="preserve">МИ 142-А2-2020
Диапазон измерений  
(0,800 – 1,400) г/см3
</t>
  </si>
  <si>
    <t xml:space="preserve">0,18
(0,20; 20,0)
</t>
  </si>
  <si>
    <t xml:space="preserve">Коллектор жидкости после дистиллера слабой жидкости поз. 44  
(ДСЖ № 1)
</t>
  </si>
  <si>
    <t>266,4 (190,0)</t>
  </si>
  <si>
    <t>Общий коллектор отходящей воды  
(№ 223А) со станции абсорбции отделения АД-1,  отделения Карбонизации-1</t>
  </si>
  <si>
    <t>7.8</t>
  </si>
  <si>
    <t xml:space="preserve">Коллектор жидкости после дистиллера флегмы поз.77 
(ДСЖ № 2)
</t>
  </si>
  <si>
    <t>Примечание:
1. Летние нормы устанавливаются в период с 01 апреля по  30 сентября. Зимние нормы устанавливаются в период с 01 октября по 31 марта.
2. Измерение плотности  жидкостей производства кальцинированной соды  проводится лабораторией УАК 1 раз в квартал в усреднённых за месяц пробах. Общая щелочность (прямой титр) (в жидкостях после ПВФЛ, ХГДС, ТДС, промывной воде, ДСЖ); Объемно-эквивалентная концентрация ионов аммония (общего и связанного аммиака) (в жидкостях ТДС, промывной воде); Объемно-эквивалентная концентрация хлорид-ионов (в жидкостях ПВФЛ, ПГАБ, ПГКл-II, ХГДС); Объемно-эквивалентная концентрация двуокиси углерода (СО2) (в жидкостях после ПВФЛ, ПГАБ, ПГКл-II, ХГДС, КДС и флегмы КДС) проводятся лабораторией УАК 1 раз в месяц в усреднённой за месяц пробе.
3. Анализы жидкости после испарителя, сырого бикарбоната натрия с ленточных и барабанных  вакуум-фильтров проводятся лабораторией ИПЦ 1 раз в месяц в усреднённых за месяц пробах.
4. Измерение массовой концентрации железа (в пересчёте на Fe2O3), мг/дм3 в аммонизированном рассоле, жидкостях  КлПК, ПГКл-I, СФЖ, КДС, ТДС, промывной воде проводится лабораторией УАК 1 раз в месяц в усредненных за месяц пробах.
5. Анализ воздушной среды рабочей зоны на содержание NH3, H2S, СО в отделении Карбонизации-1 проводится лабораторией УАК 1 раз в дневную смену в будние дни.
6. Анализ воздушной среды на рабочих местах в отделениях в отделениях АД-1, Карбонизации-1проводится 1 раз в квартал персоналом цеха № 53 (ЛЭ и СГК) согласно план-графику производственного контроля воздушной среды
7. Дополнительные анализы выполняются на основании действующих методов испытания и средств контроля, НД, плана аналитического контроля. Пробы, не входящие в план аналитического контроля, предоставляются для анализов в лабораторию по служебной записке от цеха и при наличии методической инструкции в данной лаборатории с корректировкой количества выполняемых анализов по ПАК.</t>
  </si>
  <si>
    <t>Цех № 66 Отделения Абсорбции-Дистилляции-1, Карбонизации-1</t>
  </si>
  <si>
    <t>время</t>
  </si>
  <si>
    <t>21.04.2025г.</t>
  </si>
  <si>
    <t>1 раз в декаду                         
2 раза в смену</t>
  </si>
  <si>
    <t>Лаборатория № 3 
Аппаратчик</t>
  </si>
  <si>
    <t>Фактическое значение</t>
  </si>
  <si>
    <t xml:space="preserve">Сорт 1 - 27,0
Сорт 2 - 22,0
</t>
  </si>
  <si>
    <t xml:space="preserve">Сорт 1 - 1,5
Сорт 2 - 3,0
</t>
  </si>
  <si>
    <t xml:space="preserve">СТО 00204168-004-2009 «Гидросульфид натрия технический, водный раствор»
(ТУ 20.13.41.110-008-43953934-2017)
</t>
  </si>
  <si>
    <t>303,0 (103,6)</t>
  </si>
  <si>
    <t>МИ 74-А2-2017 
(свидетельство об аттестации  № 253.0122/RA.RU.311866 /2017)
титриметрический метод 
Диапазон измерений                                           
от 250 до 318 г/дм3</t>
  </si>
  <si>
    <t xml:space="preserve">1 раз в смену
1 раз из усреднённой пробы за месяц
</t>
  </si>
  <si>
    <t>Лаборатория № 4                                                    
Лаборатория ОТиВК</t>
  </si>
  <si>
    <t>0,80 (0,30)</t>
  </si>
  <si>
    <t>0,032 (0,032)</t>
  </si>
  <si>
    <t>МИ 75-А2-2017 
(свидетельство об аттестации  № 253.0111/RA.RU.311866 
комплексонометрический метод
 Диапазон измерений                                         
 от 0,010 до 1,00 г/дм3</t>
  </si>
  <si>
    <t xml:space="preserve">1 раз в смену
1 раз из усреднённой пробы за месяц </t>
  </si>
  <si>
    <t>Лаборатория № 4                                                    
Лаборатория ОТиВК</t>
  </si>
  <si>
    <t>1 раз из усреднённой пробы за месяц</t>
  </si>
  <si>
    <t>МИ 77-А2-2017 
(свидетельство об аттестации  № 253.0112/RA.RU.311866 /2017)
титриметрический метод 
Диапазон измерений                                          
от 0,10 до 1,00 г/дм3</t>
  </si>
  <si>
    <t xml:space="preserve">МИ 98-А2-2017 
с использованием ареометра 
Диапазон измерений  
 (1,180 – 1,240) г/см3
</t>
  </si>
  <si>
    <t>4,00 (1,67)</t>
  </si>
  <si>
    <t>МИ 76-А2-017
(свидетельство об аттестации  №253.0071/RA.RU.311866/20147)                    
гравиметрический метод  
Диапазон измерений           
от 0,10 до 10,0 г/дм3</t>
  </si>
  <si>
    <t>5,00 (0,0055)</t>
  </si>
  <si>
    <t>МИ 78-А2-017
(свидетельство об аттестации  № 253.0035/RA.RU.311866/2017)  
фотоколориметрический метод                                            
Диапазон измерений                                               
от 0,10 до 7,00 мг/дм3</t>
  </si>
  <si>
    <t>1 раз из усреднённой пробы за месяц                                                                                                                                                                                                                                                                 
2 раза в смену</t>
  </si>
  <si>
    <t xml:space="preserve">1 раз из усреднённой пробы за месяц   </t>
  </si>
  <si>
    <t xml:space="preserve"> 1 раз из усреднённой пробы за месяц   </t>
  </si>
  <si>
    <t>1 раз из усреднённой пробы за месяц                                            
2 раза в смену</t>
  </si>
  <si>
    <t xml:space="preserve">1 раз из усреднённой пробы за месяц  </t>
  </si>
  <si>
    <t>08:00</t>
  </si>
  <si>
    <t>50-70*</t>
  </si>
  <si>
    <t xml:space="preserve">*Распоряжение №  </t>
  </si>
  <si>
    <t xml:space="preserve"> Фильтровая жидкость из СФЖ </t>
  </si>
  <si>
    <t>Фильтровая жидкость из СФЖ</t>
  </si>
  <si>
    <t>1 раз в смену и из усредненной пробы за смену</t>
  </si>
  <si>
    <t xml:space="preserve">Газ после ПВФЛ кол-р нагнетания </t>
  </si>
  <si>
    <t>Инженер-лаборант</t>
  </si>
  <si>
    <t>А.И.Захарова</t>
  </si>
  <si>
    <t>з.т.</t>
  </si>
  <si>
    <r>
      <t>Жидкость после КлПК Об.экв.к.двуок.угл.,</t>
    </r>
    <r>
      <rPr>
        <b/>
        <vertAlign val="subscript"/>
        <sz val="14"/>
        <rFont val="Times New Roman"/>
        <family val="1"/>
        <charset val="204"/>
      </rPr>
      <t xml:space="preserve"> </t>
    </r>
    <r>
      <rPr>
        <b/>
        <sz val="14"/>
        <rFont val="Times New Roman"/>
        <family val="1"/>
        <charset val="204"/>
      </rPr>
      <t>н.д.</t>
    </r>
  </si>
  <si>
    <r>
      <t>Жидкость после ПГКл-1 Об.экв.к.двуок.угл.,</t>
    </r>
    <r>
      <rPr>
        <b/>
        <vertAlign val="subscript"/>
        <sz val="14"/>
        <rFont val="Times New Roman"/>
        <family val="1"/>
        <charset val="204"/>
      </rPr>
      <t xml:space="preserve"> </t>
    </r>
    <r>
      <rPr>
        <b/>
        <sz val="14"/>
        <rFont val="Times New Roman"/>
        <family val="1"/>
        <charset val="204"/>
      </rPr>
      <t>н.д.</t>
    </r>
  </si>
  <si>
    <t>Суспензия гидрокарбоната натрия
 1 л/ф</t>
  </si>
  <si>
    <t>Суспензия гидрокарбоната натрия 
2 л/ф</t>
  </si>
  <si>
    <t>Суспензия гидрокарбоната натрия 
б/ф</t>
  </si>
  <si>
    <t xml:space="preserve">Конденсат на выходе из ХГСП </t>
  </si>
  <si>
    <r>
      <t>t газовой смеси на выходе из КДС,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C</t>
    </r>
  </si>
  <si>
    <r>
      <t>t газовой смеси на выходе из ХГДС,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C</t>
    </r>
  </si>
  <si>
    <r>
      <t>t газа на выходе из АБ1/АБ2,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C</t>
    </r>
  </si>
  <si>
    <r>
      <t>Р в нижней зоне ДС,кгс/см</t>
    </r>
    <r>
      <rPr>
        <vertAlign val="superscript"/>
        <sz val="12"/>
        <rFont val="Times New Roman"/>
        <family val="1"/>
        <charset val="204"/>
      </rPr>
      <t>2</t>
    </r>
  </si>
  <si>
    <t>Температура жидкости ПГКл -1,˚С</t>
  </si>
  <si>
    <t>Температура жидкости КлПК,˚С</t>
  </si>
  <si>
    <t xml:space="preserve">ТЕХНИЧЕСКАЯ  КАРТА
по контролю ведения технологического режима
производства бикарбоната натрия сырого 
цеха № 66 отделений Абсорбции-дистилляции-1, Карбонизация-1
</t>
  </si>
  <si>
    <r>
      <t>Промыватель воздуха фильтров поз.2</t>
    </r>
    <r>
      <rPr>
        <vertAlign val="subscript"/>
        <sz val="12"/>
        <rFont val="Times New Roman"/>
        <family val="1"/>
        <charset val="204"/>
      </rPr>
      <t>1-3</t>
    </r>
    <r>
      <rPr>
        <sz val="12"/>
        <rFont val="Times New Roman"/>
        <family val="1"/>
        <charset val="204"/>
      </rPr>
      <t xml:space="preserve">  </t>
    </r>
    <r>
      <rPr>
        <sz val="14"/>
        <rFont val="Times New Roman"/>
        <family val="1"/>
        <charset val="204"/>
      </rPr>
      <t xml:space="preserve">(ПВФл).
Замер на коллекторе нагнетания после поз.6 </t>
    </r>
    <r>
      <rPr>
        <vertAlign val="subscript"/>
        <sz val="12"/>
        <rFont val="Times New Roman"/>
        <family val="1"/>
        <charset val="204"/>
      </rPr>
      <t>1-5</t>
    </r>
    <r>
      <rPr>
        <sz val="14"/>
        <rFont val="Times New Roman"/>
        <family val="1"/>
        <charset val="204"/>
      </rPr>
      <t xml:space="preserve">(ТВН-360-22-1) вакуумной станции цеха Компрессии отм. 4.0 м
</t>
    </r>
  </si>
  <si>
    <t>23.04.2025г.</t>
  </si>
  <si>
    <r>
      <t>Второй промыватель газа колонн 
поз. 9</t>
    </r>
    <r>
      <rPr>
        <vertAlign val="subscript"/>
        <sz val="12"/>
        <rFont val="Times New Roman"/>
        <family val="1"/>
        <charset val="204"/>
      </rPr>
      <t>1-7</t>
    </r>
    <r>
      <rPr>
        <sz val="12"/>
        <rFont val="Times New Roman"/>
        <family val="1"/>
        <charset val="204"/>
      </rPr>
      <t xml:space="preserve"> </t>
    </r>
    <r>
      <rPr>
        <sz val="14"/>
        <rFont val="Times New Roman"/>
        <family val="1"/>
        <charset val="204"/>
      </rPr>
      <t xml:space="preserve">(ПГКл-II)
 Отбор пробы жидкости с трубопровода аппарата, отм.28.0 м
Замер газа на трубопроводе после аппарата, отм.40.0 м
</t>
    </r>
  </si>
  <si>
    <r>
      <t>Промыватель газа абсорбции. поз.3</t>
    </r>
    <r>
      <rPr>
        <vertAlign val="subscript"/>
        <sz val="12"/>
        <rFont val="Times New Roman"/>
        <family val="1"/>
        <charset val="204"/>
      </rPr>
      <t>1-3</t>
    </r>
    <r>
      <rPr>
        <sz val="14"/>
        <rFont val="Times New Roman"/>
        <family val="1"/>
        <charset val="204"/>
      </rPr>
      <t xml:space="preserve">   (ПГАБ)
Замер газа с коллектора 
отд. Карбонизация-1 отм. 17.0 м 
Отбор проб жидкости с трубопровода после аппарата отм. 32.0 м 
</t>
    </r>
  </si>
  <si>
    <r>
      <t>Холодильник газа дистилляции поз.8</t>
    </r>
    <r>
      <rPr>
        <vertAlign val="subscript"/>
        <sz val="12"/>
        <rFont val="Times New Roman"/>
        <family val="1"/>
        <charset val="204"/>
      </rPr>
      <t>1-7</t>
    </r>
    <r>
      <rPr>
        <sz val="14"/>
        <rFont val="Times New Roman"/>
        <family val="1"/>
        <charset val="204"/>
      </rPr>
      <t xml:space="preserve"> (ХГДС)</t>
    </r>
  </si>
  <si>
    <r>
      <t>Сборник аммонизированного  рассола (САР) поз.15</t>
    </r>
    <r>
      <rPr>
        <vertAlign val="subscript"/>
        <sz val="14"/>
        <rFont val="Times New Roman"/>
        <family val="1"/>
        <charset val="204"/>
      </rPr>
      <t>1,2</t>
    </r>
    <r>
      <rPr>
        <sz val="14"/>
        <rFont val="Times New Roman"/>
        <family val="1"/>
        <charset val="204"/>
      </rPr>
      <t xml:space="preserve">
Отбор  проб с коллектора
отм.12.0 м; 22.0 м
</t>
    </r>
  </si>
  <si>
    <r>
      <t>Общая щелочность (прямой титр), 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 xml:space="preserve"> (н.д.)</t>
    </r>
  </si>
  <si>
    <r>
      <t>Общая щелочность (прямой титр), 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 xml:space="preserve"> (н.д.), не более</t>
    </r>
  </si>
  <si>
    <r>
      <t>Общая щелочность (прямой титр),
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 xml:space="preserve"> (н.д.), не более
</t>
    </r>
  </si>
  <si>
    <t xml:space="preserve">Летом 
(90,2÷93,8)/
(100,0÷104,0)
Зимой
(92,0÷95,6)/
(102,0÷106,0)
</t>
  </si>
  <si>
    <r>
      <t>Массовая (объёмно-эквивалентная)  концентрация хлорид-ионов,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>/(н.д.), 
не менее</t>
    </r>
  </si>
  <si>
    <r>
      <t>Массовая (объёмно-эквивалентная)   концентрация сульфид-ионов,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 xml:space="preserve"> (н.д.)</t>
    </r>
  </si>
  <si>
    <t>Коллектор жидкости после дистиллера слабой жидкости (ДСЖ) поз.44 и поз.77 (ДСЖ № 1,2) отм. 0.0 м</t>
  </si>
  <si>
    <t>0,17/(0,20; 20,0)</t>
  </si>
  <si>
    <t xml:space="preserve">1 раз
в смену и из усредненной пробы за смену
</t>
  </si>
  <si>
    <r>
      <t>Коллектор жидкости после испарителя поз.40</t>
    </r>
    <r>
      <rPr>
        <vertAlign val="subscript"/>
        <sz val="12"/>
        <rFont val="Times New Roman"/>
        <family val="1"/>
        <charset val="204"/>
      </rPr>
      <t>1-7</t>
    </r>
    <r>
      <rPr>
        <sz val="14"/>
        <rFont val="Times New Roman"/>
        <family val="1"/>
        <charset val="204"/>
      </rPr>
      <t xml:space="preserve"> (ИС)
отм.0.0 м
</t>
    </r>
  </si>
  <si>
    <r>
      <t>Массовая (объёмно-эквивалентная) концентрация аммиака,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>/(н.д.; н.д./2л), не более</t>
    </r>
  </si>
  <si>
    <r>
      <t>Массовая (объёмно-эквивалентная) концентрация аммиака, 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>/(н.д.; н.д./2л), не более</t>
    </r>
  </si>
  <si>
    <t>0,13 (0,15; 15,0)</t>
  </si>
  <si>
    <r>
      <t>Массовая (объемно-эквивалентная ) концентрация активного гидроксида кальция в пересчёте на активную окись кальция (СаОакт),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>/(н.д.), не более</t>
    </r>
  </si>
  <si>
    <r>
      <t>Коллектор жидкости после теплообменника дистилляции поз. 34</t>
    </r>
    <r>
      <rPr>
        <vertAlign val="subscript"/>
        <sz val="14"/>
        <rFont val="Times New Roman"/>
        <family val="1"/>
        <charset val="204"/>
      </rPr>
      <t xml:space="preserve">1-7 </t>
    </r>
    <r>
      <rPr>
        <sz val="14"/>
        <rFont val="Times New Roman"/>
        <family val="1"/>
        <charset val="204"/>
      </rPr>
      <t>(ТДС)  отм. 16.0 м</t>
    </r>
  </si>
  <si>
    <r>
      <t>Массовая (объёмно-эквивалентная) концентрация двуокиси углерода,
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>/(н.д.), не более</t>
    </r>
  </si>
  <si>
    <t>1 раз в смену с каждого элемента</t>
  </si>
  <si>
    <r>
      <t>Коллектор суспензии гидрокарбоната натрия с карбоколонн на группу барабанных вакуум-фильтров 
поз.58</t>
    </r>
    <r>
      <rPr>
        <vertAlign val="subscript"/>
        <sz val="14"/>
        <rFont val="Times New Roman"/>
        <family val="1"/>
        <charset val="204"/>
      </rPr>
      <t>12-19</t>
    </r>
    <r>
      <rPr>
        <sz val="12"/>
        <rFont val="Times New Roman"/>
        <family val="1"/>
        <charset val="204"/>
      </rPr>
      <t xml:space="preserve"> </t>
    </r>
    <r>
      <rPr>
        <sz val="14"/>
        <rFont val="Times New Roman"/>
        <family val="1"/>
        <charset val="204"/>
      </rPr>
      <t xml:space="preserve">отм. 8.0 м
и  ленточные фильтры 
поз.F201, поз.F401 отм.12.0 м
</t>
    </r>
  </si>
  <si>
    <t>168,4 (95,0)</t>
  </si>
  <si>
    <t>Массовая (объёмно-эквивалентная)  концентрация хлорид-ионов, г/дм3 /(н.д.), 
не менее</t>
  </si>
  <si>
    <r>
      <t>Массовая (объёмно-эквивалентная)   концентрация NH3связ,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>/(н.д.),
 не менее</t>
    </r>
  </si>
  <si>
    <t>Температура газа на выходе из 
колонны, °С</t>
  </si>
  <si>
    <t xml:space="preserve">Колонна предварительной
карбонизации (КлПК) поз.51, 
отм. 12.0 м
</t>
  </si>
  <si>
    <r>
      <t>Сырой гидрокарбонат натрия с барабанных вакуум-фильтров 
поз.58</t>
    </r>
    <r>
      <rPr>
        <vertAlign val="subscript"/>
        <sz val="14"/>
        <rFont val="Times New Roman"/>
        <family val="1"/>
        <charset val="204"/>
      </rPr>
      <t>12÷19</t>
    </r>
    <r>
      <rPr>
        <sz val="14"/>
        <rFont val="Times New Roman"/>
        <family val="1"/>
        <charset val="204"/>
      </rPr>
      <t xml:space="preserve">, отм. 8.0 м
</t>
    </r>
  </si>
  <si>
    <r>
      <t>Массовая доля влаги, при выпуске соды с содержанием Cl</t>
    </r>
    <r>
      <rPr>
        <vertAlign val="superscript"/>
        <sz val="14"/>
        <rFont val="Times New Roman"/>
        <family val="1"/>
        <charset val="204"/>
      </rPr>
      <t xml:space="preserve">- </t>
    </r>
    <r>
      <rPr>
        <sz val="14"/>
        <rFont val="Times New Roman"/>
        <family val="1"/>
        <charset val="204"/>
      </rPr>
      <t>не более 0,15%,%,
не более</t>
    </r>
  </si>
  <si>
    <r>
      <t xml:space="preserve"> при выпуске соды 1 сортом с содержанием Cl</t>
    </r>
    <r>
      <rPr>
        <vertAlign val="superscript"/>
        <sz val="14"/>
        <rFont val="Times New Roman"/>
        <family val="1"/>
        <charset val="204"/>
      </rPr>
      <t>-</t>
    </r>
    <r>
      <rPr>
        <sz val="14"/>
        <rFont val="Times New Roman"/>
        <family val="1"/>
        <charset val="204"/>
      </rPr>
      <t xml:space="preserve"> не более 0,5%,%,
не более</t>
    </r>
  </si>
  <si>
    <r>
      <t>Массовая доля хлоридов в пересчёте на хлорид натрия, при выпуске соды с содержанием Cl</t>
    </r>
    <r>
      <rPr>
        <vertAlign val="superscript"/>
        <sz val="14"/>
        <rFont val="Times New Roman"/>
        <family val="1"/>
        <charset val="204"/>
      </rPr>
      <t>-</t>
    </r>
    <r>
      <rPr>
        <sz val="14"/>
        <rFont val="Times New Roman"/>
        <family val="1"/>
        <charset val="204"/>
      </rPr>
      <t xml:space="preserve"> не более 0,15%,%,
не более </t>
    </r>
  </si>
  <si>
    <t xml:space="preserve">Сырой гидрокарбонат натрия с ленточных вакуум-фильтров
поз.F-201, поз.F-401,
отм. 8.0 м
</t>
  </si>
  <si>
    <r>
      <t xml:space="preserve"> при выпуске соды 1 сортом с содержанием Cl</t>
    </r>
    <r>
      <rPr>
        <vertAlign val="superscript"/>
        <sz val="14"/>
        <rFont val="Times New Roman"/>
        <family val="1"/>
        <charset val="204"/>
      </rPr>
      <t>-</t>
    </r>
    <r>
      <rPr>
        <sz val="14"/>
        <rFont val="Times New Roman"/>
        <family val="1"/>
        <charset val="204"/>
      </rPr>
      <t xml:space="preserve"> не более 0,5%,%, не более</t>
    </r>
  </si>
  <si>
    <t>4-6 раз в смену
 с каждого фильтра</t>
  </si>
  <si>
    <t>12 раз в смену 
с каждого фильтра</t>
  </si>
  <si>
    <t>4-6 раз в смену
 с группы вакуум фильтров</t>
  </si>
  <si>
    <t xml:space="preserve">Коллектор маточной жидкости 
с каждого ленточного фильтра
 поз.F-201, поз.F-401, отм. 0.0 м
</t>
  </si>
  <si>
    <r>
      <t xml:space="preserve"> при выпуске соды 1 сортом с содержанием Cl</t>
    </r>
    <r>
      <rPr>
        <vertAlign val="superscript"/>
        <sz val="14"/>
        <rFont val="Times New Roman"/>
        <family val="1"/>
        <charset val="204"/>
      </rPr>
      <t xml:space="preserve">- </t>
    </r>
    <r>
      <rPr>
        <sz val="14"/>
        <rFont val="Times New Roman"/>
        <family val="1"/>
        <charset val="204"/>
      </rPr>
      <t>не более 0,5%,%, не более</t>
    </r>
  </si>
  <si>
    <r>
      <t>Массовая (объёмно-эквивалентная) концентрация хлорид-ионов, при выпуске соды с содержанием Cl-  не более 0,15%, 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 xml:space="preserve"> (н.д.), не менее</t>
    </r>
  </si>
  <si>
    <t xml:space="preserve">2-3 раза в смену 
с каждого фильтра
и 1 раз из усредненной пробы с каждого фильтра 
за смену 
</t>
  </si>
  <si>
    <r>
      <t>Коллектор маточной жидкости
 с группы барабанных вакуум-фильтров               
поз.58</t>
    </r>
    <r>
      <rPr>
        <vertAlign val="subscript"/>
        <sz val="14"/>
        <rFont val="Times New Roman"/>
        <family val="1"/>
        <charset val="204"/>
      </rPr>
      <t>12-19</t>
    </r>
    <r>
      <rPr>
        <sz val="11"/>
        <rFont val="Times New Roman"/>
        <family val="1"/>
        <charset val="204"/>
      </rPr>
      <t xml:space="preserve">, </t>
    </r>
    <r>
      <rPr>
        <sz val="14"/>
        <rFont val="Times New Roman"/>
        <family val="1"/>
        <charset val="204"/>
      </rPr>
      <t>отм. 0.0 м</t>
    </r>
  </si>
  <si>
    <r>
      <t xml:space="preserve"> при выпуске соды 1 сортом с содержанием Cl</t>
    </r>
    <r>
      <rPr>
        <vertAlign val="superscript"/>
        <sz val="14"/>
        <rFont val="Times New Roman"/>
        <family val="1"/>
        <charset val="204"/>
      </rPr>
      <t>-</t>
    </r>
    <r>
      <rPr>
        <sz val="14"/>
        <rFont val="Times New Roman"/>
        <family val="1"/>
        <charset val="204"/>
      </rPr>
      <t xml:space="preserve"> не более 0,5%,%, 
не менее </t>
    </r>
  </si>
  <si>
    <r>
      <t>Промывная вода 
с ленточных вакуум-фильтров 
поз.F201, поз.F401 и
барабанных вакуум-фильтров 
поз. 58</t>
    </r>
    <r>
      <rPr>
        <vertAlign val="subscript"/>
        <sz val="14"/>
        <rFont val="Times New Roman"/>
        <family val="1"/>
        <charset val="204"/>
      </rPr>
      <t>12-19</t>
    </r>
    <r>
      <rPr>
        <sz val="14"/>
        <rFont val="Times New Roman"/>
        <family val="1"/>
        <charset val="204"/>
      </rPr>
      <t xml:space="preserve"> отм.12.0 м
</t>
    </r>
  </si>
  <si>
    <t>22,5/(25,0)</t>
  </si>
  <si>
    <r>
      <t>Массовая (объёмно-эквивалентная) концентрация хлорид-ионов , 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 xml:space="preserve"> (н.д.), 
не более</t>
    </r>
  </si>
  <si>
    <t>Минус 220</t>
  </si>
  <si>
    <t xml:space="preserve">Технологические нитки соды марки Б:
- после содовых печей
рейдлер Р2, Р2а, Р2б (отм. 0.0 м) 
и паровых кальцинаторов 
рейдлер 4б (отм. 10.3 м)
</t>
  </si>
  <si>
    <r>
      <t xml:space="preserve">у-Ужесточено </t>
    </r>
    <r>
      <rPr>
        <u/>
        <sz val="14"/>
        <rFont val="Times New Roman"/>
        <family val="1"/>
        <charset val="204"/>
      </rPr>
      <t>4</t>
    </r>
    <r>
      <rPr>
        <sz val="14"/>
        <rFont val="Times New Roman"/>
        <family val="1"/>
        <charset val="204"/>
      </rPr>
      <t xml:space="preserve"> параметра технологического режима.</t>
    </r>
  </si>
  <si>
    <t xml:space="preserve">Жидкость после дистиллера слабой жидкости (ДСЖ № 1 )  </t>
  </si>
  <si>
    <t>ДСЖ № 1</t>
  </si>
  <si>
    <t>ДСЖ № 2</t>
  </si>
  <si>
    <t>Об.экв.к аммиака в ДЖ,ДСЖ</t>
  </si>
  <si>
    <t>Лист результатов контроля технологического режима цеха № 66 (отделений Абсорбции-дистилляции-1, Карбонизации-1),
 цеха № 83 (отделения Кальцинации-1), цеха № 85 (отделения Компрессии-1)</t>
  </si>
  <si>
    <t xml:space="preserve">Начальник лаборатории № 3 </t>
  </si>
  <si>
    <t>УАК Лаборатория № 3</t>
  </si>
  <si>
    <t>Производство № 4</t>
  </si>
  <si>
    <r>
      <t>Расход, м</t>
    </r>
    <r>
      <rPr>
        <vertAlign val="superscript"/>
        <sz val="36"/>
        <color theme="1"/>
        <rFont val="Times New Roman"/>
        <family val="1"/>
        <charset val="204"/>
      </rPr>
      <t>3</t>
    </r>
    <r>
      <rPr>
        <sz val="36"/>
        <color theme="1"/>
        <rFont val="Times New Roman"/>
        <family val="1"/>
        <charset val="204"/>
      </rPr>
      <t xml:space="preserve">/ч </t>
    </r>
  </si>
  <si>
    <r>
      <t>Уровень, м</t>
    </r>
    <r>
      <rPr>
        <vertAlign val="superscript"/>
        <sz val="36"/>
        <color theme="1"/>
        <rFont val="Times New Roman"/>
        <family val="1"/>
        <charset val="204"/>
      </rPr>
      <t xml:space="preserve">3 </t>
    </r>
  </si>
  <si>
    <t>Данный показатель фиксируется в качестве дополнительных сведений для ведения технологического режима</t>
  </si>
  <si>
    <t>Температура
14-ой бочки, °С,
 не менее</t>
  </si>
  <si>
    <t>25-36</t>
  </si>
  <si>
    <t>42-52</t>
  </si>
  <si>
    <t xml:space="preserve">«Методика по заполнения формы технического отчета Производства кальцинированной соды № 39699/203/13»,
 Распоряжение от 31.01.2014 г. № 83 </t>
  </si>
  <si>
    <r>
      <t>Трубопровод газа на выходе из ХГСП (ХГПК) 
поз. 69</t>
    </r>
    <r>
      <rPr>
        <vertAlign val="subscript"/>
        <sz val="36"/>
        <color theme="1"/>
        <rFont val="Times New Roman"/>
        <family val="1"/>
        <charset val="204"/>
      </rPr>
      <t>1-5</t>
    </r>
  </si>
  <si>
    <t>Станция Фильтрации</t>
  </si>
  <si>
    <t>Дата: 22.04.2025г.</t>
  </si>
  <si>
    <t>ТР 03-2025</t>
  </si>
  <si>
    <t>факт</t>
  </si>
  <si>
    <r>
      <t>Расход, м</t>
    </r>
    <r>
      <rPr>
        <vertAlign val="superscript"/>
        <sz val="36"/>
        <color theme="1"/>
        <rFont val="Times New Roman"/>
        <family val="1"/>
        <charset val="204"/>
      </rPr>
      <t>3</t>
    </r>
    <r>
      <rPr>
        <sz val="36"/>
        <color theme="1"/>
        <rFont val="Times New Roman"/>
        <family val="1"/>
        <charset val="204"/>
      </rPr>
      <t>/за смену</t>
    </r>
  </si>
  <si>
    <r>
      <t>Трубопровод выхода газа из 
нижней части второго абсорбера поз. 12</t>
    </r>
    <r>
      <rPr>
        <vertAlign val="subscript"/>
        <sz val="36"/>
        <color theme="1"/>
        <rFont val="Times New Roman"/>
        <family val="1"/>
        <charset val="204"/>
      </rPr>
      <t>2,3,5</t>
    </r>
    <r>
      <rPr>
        <sz val="36"/>
        <color theme="1"/>
        <rFont val="Times New Roman"/>
        <family val="1"/>
        <charset val="204"/>
      </rPr>
      <t xml:space="preserve"> (АБ-II)
</t>
    </r>
  </si>
  <si>
    <t>ТР 03-2025/
Техническая карта по контролю ведения технологического режима цеха № 66</t>
  </si>
  <si>
    <r>
      <t>Сборник аммонизированного рассола (САР) поз.15</t>
    </r>
    <r>
      <rPr>
        <vertAlign val="subscript"/>
        <sz val="36"/>
        <rFont val="Times New Roman"/>
        <family val="1"/>
        <charset val="204"/>
      </rPr>
      <t>1,2</t>
    </r>
    <r>
      <rPr>
        <sz val="36"/>
        <rFont val="Times New Roman"/>
        <family val="1"/>
        <charset val="204"/>
      </rPr>
      <t xml:space="preserve">
</t>
    </r>
  </si>
  <si>
    <t xml:space="preserve">Трубопровод подачи аммонизированного рассола в 
отделение Карбонизации-1
</t>
  </si>
  <si>
    <t>Температура,°С, 
не более</t>
  </si>
  <si>
    <r>
      <t>Трубопровод газовой смеси на выходе из 
холодильника газа дистилляции поз. 8</t>
    </r>
    <r>
      <rPr>
        <vertAlign val="subscript"/>
        <sz val="36"/>
        <rFont val="Times New Roman"/>
        <family val="1"/>
        <charset val="204"/>
      </rPr>
      <t>1</t>
    </r>
    <r>
      <rPr>
        <sz val="36"/>
        <rFont val="Times New Roman"/>
        <family val="1"/>
        <charset val="204"/>
      </rPr>
      <t>,</t>
    </r>
    <r>
      <rPr>
        <vertAlign val="subscript"/>
        <sz val="36"/>
        <rFont val="Times New Roman"/>
        <family val="1"/>
        <charset val="204"/>
      </rPr>
      <t>2,3,5,7</t>
    </r>
    <r>
      <rPr>
        <sz val="36"/>
        <rFont val="Times New Roman"/>
        <family val="1"/>
        <charset val="204"/>
      </rPr>
      <t xml:space="preserve"> (ХГДС)
</t>
    </r>
  </si>
  <si>
    <r>
      <t>Трубопровод газовой смеси на выходе из первого 
абсорбера поз. 11</t>
    </r>
    <r>
      <rPr>
        <vertAlign val="subscript"/>
        <sz val="36"/>
        <rFont val="Times New Roman"/>
        <family val="1"/>
        <charset val="204"/>
      </rPr>
      <t>1,7</t>
    </r>
    <r>
      <rPr>
        <sz val="36"/>
        <rFont val="Times New Roman"/>
        <family val="1"/>
        <charset val="204"/>
      </rPr>
      <t xml:space="preserve"> (АБ-I)
</t>
    </r>
  </si>
  <si>
    <r>
      <t>Сборник фильтровой жидкости поз.29</t>
    </r>
    <r>
      <rPr>
        <vertAlign val="subscript"/>
        <sz val="36"/>
        <color theme="1"/>
        <rFont val="Times New Roman"/>
        <family val="1"/>
        <charset val="204"/>
      </rPr>
      <t>1,2</t>
    </r>
    <r>
      <rPr>
        <sz val="36"/>
        <color theme="1"/>
        <rFont val="Times New Roman"/>
        <family val="1"/>
        <charset val="204"/>
      </rPr>
      <t xml:space="preserve">
</t>
    </r>
  </si>
  <si>
    <t>Температура, °С, 
не более</t>
  </si>
  <si>
    <r>
      <t>Трубопровод газовой смеси на выходе из КДС 
поз. 33</t>
    </r>
    <r>
      <rPr>
        <vertAlign val="subscript"/>
        <sz val="36"/>
        <rFont val="Times New Roman"/>
        <family val="1"/>
        <charset val="204"/>
      </rPr>
      <t>1-3,4,5-7</t>
    </r>
    <r>
      <rPr>
        <sz val="36"/>
        <rFont val="Times New Roman"/>
        <family val="1"/>
        <charset val="204"/>
      </rPr>
      <t xml:space="preserve">
</t>
    </r>
  </si>
  <si>
    <r>
      <t>Трубопровод газовой смеси на выходе из дистиллера поз. 35</t>
    </r>
    <r>
      <rPr>
        <vertAlign val="subscript"/>
        <sz val="36"/>
        <color theme="1"/>
        <rFont val="Times New Roman"/>
        <family val="1"/>
        <charset val="204"/>
      </rPr>
      <t>1,4,2,3,5-7</t>
    </r>
    <r>
      <rPr>
        <sz val="36"/>
        <color theme="1"/>
        <rFont val="Times New Roman"/>
        <family val="1"/>
        <charset val="204"/>
      </rPr>
      <t xml:space="preserve">
</t>
    </r>
  </si>
  <si>
    <r>
      <t>Температура газа на выходе из ХГСП (ХГПК),</t>
    </r>
    <r>
      <rPr>
        <b/>
        <sz val="13"/>
        <rFont val="Calibri"/>
        <family val="2"/>
        <charset val="204"/>
      </rPr>
      <t>°</t>
    </r>
    <r>
      <rPr>
        <b/>
        <sz val="13"/>
        <rFont val="Times New Roman"/>
        <family val="1"/>
        <charset val="204"/>
      </rPr>
      <t>С</t>
    </r>
  </si>
  <si>
    <t>22.04.2025г</t>
  </si>
  <si>
    <r>
      <t>Трубопровод подачи очищенной воды с установки 
использования тепла дистиллерной жидкости (УИТДЖ) и с ТЭЦ на всас насоса поз.14</t>
    </r>
    <r>
      <rPr>
        <vertAlign val="subscript"/>
        <sz val="36"/>
        <rFont val="Times New Roman"/>
        <family val="1"/>
        <charset val="204"/>
      </rPr>
      <t>1-4</t>
    </r>
    <r>
      <rPr>
        <sz val="36"/>
        <rFont val="Times New Roman"/>
        <family val="1"/>
        <charset val="204"/>
      </rPr>
      <t xml:space="preserve">
</t>
    </r>
  </si>
  <si>
    <t>Трубопровод подачи фильтровой жидкости на элементы дистилляции № 1÷3,4,5÷7</t>
  </si>
  <si>
    <r>
      <t>Дистиллер поз. 35</t>
    </r>
    <r>
      <rPr>
        <vertAlign val="subscript"/>
        <sz val="36"/>
        <color theme="1"/>
        <rFont val="Times New Roman"/>
        <family val="1"/>
        <charset val="204"/>
      </rPr>
      <t>1,4,2,3,5-7</t>
    </r>
  </si>
  <si>
    <r>
      <t>Давление в нижней зоне, кгс/см</t>
    </r>
    <r>
      <rPr>
        <vertAlign val="superscript"/>
        <sz val="36"/>
        <color theme="1"/>
        <rFont val="Times New Roman"/>
        <family val="1"/>
        <charset val="204"/>
      </rPr>
      <t>2</t>
    </r>
    <r>
      <rPr>
        <sz val="36"/>
        <color theme="1"/>
        <rFont val="Times New Roman"/>
        <family val="1"/>
        <charset val="204"/>
      </rPr>
      <t>, 
не более</t>
    </r>
  </si>
  <si>
    <r>
      <t>Колонна карбонизации 
поз. 55</t>
    </r>
    <r>
      <rPr>
        <vertAlign val="subscript"/>
        <sz val="36"/>
        <color theme="1"/>
        <rFont val="Times New Roman"/>
        <family val="1"/>
        <charset val="204"/>
      </rPr>
      <t xml:space="preserve">1-5, 6, 7-10, 12-15 
</t>
    </r>
    <r>
      <rPr>
        <sz val="36"/>
        <color theme="1"/>
        <rFont val="Times New Roman"/>
        <family val="1"/>
        <charset val="204"/>
      </rPr>
      <t xml:space="preserve">(режим осадительной колонны)
</t>
    </r>
  </si>
  <si>
    <r>
      <t>Колонна карбонизации 
поз. 55</t>
    </r>
    <r>
      <rPr>
        <vertAlign val="subscript"/>
        <sz val="36"/>
        <color theme="1"/>
        <rFont val="Times New Roman"/>
        <family val="1"/>
        <charset val="204"/>
      </rPr>
      <t>1-5, 6, 7-10, 12-15</t>
    </r>
    <r>
      <rPr>
        <sz val="36"/>
        <color theme="1"/>
        <rFont val="Times New Roman"/>
        <family val="1"/>
        <charset val="204"/>
      </rPr>
      <t xml:space="preserve"> 
(режим осадительной колонны)
</t>
    </r>
  </si>
  <si>
    <r>
      <t>Трубопровод суспензии после карбоколонны 
поз. 55</t>
    </r>
    <r>
      <rPr>
        <vertAlign val="subscript"/>
        <sz val="36"/>
        <color theme="1"/>
        <rFont val="Times New Roman"/>
        <family val="1"/>
        <charset val="204"/>
      </rPr>
      <t>1-5 ,6, 7-10, 12-15</t>
    </r>
    <r>
      <rPr>
        <sz val="36"/>
        <color theme="1"/>
        <rFont val="Times New Roman"/>
        <family val="1"/>
        <charset val="204"/>
      </rPr>
      <t xml:space="preserve">
</t>
    </r>
  </si>
  <si>
    <r>
      <t>Трубопровод отходящего газа после карбоколонны 
поз.55</t>
    </r>
    <r>
      <rPr>
        <vertAlign val="subscript"/>
        <sz val="36"/>
        <color theme="1"/>
        <rFont val="Times New Roman"/>
        <family val="1"/>
        <charset val="204"/>
      </rPr>
      <t>1-5, 6, 7-10, 12-15</t>
    </r>
    <r>
      <rPr>
        <sz val="36"/>
        <color theme="1"/>
        <rFont val="Times New Roman"/>
        <family val="1"/>
        <charset val="204"/>
      </rPr>
      <t xml:space="preserve">
</t>
    </r>
  </si>
  <si>
    <r>
      <t>Трубопровод 2-ой жидкости из поз.52</t>
    </r>
    <r>
      <rPr>
        <vertAlign val="subscript"/>
        <sz val="36"/>
        <color theme="1"/>
        <rFont val="Times New Roman"/>
        <family val="1"/>
        <charset val="204"/>
      </rPr>
      <t xml:space="preserve">1-3
</t>
    </r>
    <r>
      <rPr>
        <sz val="36"/>
        <color theme="1"/>
        <rFont val="Times New Roman"/>
        <family val="1"/>
        <charset val="204"/>
      </rPr>
      <t xml:space="preserve"> ПГКл-1,2,3 группы карбоколонн
</t>
    </r>
  </si>
  <si>
    <r>
      <t>Колонна карбонизации поз.55</t>
    </r>
    <r>
      <rPr>
        <vertAlign val="subscript"/>
        <sz val="36"/>
        <color theme="1"/>
        <rFont val="Times New Roman"/>
        <family val="1"/>
        <charset val="204"/>
      </rPr>
      <t>1-5, 6, 7-10, 12-15</t>
    </r>
    <r>
      <rPr>
        <sz val="36"/>
        <color theme="1"/>
        <rFont val="Times New Roman"/>
        <family val="1"/>
        <charset val="204"/>
      </rPr>
      <t xml:space="preserve"> 
(Режим предварительной карбонизации)</t>
    </r>
  </si>
  <si>
    <t>Третья ступень промывки ленточного фильтра</t>
  </si>
  <si>
    <t>Коллектор вакуума</t>
  </si>
  <si>
    <t xml:space="preserve">Давление, мм.рт.ст., не более </t>
  </si>
  <si>
    <t>минус 220</t>
  </si>
  <si>
    <t>Коллектор воздуха вакуум-фильтров на входе в отделение</t>
  </si>
  <si>
    <t>Разряжение, кПа (мм.рт.ст)</t>
  </si>
  <si>
    <t>"______"____________2026 г</t>
  </si>
  <si>
    <t>"______"____________2026г</t>
  </si>
  <si>
    <t xml:space="preserve">Перечень параметров автоматического контроля, фиксируемых в Листах результатов контроля технологического режима 
цеха № 66 (отделений Абсорбции-дистилляции-1, Карбонизации-1),
 цеха № 83 (отделения Кальцинации-1), цеха № 85 (отделения Компрессии-1) </t>
  </si>
  <si>
    <t>Ам. рассол</t>
  </si>
  <si>
    <t>ПГКл-1</t>
  </si>
  <si>
    <t>Суспензия с 1 л/ф</t>
  </si>
  <si>
    <t>Суспензия с 2 л/ф</t>
  </si>
  <si>
    <t>Суспензия с б/ф</t>
  </si>
  <si>
    <t>МЖ с 1 л/ф</t>
  </si>
  <si>
    <t>МЖ с 2 л/ф</t>
  </si>
  <si>
    <t>МЖ с б/ф</t>
  </si>
  <si>
    <t>Шлам</t>
  </si>
  <si>
    <t>Пром.вода</t>
  </si>
  <si>
    <t>Бик-т с 1 л/ф</t>
  </si>
  <si>
    <t>Бик-т с 2 л/ф</t>
  </si>
  <si>
    <t>Бик-т с б/ф</t>
  </si>
  <si>
    <t>ПГКл1</t>
  </si>
  <si>
    <t>верх</t>
  </si>
  <si>
    <t>14 б</t>
  </si>
  <si>
    <t>25 б</t>
  </si>
  <si>
    <t>низ ДС</t>
  </si>
  <si>
    <t>нагр.ФЖ</t>
  </si>
  <si>
    <t>прТ</t>
  </si>
  <si>
    <r>
      <t>S</t>
    </r>
    <r>
      <rPr>
        <vertAlign val="superscript"/>
        <sz val="12"/>
        <rFont val="Times New Roman"/>
        <family val="1"/>
        <charset val="204"/>
      </rPr>
      <t>2⁻</t>
    </r>
  </si>
  <si>
    <r>
      <t>общ.NH</t>
    </r>
    <r>
      <rPr>
        <vertAlign val="subscript"/>
        <sz val="12"/>
        <rFont val="Times New Roman"/>
        <family val="1"/>
        <charset val="204"/>
      </rPr>
      <t>3</t>
    </r>
  </si>
  <si>
    <r>
      <t>связ.NH</t>
    </r>
    <r>
      <rPr>
        <vertAlign val="subscript"/>
        <sz val="12"/>
        <rFont val="Times New Roman"/>
        <family val="1"/>
        <charset val="204"/>
      </rPr>
      <t>3</t>
    </r>
  </si>
  <si>
    <r>
      <t>Fe</t>
    </r>
    <r>
      <rPr>
        <vertAlign val="superscript"/>
        <sz val="12"/>
        <rFont val="Times New Roman"/>
        <family val="1"/>
        <charset val="204"/>
      </rPr>
      <t>3</t>
    </r>
    <r>
      <rPr>
        <sz val="12"/>
        <rFont val="Times New Roman"/>
        <family val="1"/>
        <charset val="204"/>
      </rPr>
      <t>+</t>
    </r>
  </si>
  <si>
    <t>1-2 гр.</t>
  </si>
  <si>
    <t>3 гр.</t>
  </si>
  <si>
    <t>4 гр.</t>
  </si>
  <si>
    <r>
      <t>Т</t>
    </r>
    <r>
      <rPr>
        <vertAlign val="superscript"/>
        <sz val="12"/>
        <rFont val="Times New Roman"/>
        <family val="1"/>
        <charset val="204"/>
      </rPr>
      <t>0</t>
    </r>
    <r>
      <rPr>
        <vertAlign val="subscript"/>
        <sz val="12"/>
        <rFont val="Times New Roman"/>
        <family val="1"/>
        <charset val="204"/>
      </rPr>
      <t>,</t>
    </r>
    <r>
      <rPr>
        <sz val="12"/>
        <rFont val="Times New Roman"/>
        <family val="1"/>
        <charset val="204"/>
      </rPr>
      <t>C</t>
    </r>
  </si>
  <si>
    <t>м3/ч</t>
  </si>
  <si>
    <t>за сутки</t>
  </si>
  <si>
    <t>04.03.2026г</t>
  </si>
  <si>
    <t>А</t>
  </si>
  <si>
    <t>н.тех.п.</t>
  </si>
  <si>
    <t>Бакиев</t>
  </si>
  <si>
    <t>Баймуратов</t>
  </si>
  <si>
    <t>Шутенко</t>
  </si>
  <si>
    <t>Трясцин</t>
  </si>
  <si>
    <t>Кириллов</t>
  </si>
  <si>
    <t>Янгиров</t>
  </si>
  <si>
    <t>Сафина</t>
  </si>
  <si>
    <t>Ямалеева</t>
  </si>
  <si>
    <t>Хамзина</t>
  </si>
  <si>
    <t>Каримова</t>
  </si>
  <si>
    <t>Кривохат</t>
  </si>
  <si>
    <t>стоит</t>
  </si>
  <si>
    <t>загаз.</t>
  </si>
  <si>
    <t>рез</t>
  </si>
  <si>
    <t>рем</t>
  </si>
  <si>
    <t>Объёмная доля СО2 в газе, % на ОБН</t>
  </si>
  <si>
    <t>05:00</t>
  </si>
  <si>
    <t>2 тр.л.</t>
  </si>
  <si>
    <t>низ</t>
  </si>
  <si>
    <t>в</t>
  </si>
  <si>
    <t>Барменкова</t>
  </si>
  <si>
    <t>Прозорова</t>
  </si>
  <si>
    <t>Федоров</t>
  </si>
  <si>
    <t>Николаев</t>
  </si>
  <si>
    <t>соотв.</t>
  </si>
  <si>
    <t>Байбородов</t>
  </si>
  <si>
    <t>Чурагулов</t>
  </si>
  <si>
    <t>Аксарина</t>
  </si>
  <si>
    <t>Алексеева</t>
  </si>
  <si>
    <t>не работает лифт</t>
  </si>
  <si>
    <t>АД-1, ДС эл№1, отм.16,0м</t>
  </si>
  <si>
    <t>АД-1, СМ эл№1, отм.16,0м</t>
  </si>
  <si>
    <t>с транспортной ленты</t>
  </si>
  <si>
    <t>№2</t>
  </si>
  <si>
    <t>Карпов</t>
  </si>
  <si>
    <t>СП 4</t>
  </si>
  <si>
    <t>загаз</t>
  </si>
  <si>
    <t>Исаев</t>
  </si>
  <si>
    <t>Доп.ан.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</si>
</sst>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-* #,##0.00&quot;р.&quot;_-;\-* #,##0.00&quot;р.&quot;_-;_-* &quot;-&quot;??&quot;р.&quot;_-;_-@_-"/>
    <numFmt numFmtId="165" formatCode="_-* #,##0.00_р_._-;\-* #,##0.00_р_._-;_-* &quot;-&quot;??_р_._-;_-@_-"/>
    <numFmt numFmtId="166" formatCode="0.0"/>
    <numFmt numFmtId="167" formatCode="0.000"/>
    <numFmt numFmtId="168" formatCode="0.0000"/>
    <numFmt numFmtId="169" formatCode="h:mm;@"/>
    <numFmt numFmtId="170" formatCode="dd/mm/yy;@"/>
  </numFmts>
  <fonts count="132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4"/>
      <name val="Times New Roman"/>
      <family val="1"/>
      <charset val="204"/>
    </font>
    <font>
      <sz val="10"/>
      <name val="Arial Cyr"/>
      <charset val="204"/>
    </font>
    <font>
      <b/>
      <sz val="14"/>
      <name val="Times New Roman"/>
      <family val="1"/>
      <charset val="204"/>
    </font>
    <font>
      <b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u/>
      <sz val="14"/>
      <name val="Times New Roman"/>
      <family val="1"/>
      <charset val="204"/>
    </font>
    <font>
      <sz val="10"/>
      <name val="Times New Roman"/>
      <family val="1"/>
      <charset val="204"/>
    </font>
    <font>
      <sz val="13"/>
      <name val="Times New Roman"/>
      <family val="1"/>
      <charset val="204"/>
    </font>
    <font>
      <sz val="12"/>
      <name val="Times New Roman"/>
      <family val="1"/>
      <charset val="204"/>
    </font>
    <font>
      <b/>
      <sz val="18"/>
      <name val="Times New Roman"/>
      <family val="1"/>
      <charset val="204"/>
    </font>
    <font>
      <sz val="11"/>
      <name val="Times New Roman"/>
      <family val="1"/>
      <charset val="204"/>
    </font>
    <font>
      <b/>
      <vertAlign val="superscript"/>
      <sz val="10"/>
      <name val="Times New Roman"/>
      <family val="1"/>
      <charset val="204"/>
    </font>
    <font>
      <b/>
      <sz val="11"/>
      <name val="Times New Roman"/>
      <family val="1"/>
      <charset val="204"/>
    </font>
    <font>
      <i/>
      <sz val="10"/>
      <name val="Times New Roman"/>
      <family val="1"/>
      <charset val="204"/>
    </font>
    <font>
      <b/>
      <sz val="8"/>
      <name val="Times New Roman"/>
      <family val="1"/>
      <charset val="204"/>
    </font>
    <font>
      <b/>
      <vertAlign val="subscript"/>
      <sz val="10"/>
      <name val="Times New Roman"/>
      <family val="1"/>
      <charset val="204"/>
    </font>
    <font>
      <b/>
      <vertAlign val="subscript"/>
      <sz val="8"/>
      <name val="Times New Roman"/>
      <family val="1"/>
      <charset val="204"/>
    </font>
    <font>
      <sz val="9"/>
      <name val="Times New Roman"/>
      <family val="1"/>
      <charset val="204"/>
    </font>
    <font>
      <i/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7"/>
      <name val="Times New Roman"/>
      <family val="1"/>
      <charset val="204"/>
    </font>
    <font>
      <sz val="8"/>
      <name val="Times New Roman"/>
      <family val="1"/>
      <charset val="204"/>
    </font>
    <font>
      <b/>
      <sz val="9"/>
      <name val="Times New Roman"/>
      <family val="1"/>
      <charset val="204"/>
    </font>
    <font>
      <vertAlign val="superscript"/>
      <sz val="18"/>
      <name val="Times New Roman"/>
      <family val="1"/>
      <charset val="204"/>
    </font>
    <font>
      <b/>
      <sz val="10"/>
      <name val="Arial Cyr"/>
      <charset val="204"/>
    </font>
    <font>
      <sz val="11"/>
      <color indexed="8"/>
      <name val="Times New Roman"/>
      <family val="1"/>
      <charset val="204"/>
    </font>
    <font>
      <b/>
      <sz val="14"/>
      <name val="Arial Cyr"/>
      <charset val="204"/>
    </font>
    <font>
      <sz val="11"/>
      <name val="Calibri"/>
      <family val="2"/>
      <charset val="204"/>
    </font>
    <font>
      <sz val="12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vertAlign val="subscript"/>
      <sz val="14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2"/>
      <name val="Calibri"/>
      <family val="2"/>
      <charset val="204"/>
    </font>
    <font>
      <sz val="10"/>
      <name val="Arial"/>
      <family val="2"/>
      <charset val="204"/>
    </font>
    <font>
      <b/>
      <sz val="12"/>
      <color theme="1"/>
      <name val="Times New Roman"/>
      <family val="1"/>
      <charset val="204"/>
    </font>
    <font>
      <b/>
      <sz val="13"/>
      <color rgb="FF000000"/>
      <name val="Times New Roman"/>
      <family val="1"/>
      <charset val="204"/>
    </font>
    <font>
      <sz val="13"/>
      <color rgb="FF000000"/>
      <name val="Times New Roman"/>
      <family val="1"/>
      <charset val="204"/>
    </font>
    <font>
      <vertAlign val="subscript"/>
      <sz val="13"/>
      <color rgb="FF000000"/>
      <name val="Times New Roman"/>
      <family val="1"/>
      <charset val="204"/>
    </font>
    <font>
      <b/>
      <sz val="13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sz val="8"/>
      <color rgb="FF000000"/>
      <name val="Times New Roman"/>
      <family val="1"/>
      <charset val="204"/>
    </font>
    <font>
      <vertAlign val="subscript"/>
      <sz val="9"/>
      <color rgb="FF000000"/>
      <name val="Times New Roman"/>
      <family val="1"/>
      <charset val="204"/>
    </font>
    <font>
      <sz val="12"/>
      <name val="Arial Cyr"/>
      <charset val="204"/>
    </font>
    <font>
      <sz val="13"/>
      <name val="Arial Cyr"/>
      <charset val="204"/>
    </font>
    <font>
      <sz val="36"/>
      <color theme="1"/>
      <name val="Times New Roman"/>
      <family val="1"/>
      <charset val="204"/>
    </font>
    <font>
      <b/>
      <sz val="42"/>
      <color theme="1"/>
      <name val="Times New Roman"/>
      <family val="1"/>
      <charset val="204"/>
    </font>
    <font>
      <sz val="18"/>
      <color theme="1"/>
      <name val="Times New Roman"/>
      <family val="1"/>
      <charset val="204"/>
    </font>
    <font>
      <b/>
      <sz val="36"/>
      <color theme="1"/>
      <name val="Times New Roman"/>
      <family val="1"/>
      <charset val="204"/>
    </font>
    <font>
      <sz val="36"/>
      <color theme="1"/>
      <name val="Calibri"/>
      <family val="2"/>
      <charset val="204"/>
      <scheme val="minor"/>
    </font>
    <font>
      <b/>
      <i/>
      <sz val="36"/>
      <color theme="1"/>
      <name val="Times New Roman"/>
      <family val="1"/>
      <charset val="204"/>
    </font>
    <font>
      <sz val="36"/>
      <name val="Times New Roman"/>
      <family val="1"/>
      <charset val="204"/>
    </font>
    <font>
      <vertAlign val="subscript"/>
      <sz val="36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vertAlign val="subscript"/>
      <sz val="36"/>
      <name val="Times New Roman"/>
      <family val="1"/>
      <charset val="204"/>
    </font>
    <font>
      <sz val="18"/>
      <name val="Times New Roman"/>
      <family val="1"/>
      <charset val="204"/>
    </font>
    <font>
      <u/>
      <sz val="18"/>
      <name val="Times New Roman"/>
      <family val="1"/>
      <charset val="204"/>
    </font>
    <font>
      <vertAlign val="subscript"/>
      <sz val="18"/>
      <name val="Times New Roman"/>
      <family val="1"/>
      <charset val="204"/>
    </font>
    <font>
      <sz val="16"/>
      <name val="Times New Roman"/>
      <family val="1"/>
      <charset val="204"/>
    </font>
    <font>
      <u/>
      <sz val="16"/>
      <name val="Times New Roman"/>
      <family val="1"/>
      <charset val="204"/>
    </font>
    <font>
      <sz val="22"/>
      <name val="Times New Roman"/>
      <family val="1"/>
      <charset val="204"/>
    </font>
    <font>
      <u/>
      <sz val="22"/>
      <name val="Times New Roman"/>
      <family val="1"/>
      <charset val="204"/>
    </font>
    <font>
      <b/>
      <sz val="20"/>
      <name val="Times New Roman"/>
      <family val="1"/>
      <charset val="204"/>
    </font>
    <font>
      <sz val="14"/>
      <color indexed="10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sz val="14"/>
      <name val="Arial Cyr"/>
      <charset val="204"/>
    </font>
    <font>
      <sz val="26"/>
      <name val="Times New Roman"/>
      <family val="1"/>
      <charset val="204"/>
    </font>
    <font>
      <sz val="24"/>
      <name val="Times New Roman"/>
      <family val="1"/>
      <charset val="204"/>
    </font>
    <font>
      <sz val="20"/>
      <name val="Times New Roman"/>
      <family val="1"/>
      <charset val="204"/>
    </font>
    <font>
      <b/>
      <sz val="22"/>
      <name val="Times New Roman"/>
      <family val="1"/>
      <charset val="204"/>
    </font>
    <font>
      <b/>
      <sz val="24"/>
      <name val="Times New Roman"/>
      <family val="1"/>
      <charset val="204"/>
    </font>
    <font>
      <vertAlign val="superscript"/>
      <sz val="24"/>
      <name val="Times New Roman"/>
      <family val="1"/>
      <charset val="204"/>
    </font>
    <font>
      <i/>
      <sz val="14"/>
      <name val="Times New Roman"/>
      <family val="1"/>
      <charset val="204"/>
    </font>
    <font>
      <vertAlign val="superscript"/>
      <sz val="22"/>
      <name val="Times New Roman"/>
      <family val="1"/>
      <charset val="204"/>
    </font>
    <font>
      <sz val="19"/>
      <name val="Times New Roman"/>
      <family val="1"/>
      <charset val="204"/>
    </font>
    <font>
      <u/>
      <sz val="19"/>
      <name val="Times New Roman"/>
      <family val="1"/>
      <charset val="204"/>
    </font>
    <font>
      <b/>
      <sz val="19"/>
      <name val="Times New Roman"/>
      <family val="1"/>
      <charset val="204"/>
    </font>
    <font>
      <sz val="21"/>
      <name val="Times New Roman"/>
      <family val="1"/>
      <charset val="204"/>
    </font>
    <font>
      <u/>
      <sz val="21"/>
      <name val="Times New Roman"/>
      <family val="1"/>
      <charset val="204"/>
    </font>
    <font>
      <vertAlign val="superscript"/>
      <sz val="9"/>
      <name val="Times New Roman"/>
      <family val="1"/>
      <charset val="204"/>
    </font>
    <font>
      <vertAlign val="superscript"/>
      <sz val="12"/>
      <name val="Times New Roman"/>
      <family val="1"/>
      <charset val="204"/>
    </font>
    <font>
      <vertAlign val="superscript"/>
      <sz val="11"/>
      <name val="Times New Roman"/>
      <family val="1"/>
      <charset val="204"/>
    </font>
    <font>
      <sz val="14"/>
      <name val="Calibri"/>
      <family val="2"/>
      <charset val="204"/>
    </font>
    <font>
      <b/>
      <vertAlign val="superscript"/>
      <sz val="12"/>
      <name val="Times New Roman"/>
      <family val="1"/>
      <charset val="204"/>
    </font>
    <font>
      <vertAlign val="subscript"/>
      <sz val="12"/>
      <name val="Times New Roman"/>
      <family val="1"/>
      <charset val="204"/>
    </font>
    <font>
      <vertAlign val="subscript"/>
      <sz val="16"/>
      <name val="Times New Roman"/>
      <family val="1"/>
      <charset val="204"/>
    </font>
    <font>
      <b/>
      <sz val="16"/>
      <name val="Times New Roman"/>
      <family val="1"/>
      <charset val="204"/>
    </font>
    <font>
      <vertAlign val="superscript"/>
      <sz val="16"/>
      <name val="Times New Roman"/>
      <family val="1"/>
      <charset val="204"/>
    </font>
    <font>
      <b/>
      <vertAlign val="subscript"/>
      <sz val="9"/>
      <name val="Times New Roman"/>
      <family val="1"/>
      <charset val="204"/>
    </font>
    <font>
      <b/>
      <vertAlign val="superscript"/>
      <sz val="14"/>
      <name val="Times New Roman"/>
      <family val="1"/>
      <charset val="204"/>
    </font>
    <font>
      <b/>
      <vertAlign val="superscript"/>
      <sz val="9"/>
      <name val="Times New Roman"/>
      <family val="1"/>
      <charset val="204"/>
    </font>
    <font>
      <b/>
      <sz val="14"/>
      <color indexed="12"/>
      <name val="Times New Roman"/>
      <family val="1"/>
      <charset val="204"/>
    </font>
    <font>
      <b/>
      <vertAlign val="subscript"/>
      <sz val="14"/>
      <color indexed="12"/>
      <name val="Times New Roman"/>
      <family val="1"/>
      <charset val="204"/>
    </font>
    <font>
      <b/>
      <vertAlign val="subscript"/>
      <sz val="14"/>
      <name val="Times New Roman"/>
      <family val="1"/>
      <charset val="204"/>
    </font>
    <font>
      <sz val="8"/>
      <color rgb="FFFF0000"/>
      <name val="Times New Roman"/>
      <family val="1"/>
      <charset val="204"/>
    </font>
    <font>
      <b/>
      <sz val="10"/>
      <color indexed="12"/>
      <name val="Times New Roman"/>
      <family val="1"/>
      <charset val="204"/>
    </font>
    <font>
      <b/>
      <sz val="8"/>
      <color indexed="12"/>
      <name val="Times New Roman"/>
      <family val="1"/>
      <charset val="204"/>
    </font>
    <font>
      <sz val="12"/>
      <color rgb="FF0000FF"/>
      <name val="Times New Roman"/>
      <family val="1"/>
      <charset val="204"/>
    </font>
    <font>
      <b/>
      <sz val="9"/>
      <color rgb="FF0000FF"/>
      <name val="Times New Roman"/>
      <family val="1"/>
      <charset val="204"/>
    </font>
    <font>
      <b/>
      <sz val="14"/>
      <color theme="1"/>
      <name val="Calibri"/>
      <family val="2"/>
      <charset val="204"/>
    </font>
    <font>
      <b/>
      <vertAlign val="subscript"/>
      <sz val="13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9"/>
      <color theme="1"/>
      <name val="Calibri"/>
      <family val="2"/>
      <charset val="204"/>
      <scheme val="minor"/>
    </font>
    <font>
      <vertAlign val="subscript"/>
      <sz val="11"/>
      <color theme="1"/>
      <name val="Times New Roman"/>
      <family val="1"/>
      <charset val="204"/>
    </font>
    <font>
      <vertAlign val="superscript"/>
      <sz val="11"/>
      <color theme="1"/>
      <name val="Times New Roman"/>
      <family val="1"/>
      <charset val="204"/>
    </font>
    <font>
      <i/>
      <sz val="36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</font>
    <font>
      <b/>
      <sz val="9"/>
      <color theme="1"/>
      <name val="Times New Roman"/>
      <family val="1"/>
      <charset val="204"/>
    </font>
    <font>
      <b/>
      <sz val="10"/>
      <color indexed="30"/>
      <name val="Times New Roman"/>
      <family val="1"/>
      <charset val="204"/>
    </font>
    <font>
      <sz val="12"/>
      <color indexed="8"/>
      <name val="Times New Roman"/>
      <family val="1"/>
      <charset val="204"/>
    </font>
    <font>
      <vertAlign val="subscript"/>
      <sz val="12"/>
      <color indexed="8"/>
      <name val="Times New Roman"/>
      <family val="1"/>
      <charset val="204"/>
    </font>
    <font>
      <b/>
      <sz val="12"/>
      <color rgb="FF0000FF"/>
      <name val="Times New Roman"/>
      <family val="1"/>
      <charset val="204"/>
    </font>
    <font>
      <vertAlign val="subscript"/>
      <sz val="11"/>
      <name val="Times New Roman"/>
      <family val="1"/>
      <charset val="204"/>
    </font>
    <font>
      <b/>
      <sz val="12"/>
      <name val="Arial Cyr"/>
      <charset val="204"/>
    </font>
    <font>
      <vertAlign val="superscript"/>
      <sz val="13"/>
      <color rgb="FF000000"/>
      <name val="Times New Roman"/>
      <family val="1"/>
      <charset val="204"/>
    </font>
    <font>
      <sz val="10"/>
      <name val="Arial"/>
      <family val="2"/>
      <charset val="204"/>
    </font>
    <font>
      <vertAlign val="superscript"/>
      <sz val="36"/>
      <color theme="1"/>
      <name val="Times New Roman"/>
      <family val="1"/>
      <charset val="204"/>
    </font>
    <font>
      <b/>
      <sz val="13"/>
      <name val="Calibri"/>
      <family val="2"/>
      <charset val="204"/>
    </font>
    <font>
      <b/>
      <i/>
      <sz val="14"/>
      <name val="Times New Roman"/>
      <family val="1"/>
      <charset val="204"/>
    </font>
  </fonts>
  <fills count="2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9">
    <xf numFmtId="0" fontId="0" fillId="0" borderId="0"/>
    <xf numFmtId="164" fontId="8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7" fillId="0" borderId="0"/>
    <xf numFmtId="0" fontId="47" fillId="0" borderId="0"/>
    <xf numFmtId="0" fontId="5" fillId="0" borderId="0"/>
    <xf numFmtId="0" fontId="4" fillId="23" borderId="0" applyNumberFormat="0" applyBorder="0" applyAlignment="0" applyProtection="0"/>
    <xf numFmtId="0" fontId="3" fillId="0" borderId="0"/>
    <xf numFmtId="0" fontId="128" fillId="0" borderId="0"/>
    <xf numFmtId="0" fontId="2" fillId="0" borderId="0"/>
    <xf numFmtId="164" fontId="8" fillId="0" borderId="0" applyFont="0" applyFill="0" applyBorder="0" applyAlignment="0" applyProtection="0"/>
    <xf numFmtId="0" fontId="8" fillId="0" borderId="0"/>
  </cellStyleXfs>
  <cellXfs count="2493">
    <xf numFmtId="0" fontId="0" fillId="0" borderId="0" xfId="0"/>
    <xf numFmtId="0" fontId="9" fillId="0" borderId="0" xfId="0" applyFont="1" applyProtection="1">
      <protection locked="0"/>
    </xf>
    <xf numFmtId="0" fontId="9" fillId="0" borderId="0" xfId="0" applyFont="1" applyAlignment="1" applyProtection="1">
      <protection locked="0"/>
    </xf>
    <xf numFmtId="0" fontId="15" fillId="0" borderId="0" xfId="0" applyFont="1" applyProtection="1">
      <protection locked="0"/>
    </xf>
    <xf numFmtId="0" fontId="9" fillId="0" borderId="0" xfId="0" applyFont="1" applyBorder="1" applyAlignment="1" applyProtection="1">
      <protection locked="0"/>
    </xf>
    <xf numFmtId="0" fontId="15" fillId="0" borderId="0" xfId="0" applyFont="1" applyAlignment="1" applyProtection="1">
      <protection locked="0"/>
    </xf>
    <xf numFmtId="0" fontId="15" fillId="2" borderId="0" xfId="0" applyFont="1" applyFill="1" applyProtection="1">
      <protection locked="0"/>
    </xf>
    <xf numFmtId="0" fontId="15" fillId="0" borderId="0" xfId="0" applyFont="1" applyFill="1" applyProtection="1">
      <protection locked="0"/>
    </xf>
    <xf numFmtId="0" fontId="17" fillId="2" borderId="0" xfId="0" applyFont="1" applyFill="1" applyBorder="1" applyAlignment="1" applyProtection="1">
      <alignment horizontal="center"/>
      <protection locked="0"/>
    </xf>
    <xf numFmtId="0" fontId="19" fillId="0" borderId="0" xfId="0" applyFont="1" applyProtection="1">
      <protection locked="0"/>
    </xf>
    <xf numFmtId="0" fontId="12" fillId="0" borderId="0" xfId="0" applyFont="1" applyAlignment="1" applyProtection="1">
      <protection locked="0"/>
    </xf>
    <xf numFmtId="0" fontId="15" fillId="2" borderId="0" xfId="0" applyFont="1" applyFill="1" applyBorder="1" applyAlignment="1" applyProtection="1">
      <protection locked="0"/>
    </xf>
    <xf numFmtId="0" fontId="15" fillId="2" borderId="0" xfId="0" applyFont="1" applyFill="1" applyBorder="1" applyProtection="1">
      <protection locked="0"/>
    </xf>
    <xf numFmtId="0" fontId="21" fillId="0" borderId="0" xfId="0" applyFont="1" applyBorder="1" applyAlignment="1" applyProtection="1">
      <protection locked="0"/>
    </xf>
    <xf numFmtId="0" fontId="22" fillId="2" borderId="0" xfId="0" applyFont="1" applyFill="1" applyBorder="1" applyAlignment="1" applyProtection="1">
      <alignment horizontal="center"/>
      <protection locked="0"/>
    </xf>
    <xf numFmtId="0" fontId="11" fillId="0" borderId="0" xfId="0" applyFont="1" applyAlignment="1" applyProtection="1">
      <protection locked="0"/>
    </xf>
    <xf numFmtId="0" fontId="12" fillId="2" borderId="0" xfId="0" applyFont="1" applyFill="1" applyBorder="1" applyAlignment="1" applyProtection="1">
      <alignment horizontal="center"/>
      <protection locked="0"/>
    </xf>
    <xf numFmtId="0" fontId="23" fillId="2" borderId="0" xfId="0" applyFont="1" applyFill="1" applyBorder="1" applyAlignment="1" applyProtection="1">
      <alignment horizontal="center"/>
      <protection locked="0"/>
    </xf>
    <xf numFmtId="0" fontId="15" fillId="2" borderId="0" xfId="0" applyFont="1" applyFill="1" applyBorder="1" applyAlignment="1" applyProtection="1">
      <alignment horizontal="center" vertical="center"/>
      <protection locked="0"/>
    </xf>
    <xf numFmtId="0" fontId="15" fillId="2" borderId="0" xfId="0" applyFont="1" applyFill="1" applyAlignment="1" applyProtection="1">
      <alignment horizontal="center" vertical="center"/>
      <protection locked="0"/>
    </xf>
    <xf numFmtId="0" fontId="15" fillId="0" borderId="0" xfId="0" applyFont="1" applyFill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9" fillId="0" borderId="0" xfId="0" applyFont="1" applyBorder="1" applyProtection="1">
      <protection locked="0"/>
    </xf>
    <xf numFmtId="0" fontId="15" fillId="0" borderId="0" xfId="0" applyFont="1" applyBorder="1" applyAlignment="1" applyProtection="1">
      <alignment horizontal="center" vertical="center"/>
      <protection locked="0"/>
    </xf>
    <xf numFmtId="166" fontId="21" fillId="2" borderId="0" xfId="0" applyNumberFormat="1" applyFont="1" applyFill="1" applyBorder="1" applyAlignment="1" applyProtection="1">
      <alignment horizontal="center"/>
      <protection locked="0"/>
    </xf>
    <xf numFmtId="0" fontId="15" fillId="0" borderId="0" xfId="0" applyFont="1" applyBorder="1" applyProtection="1">
      <protection locked="0"/>
    </xf>
    <xf numFmtId="0" fontId="15" fillId="2" borderId="46" xfId="0" applyFont="1" applyFill="1" applyBorder="1" applyProtection="1">
      <protection locked="0"/>
    </xf>
    <xf numFmtId="0" fontId="15" fillId="0" borderId="8" xfId="0" applyFont="1" applyBorder="1" applyProtection="1">
      <protection locked="0"/>
    </xf>
    <xf numFmtId="0" fontId="12" fillId="0" borderId="0" xfId="0" applyFont="1" applyBorder="1" applyProtection="1">
      <protection locked="0"/>
    </xf>
    <xf numFmtId="0" fontId="21" fillId="0" borderId="0" xfId="0" applyFont="1" applyBorder="1" applyProtection="1">
      <protection locked="0"/>
    </xf>
    <xf numFmtId="0" fontId="21" fillId="3" borderId="0" xfId="0" applyFont="1" applyFill="1" applyBorder="1" applyAlignment="1" applyProtection="1">
      <alignment horizontal="center"/>
      <protection locked="0"/>
    </xf>
    <xf numFmtId="0" fontId="30" fillId="2" borderId="0" xfId="0" applyFont="1" applyFill="1" applyBorder="1" applyProtection="1">
      <protection locked="0"/>
    </xf>
    <xf numFmtId="0" fontId="28" fillId="0" borderId="0" xfId="0" applyFont="1" applyFill="1" applyBorder="1" applyProtection="1">
      <protection locked="0"/>
    </xf>
    <xf numFmtId="0" fontId="15" fillId="3" borderId="0" xfId="0" applyFont="1" applyFill="1" applyBorder="1" applyProtection="1">
      <protection locked="0"/>
    </xf>
    <xf numFmtId="0" fontId="12" fillId="0" borderId="5" xfId="0" applyFont="1" applyBorder="1" applyProtection="1">
      <protection locked="0"/>
    </xf>
    <xf numFmtId="0" fontId="17" fillId="0" borderId="0" xfId="0" applyFont="1" applyProtection="1">
      <protection locked="0"/>
    </xf>
    <xf numFmtId="0" fontId="28" fillId="0" borderId="0" xfId="0" applyFont="1" applyProtection="1">
      <protection locked="0"/>
    </xf>
    <xf numFmtId="0" fontId="28" fillId="0" borderId="0" xfId="0" applyFont="1" applyAlignment="1" applyProtection="1">
      <protection locked="0"/>
    </xf>
    <xf numFmtId="0" fontId="17" fillId="2" borderId="0" xfId="0" applyFont="1" applyFill="1" applyBorder="1" applyProtection="1">
      <protection locked="0"/>
    </xf>
    <xf numFmtId="0" fontId="17" fillId="2" borderId="0" xfId="0" applyFont="1" applyFill="1" applyProtection="1">
      <protection locked="0"/>
    </xf>
    <xf numFmtId="0" fontId="17" fillId="0" borderId="0" xfId="0" applyFont="1" applyFill="1" applyProtection="1">
      <protection locked="0"/>
    </xf>
    <xf numFmtId="0" fontId="18" fillId="0" borderId="0" xfId="0" applyFont="1" applyAlignment="1" applyProtection="1">
      <protection locked="0"/>
    </xf>
    <xf numFmtId="0" fontId="28" fillId="0" borderId="5" xfId="0" applyFont="1" applyBorder="1" applyAlignment="1" applyProtection="1">
      <alignment horizontal="center"/>
      <protection locked="0"/>
    </xf>
    <xf numFmtId="0" fontId="15" fillId="2" borderId="0" xfId="0" applyFont="1" applyFill="1" applyBorder="1" applyAlignment="1" applyProtection="1">
      <alignment horizontal="center"/>
      <protection locked="0"/>
    </xf>
    <xf numFmtId="0" fontId="19" fillId="2" borderId="0" xfId="0" applyFont="1" applyFill="1" applyBorder="1" applyAlignment="1" applyProtection="1">
      <alignment horizontal="center"/>
      <protection locked="0"/>
    </xf>
    <xf numFmtId="0" fontId="23" fillId="2" borderId="0" xfId="0" applyFont="1" applyFill="1" applyBorder="1" applyProtection="1">
      <protection locked="0"/>
    </xf>
    <xf numFmtId="0" fontId="15" fillId="2" borderId="0" xfId="0" applyFont="1" applyFill="1" applyBorder="1" applyAlignment="1" applyProtection="1">
      <alignment horizontal="left"/>
      <protection locked="0"/>
    </xf>
    <xf numFmtId="2" fontId="19" fillId="0" borderId="14" xfId="0" applyNumberFormat="1" applyFont="1" applyFill="1" applyBorder="1" applyProtection="1">
      <protection locked="0"/>
    </xf>
    <xf numFmtId="0" fontId="17" fillId="0" borderId="0" xfId="0" applyFont="1" applyBorder="1" applyProtection="1">
      <protection locked="0"/>
    </xf>
    <xf numFmtId="0" fontId="23" fillId="3" borderId="53" xfId="0" applyFont="1" applyFill="1" applyBorder="1" applyAlignment="1" applyProtection="1">
      <alignment horizontal="center"/>
      <protection locked="0"/>
    </xf>
    <xf numFmtId="0" fontId="21" fillId="2" borderId="0" xfId="0" applyFont="1" applyFill="1" applyBorder="1" applyAlignment="1" applyProtection="1">
      <alignment horizontal="center"/>
      <protection locked="0"/>
    </xf>
    <xf numFmtId="166" fontId="21" fillId="2" borderId="0" xfId="0" applyNumberFormat="1" applyFont="1" applyFill="1" applyBorder="1" applyAlignment="1" applyProtection="1">
      <alignment horizontal="right"/>
      <protection locked="0"/>
    </xf>
    <xf numFmtId="0" fontId="12" fillId="3" borderId="23" xfId="0" applyFont="1" applyFill="1" applyBorder="1" applyAlignment="1" applyProtection="1">
      <alignment horizontal="center"/>
      <protection locked="0"/>
    </xf>
    <xf numFmtId="0" fontId="21" fillId="2" borderId="0" xfId="0" applyFont="1" applyFill="1" applyBorder="1" applyAlignment="1" applyProtection="1">
      <alignment horizontal="right"/>
      <protection locked="0"/>
    </xf>
    <xf numFmtId="0" fontId="12" fillId="3" borderId="58" xfId="0" applyFont="1" applyFill="1" applyBorder="1" applyAlignment="1" applyProtection="1">
      <alignment horizontal="center"/>
      <protection locked="0"/>
    </xf>
    <xf numFmtId="0" fontId="12" fillId="3" borderId="41" xfId="0" applyFont="1" applyFill="1" applyBorder="1" applyAlignment="1" applyProtection="1">
      <protection locked="0"/>
    </xf>
    <xf numFmtId="0" fontId="12" fillId="3" borderId="75" xfId="0" applyFont="1" applyFill="1" applyBorder="1" applyAlignment="1" applyProtection="1">
      <protection locked="0"/>
    </xf>
    <xf numFmtId="0" fontId="15" fillId="0" borderId="37" xfId="0" applyFont="1" applyBorder="1" applyProtection="1">
      <protection locked="0"/>
    </xf>
    <xf numFmtId="0" fontId="17" fillId="0" borderId="33" xfId="0" applyFont="1" applyBorder="1" applyProtection="1">
      <protection locked="0"/>
    </xf>
    <xf numFmtId="0" fontId="15" fillId="0" borderId="75" xfId="0" applyFont="1" applyBorder="1" applyProtection="1">
      <protection locked="0"/>
    </xf>
    <xf numFmtId="0" fontId="12" fillId="3" borderId="41" xfId="0" applyFont="1" applyFill="1" applyBorder="1" applyAlignment="1" applyProtection="1">
      <alignment horizontal="center"/>
      <protection locked="0"/>
    </xf>
    <xf numFmtId="0" fontId="17" fillId="0" borderId="34" xfId="0" applyFont="1" applyBorder="1" applyProtection="1">
      <protection locked="0"/>
    </xf>
    <xf numFmtId="0" fontId="12" fillId="3" borderId="0" xfId="0" applyFont="1" applyFill="1" applyBorder="1" applyProtection="1">
      <protection locked="0"/>
    </xf>
    <xf numFmtId="0" fontId="21" fillId="3" borderId="0" xfId="0" applyFont="1" applyFill="1" applyBorder="1" applyProtection="1">
      <protection locked="0"/>
    </xf>
    <xf numFmtId="166" fontId="21" fillId="3" borderId="0" xfId="0" applyNumberFormat="1" applyFont="1" applyFill="1" applyBorder="1" applyAlignment="1" applyProtection="1">
      <alignment horizontal="right"/>
      <protection locked="0"/>
    </xf>
    <xf numFmtId="0" fontId="23" fillId="0" borderId="8" xfId="0" applyFont="1" applyBorder="1" applyAlignment="1" applyProtection="1">
      <alignment horizontal="center"/>
      <protection locked="0"/>
    </xf>
    <xf numFmtId="0" fontId="23" fillId="0" borderId="9" xfId="0" applyFont="1" applyBorder="1" applyAlignment="1" applyProtection="1">
      <alignment horizontal="center"/>
      <protection locked="0"/>
    </xf>
    <xf numFmtId="0" fontId="15" fillId="4" borderId="0" xfId="0" applyFont="1" applyFill="1" applyProtection="1">
      <protection locked="0"/>
    </xf>
    <xf numFmtId="0" fontId="30" fillId="0" borderId="0" xfId="0" applyFont="1" applyProtection="1">
      <protection locked="0"/>
    </xf>
    <xf numFmtId="0" fontId="15" fillId="0" borderId="0" xfId="0" applyFont="1" applyBorder="1" applyAlignment="1" applyProtection="1">
      <protection locked="0"/>
    </xf>
    <xf numFmtId="0" fontId="19" fillId="0" borderId="0" xfId="0" applyFont="1" applyBorder="1" applyProtection="1">
      <protection locked="0"/>
    </xf>
    <xf numFmtId="0" fontId="17" fillId="0" borderId="0" xfId="0" applyFont="1"/>
    <xf numFmtId="0" fontId="0" fillId="0" borderId="22" xfId="0" applyBorder="1"/>
    <xf numFmtId="0" fontId="17" fillId="0" borderId="22" xfId="0" applyFont="1" applyBorder="1" applyAlignment="1" applyProtection="1">
      <alignment horizontal="center"/>
      <protection locked="0"/>
    </xf>
    <xf numFmtId="0" fontId="0" fillId="0" borderId="4" xfId="0" applyBorder="1"/>
    <xf numFmtId="0" fontId="42" fillId="0" borderId="0" xfId="0" applyFont="1"/>
    <xf numFmtId="0" fontId="42" fillId="0" borderId="0" xfId="0" applyFont="1" applyAlignment="1">
      <alignment wrapText="1"/>
    </xf>
    <xf numFmtId="0" fontId="42" fillId="0" borderId="22" xfId="0" applyFont="1" applyBorder="1"/>
    <xf numFmtId="0" fontId="9" fillId="0" borderId="0" xfId="0" applyFont="1"/>
    <xf numFmtId="0" fontId="15" fillId="6" borderId="0" xfId="0" applyFont="1" applyFill="1" applyBorder="1" applyProtection="1">
      <protection locked="0"/>
    </xf>
    <xf numFmtId="166" fontId="15" fillId="6" borderId="0" xfId="0" applyNumberFormat="1" applyFont="1" applyFill="1" applyBorder="1" applyProtection="1">
      <protection locked="0"/>
    </xf>
    <xf numFmtId="0" fontId="42" fillId="0" borderId="4" xfId="0" applyFont="1" applyBorder="1"/>
    <xf numFmtId="170" fontId="42" fillId="0" borderId="22" xfId="0" applyNumberFormat="1" applyFont="1" applyBorder="1"/>
    <xf numFmtId="170" fontId="42" fillId="0" borderId="4" xfId="0" applyNumberFormat="1" applyFont="1" applyBorder="1"/>
    <xf numFmtId="0" fontId="22" fillId="2" borderId="0" xfId="0" applyFont="1" applyFill="1" applyBorder="1" applyAlignment="1" applyProtection="1">
      <alignment horizontal="center" vertical="center"/>
      <protection locked="0"/>
    </xf>
    <xf numFmtId="0" fontId="15" fillId="2" borderId="0" xfId="0" applyFont="1" applyFill="1" applyAlignment="1" applyProtection="1">
      <alignment vertical="center"/>
      <protection locked="0"/>
    </xf>
    <xf numFmtId="0" fontId="15" fillId="0" borderId="0" xfId="0" applyFont="1" applyFill="1" applyAlignment="1" applyProtection="1">
      <alignment vertical="center"/>
      <protection locked="0"/>
    </xf>
    <xf numFmtId="0" fontId="9" fillId="0" borderId="0" xfId="0" applyFont="1" applyAlignment="1" applyProtection="1">
      <alignment vertical="center"/>
      <protection locked="0"/>
    </xf>
    <xf numFmtId="0" fontId="15" fillId="0" borderId="0" xfId="0" applyFont="1" applyAlignment="1" applyProtection="1">
      <alignment vertical="center"/>
      <protection locked="0"/>
    </xf>
    <xf numFmtId="0" fontId="28" fillId="0" borderId="0" xfId="0" applyFont="1" applyAlignment="1" applyProtection="1">
      <alignment horizontal="right"/>
      <protection locked="0"/>
    </xf>
    <xf numFmtId="0" fontId="12" fillId="0" borderId="0" xfId="0" applyFont="1" applyBorder="1" applyAlignment="1" applyProtection="1">
      <alignment vertical="top" wrapText="1"/>
      <protection locked="0"/>
    </xf>
    <xf numFmtId="0" fontId="12" fillId="0" borderId="0" xfId="0" applyFont="1" applyBorder="1" applyAlignment="1" applyProtection="1">
      <alignment wrapText="1"/>
      <protection locked="0"/>
    </xf>
    <xf numFmtId="0" fontId="23" fillId="0" borderId="0" xfId="0" applyFont="1" applyBorder="1" applyAlignment="1" applyProtection="1">
      <alignment horizontal="center" vertical="top" wrapText="1"/>
      <protection locked="0"/>
    </xf>
    <xf numFmtId="0" fontId="17" fillId="3" borderId="0" xfId="0" applyFont="1" applyFill="1" applyBorder="1" applyAlignment="1" applyProtection="1">
      <alignment horizontal="center" vertical="center" wrapText="1"/>
      <protection locked="0"/>
    </xf>
    <xf numFmtId="0" fontId="17" fillId="3" borderId="0" xfId="0" applyFont="1" applyFill="1" applyBorder="1" applyAlignment="1" applyProtection="1">
      <alignment vertical="center" wrapText="1"/>
      <protection locked="0"/>
    </xf>
    <xf numFmtId="0" fontId="17" fillId="3" borderId="0" xfId="0" applyFont="1" applyFill="1" applyBorder="1" applyAlignment="1" applyProtection="1">
      <alignment horizontal="center" vertical="center"/>
      <protection locked="0"/>
    </xf>
    <xf numFmtId="166" fontId="15" fillId="0" borderId="0" xfId="0" applyNumberFormat="1" applyFont="1" applyBorder="1" applyAlignment="1" applyProtection="1">
      <alignment wrapText="1"/>
      <protection locked="0"/>
    </xf>
    <xf numFmtId="0" fontId="23" fillId="3" borderId="7" xfId="0" applyFont="1" applyFill="1" applyBorder="1" applyAlignment="1" applyProtection="1">
      <alignment horizontal="center" vertical="center" wrapText="1"/>
      <protection locked="0"/>
    </xf>
    <xf numFmtId="0" fontId="22" fillId="0" borderId="0" xfId="0" applyFont="1" applyBorder="1" applyAlignment="1" applyProtection="1">
      <alignment horizontal="center"/>
      <protection locked="0"/>
    </xf>
    <xf numFmtId="0" fontId="28" fillId="0" borderId="0" xfId="0" applyFont="1" applyAlignment="1" applyProtection="1">
      <alignment horizontal="left"/>
      <protection locked="0"/>
    </xf>
    <xf numFmtId="0" fontId="15" fillId="0" borderId="0" xfId="0" applyFont="1" applyBorder="1" applyAlignment="1" applyProtection="1">
      <alignment horizontal="center"/>
      <protection locked="0"/>
    </xf>
    <xf numFmtId="0" fontId="9" fillId="0" borderId="69" xfId="0" applyFont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 vertical="center" wrapText="1"/>
    </xf>
    <xf numFmtId="0" fontId="15" fillId="0" borderId="0" xfId="0" applyFont="1" applyAlignment="1" applyProtection="1">
      <alignment horizontal="center" vertical="center"/>
    </xf>
    <xf numFmtId="0" fontId="15" fillId="0" borderId="0" xfId="0" applyFont="1" applyProtection="1"/>
    <xf numFmtId="0" fontId="15" fillId="0" borderId="0" xfId="0" applyFont="1" applyAlignment="1" applyProtection="1">
      <alignment horizontal="center"/>
    </xf>
    <xf numFmtId="0" fontId="19" fillId="0" borderId="31" xfId="0" applyFont="1" applyBorder="1" applyAlignment="1" applyProtection="1">
      <alignment horizontal="center" vertical="center"/>
      <protection locked="0"/>
    </xf>
    <xf numFmtId="0" fontId="28" fillId="0" borderId="0" xfId="0" applyFont="1" applyFill="1" applyBorder="1" applyAlignment="1" applyProtection="1">
      <alignment horizontal="center"/>
      <protection locked="0"/>
    </xf>
    <xf numFmtId="0" fontId="15" fillId="3" borderId="0" xfId="0" applyFont="1" applyFill="1" applyBorder="1" applyAlignment="1" applyProtection="1">
      <alignment horizontal="center"/>
      <protection locked="0"/>
    </xf>
    <xf numFmtId="0" fontId="32" fillId="0" borderId="0" xfId="0" applyFont="1" applyAlignment="1" applyProtection="1">
      <alignment horizontal="left"/>
      <protection locked="0"/>
    </xf>
    <xf numFmtId="0" fontId="17" fillId="0" borderId="0" xfId="0" applyFont="1" applyAlignment="1">
      <alignment wrapText="1"/>
    </xf>
    <xf numFmtId="0" fontId="17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36" fillId="0" borderId="0" xfId="0" applyFont="1" applyAlignment="1">
      <alignment vertical="top" wrapText="1"/>
    </xf>
    <xf numFmtId="0" fontId="17" fillId="0" borderId="0" xfId="0" applyFont="1" applyBorder="1" applyAlignment="1">
      <alignment wrapText="1"/>
    </xf>
    <xf numFmtId="0" fontId="0" fillId="0" borderId="0" xfId="0" applyAlignment="1">
      <alignment vertical="top"/>
    </xf>
    <xf numFmtId="0" fontId="17" fillId="0" borderId="0" xfId="0" applyFont="1" applyBorder="1" applyAlignment="1" applyProtection="1">
      <alignment horizontal="center" vertical="center"/>
      <protection locked="0"/>
    </xf>
    <xf numFmtId="0" fontId="17" fillId="0" borderId="7" xfId="0" applyFont="1" applyFill="1" applyBorder="1" applyAlignment="1" applyProtection="1">
      <alignment horizontal="center"/>
      <protection locked="0"/>
    </xf>
    <xf numFmtId="0" fontId="23" fillId="3" borderId="9" xfId="0" applyFont="1" applyFill="1" applyBorder="1" applyAlignment="1" applyProtection="1">
      <alignment horizontal="center" vertical="center" wrapText="1"/>
      <protection locked="0"/>
    </xf>
    <xf numFmtId="0" fontId="23" fillId="2" borderId="0" xfId="0" applyFont="1" applyFill="1" applyBorder="1" applyAlignment="1" applyProtection="1">
      <alignment horizontal="center" vertical="center"/>
      <protection locked="0"/>
    </xf>
    <xf numFmtId="0" fontId="28" fillId="5" borderId="17" xfId="0" applyFont="1" applyFill="1" applyBorder="1" applyAlignment="1" applyProtection="1">
      <alignment horizontal="center"/>
      <protection locked="0"/>
    </xf>
    <xf numFmtId="0" fontId="23" fillId="5" borderId="7" xfId="0" applyFont="1" applyFill="1" applyBorder="1" applyAlignment="1" applyProtection="1">
      <alignment horizontal="center" wrapText="1"/>
      <protection locked="0"/>
    </xf>
    <xf numFmtId="0" fontId="15" fillId="0" borderId="0" xfId="0" applyFont="1" applyAlignment="1" applyProtection="1">
      <alignment horizontal="center"/>
      <protection locked="0"/>
    </xf>
    <xf numFmtId="0" fontId="19" fillId="15" borderId="22" xfId="0" applyFont="1" applyFill="1" applyBorder="1" applyProtection="1">
      <protection locked="0"/>
    </xf>
    <xf numFmtId="0" fontId="19" fillId="15" borderId="22" xfId="0" applyFont="1" applyFill="1" applyBorder="1" applyAlignment="1" applyProtection="1">
      <alignment horizontal="center"/>
      <protection locked="0"/>
    </xf>
    <xf numFmtId="0" fontId="12" fillId="5" borderId="0" xfId="0" applyFont="1" applyFill="1" applyBorder="1" applyProtection="1">
      <protection locked="0"/>
    </xf>
    <xf numFmtId="167" fontId="12" fillId="5" borderId="0" xfId="0" applyNumberFormat="1" applyFont="1" applyFill="1" applyBorder="1" applyProtection="1">
      <protection locked="0"/>
    </xf>
    <xf numFmtId="0" fontId="30" fillId="0" borderId="0" xfId="7" applyFont="1" applyFill="1" applyBorder="1" applyAlignment="1" applyProtection="1">
      <alignment vertical="center" wrapText="1"/>
      <protection locked="0"/>
    </xf>
    <xf numFmtId="0" fontId="30" fillId="0" borderId="0" xfId="7" applyFont="1" applyFill="1" applyBorder="1" applyAlignment="1" applyProtection="1">
      <alignment horizontal="left" vertical="center" wrapText="1"/>
      <protection locked="0"/>
    </xf>
    <xf numFmtId="0" fontId="15" fillId="0" borderId="0" xfId="0" applyFont="1" applyFill="1" applyAlignment="1" applyProtection="1">
      <alignment horizontal="center" vertical="center"/>
    </xf>
    <xf numFmtId="0" fontId="15" fillId="13" borderId="0" xfId="0" applyFont="1" applyFill="1" applyAlignment="1" applyProtection="1">
      <alignment horizontal="center"/>
    </xf>
    <xf numFmtId="0" fontId="21" fillId="0" borderId="0" xfId="0" applyFont="1" applyBorder="1" applyAlignment="1" applyProtection="1">
      <alignment horizontal="center"/>
      <protection locked="0"/>
    </xf>
    <xf numFmtId="0" fontId="12" fillId="3" borderId="6" xfId="0" applyFont="1" applyFill="1" applyBorder="1" applyAlignment="1" applyProtection="1">
      <alignment horizontal="center" vertical="center"/>
      <protection locked="0"/>
    </xf>
    <xf numFmtId="166" fontId="15" fillId="0" borderId="22" xfId="0" applyNumberFormat="1" applyFont="1" applyBorder="1" applyAlignment="1" applyProtection="1">
      <alignment horizontal="center" vertical="center"/>
    </xf>
    <xf numFmtId="0" fontId="12" fillId="3" borderId="0" xfId="0" applyFont="1" applyFill="1" applyBorder="1" applyAlignment="1" applyProtection="1"/>
    <xf numFmtId="0" fontId="12" fillId="3" borderId="0" xfId="0" applyFont="1" applyFill="1" applyBorder="1" applyAlignment="1" applyProtection="1">
      <alignment horizontal="center"/>
    </xf>
    <xf numFmtId="0" fontId="15" fillId="3" borderId="0" xfId="0" applyFont="1" applyFill="1" applyBorder="1" applyProtection="1"/>
    <xf numFmtId="0" fontId="15" fillId="4" borderId="0" xfId="0" applyFont="1" applyFill="1" applyProtection="1"/>
    <xf numFmtId="0" fontId="15" fillId="0" borderId="0" xfId="0" applyFont="1" applyFill="1" applyProtection="1"/>
    <xf numFmtId="0" fontId="9" fillId="0" borderId="0" xfId="0" applyFont="1" applyProtection="1"/>
    <xf numFmtId="0" fontId="17" fillId="0" borderId="0" xfId="0" applyFont="1" applyProtection="1"/>
    <xf numFmtId="49" fontId="15" fillId="0" borderId="0" xfId="0" applyNumberFormat="1" applyFont="1" applyAlignment="1" applyProtection="1"/>
    <xf numFmtId="0" fontId="26" fillId="0" borderId="22" xfId="0" applyFont="1" applyBorder="1" applyAlignment="1" applyProtection="1">
      <alignment wrapText="1"/>
    </xf>
    <xf numFmtId="166" fontId="15" fillId="0" borderId="0" xfId="0" applyNumberFormat="1" applyFont="1" applyProtection="1"/>
    <xf numFmtId="0" fontId="15" fillId="0" borderId="22" xfId="0" applyFont="1" applyBorder="1" applyProtection="1"/>
    <xf numFmtId="49" fontId="15" fillId="0" borderId="0" xfId="0" applyNumberFormat="1" applyFont="1" applyProtection="1"/>
    <xf numFmtId="0" fontId="37" fillId="0" borderId="0" xfId="0" applyFont="1" applyProtection="1"/>
    <xf numFmtId="2" fontId="15" fillId="0" borderId="0" xfId="0" applyNumberFormat="1" applyFont="1" applyProtection="1"/>
    <xf numFmtId="0" fontId="15" fillId="0" borderId="0" xfId="0" applyFont="1" applyBorder="1" applyAlignment="1" applyProtection="1">
      <alignment vertical="center"/>
    </xf>
    <xf numFmtId="0" fontId="37" fillId="0" borderId="0" xfId="0" applyFont="1" applyAlignment="1" applyProtection="1">
      <alignment horizontal="center" vertical="top"/>
    </xf>
    <xf numFmtId="166" fontId="17" fillId="0" borderId="0" xfId="0" applyNumberFormat="1" applyFont="1" applyBorder="1" applyAlignment="1" applyProtection="1">
      <alignment vertical="center"/>
    </xf>
    <xf numFmtId="166" fontId="12" fillId="0" borderId="22" xfId="0" applyNumberFormat="1" applyFont="1" applyFill="1" applyBorder="1" applyAlignment="1" applyProtection="1">
      <alignment horizontal="center"/>
    </xf>
    <xf numFmtId="0" fontId="15" fillId="0" borderId="0" xfId="0" applyFont="1" applyBorder="1" applyAlignment="1" applyProtection="1"/>
    <xf numFmtId="166" fontId="12" fillId="0" borderId="22" xfId="0" applyNumberFormat="1" applyFont="1" applyFill="1" applyBorder="1" applyAlignment="1" applyProtection="1">
      <alignment horizontal="center" vertical="center"/>
    </xf>
    <xf numFmtId="1" fontId="12" fillId="0" borderId="22" xfId="0" applyNumberFormat="1" applyFont="1" applyFill="1" applyBorder="1" applyAlignment="1" applyProtection="1">
      <alignment horizontal="center" vertical="center"/>
    </xf>
    <xf numFmtId="166" fontId="12" fillId="3" borderId="22" xfId="0" applyNumberFormat="1" applyFont="1" applyFill="1" applyBorder="1" applyAlignment="1" applyProtection="1">
      <alignment horizontal="center" vertical="center"/>
    </xf>
    <xf numFmtId="0" fontId="15" fillId="0" borderId="0" xfId="0" applyFont="1" applyBorder="1" applyProtection="1"/>
    <xf numFmtId="166" fontId="15" fillId="0" borderId="0" xfId="0" applyNumberFormat="1" applyFont="1" applyBorder="1" applyProtection="1"/>
    <xf numFmtId="166" fontId="12" fillId="3" borderId="22" xfId="0" applyNumberFormat="1" applyFont="1" applyFill="1" applyBorder="1" applyAlignment="1" applyProtection="1">
      <alignment horizontal="center"/>
    </xf>
    <xf numFmtId="0" fontId="15" fillId="13" borderId="22" xfId="0" applyFont="1" applyFill="1" applyBorder="1" applyAlignment="1" applyProtection="1">
      <alignment horizontal="center"/>
    </xf>
    <xf numFmtId="0" fontId="15" fillId="0" borderId="0" xfId="0" applyFont="1" applyFill="1" applyBorder="1" applyAlignment="1" applyProtection="1"/>
    <xf numFmtId="164" fontId="23" fillId="0" borderId="38" xfId="1" applyFont="1" applyFill="1" applyBorder="1" applyAlignment="1" applyProtection="1"/>
    <xf numFmtId="0" fontId="12" fillId="0" borderId="71" xfId="0" applyFont="1" applyFill="1" applyBorder="1" applyAlignment="1" applyProtection="1"/>
    <xf numFmtId="0" fontId="12" fillId="0" borderId="55" xfId="0" applyFont="1" applyFill="1" applyBorder="1" applyAlignment="1" applyProtection="1"/>
    <xf numFmtId="164" fontId="23" fillId="0" borderId="28" xfId="1" applyFont="1" applyFill="1" applyBorder="1" applyAlignment="1" applyProtection="1">
      <alignment horizontal="center"/>
    </xf>
    <xf numFmtId="164" fontId="23" fillId="0" borderId="40" xfId="1" applyFont="1" applyFill="1" applyBorder="1" applyAlignment="1" applyProtection="1"/>
    <xf numFmtId="0" fontId="12" fillId="0" borderId="7" xfId="0" applyFont="1" applyFill="1" applyBorder="1" applyAlignment="1" applyProtection="1">
      <alignment horizontal="center"/>
    </xf>
    <xf numFmtId="0" fontId="12" fillId="0" borderId="8" xfId="0" applyFont="1" applyFill="1" applyBorder="1" applyAlignment="1" applyProtection="1">
      <alignment horizontal="center"/>
    </xf>
    <xf numFmtId="0" fontId="23" fillId="0" borderId="8" xfId="0" applyFont="1" applyFill="1" applyBorder="1" applyAlignment="1" applyProtection="1">
      <alignment horizontal="center"/>
    </xf>
    <xf numFmtId="0" fontId="23" fillId="0" borderId="37" xfId="0" applyFont="1" applyFill="1" applyBorder="1" applyAlignment="1" applyProtection="1">
      <alignment horizontal="center"/>
    </xf>
    <xf numFmtId="0" fontId="23" fillId="0" borderId="28" xfId="0" applyFont="1" applyFill="1" applyBorder="1" applyAlignment="1" applyProtection="1">
      <alignment horizontal="center"/>
    </xf>
    <xf numFmtId="0" fontId="12" fillId="0" borderId="28" xfId="0" applyFont="1" applyFill="1" applyBorder="1" applyAlignment="1" applyProtection="1">
      <alignment horizontal="center"/>
    </xf>
    <xf numFmtId="0" fontId="12" fillId="0" borderId="75" xfId="0" applyFont="1" applyFill="1" applyBorder="1" applyAlignment="1" applyProtection="1">
      <alignment horizontal="center"/>
    </xf>
    <xf numFmtId="0" fontId="23" fillId="0" borderId="7" xfId="0" applyFont="1" applyFill="1" applyBorder="1" applyAlignment="1" applyProtection="1">
      <alignment horizontal="center"/>
    </xf>
    <xf numFmtId="0" fontId="12" fillId="0" borderId="37" xfId="0" applyFont="1" applyFill="1" applyBorder="1" applyAlignment="1" applyProtection="1">
      <alignment horizontal="center"/>
    </xf>
    <xf numFmtId="0" fontId="15" fillId="0" borderId="8" xfId="0" applyFont="1" applyBorder="1" applyProtection="1"/>
    <xf numFmtId="0" fontId="15" fillId="0" borderId="9" xfId="0" applyFont="1" applyBorder="1" applyProtection="1"/>
    <xf numFmtId="164" fontId="23" fillId="0" borderId="0" xfId="8" applyFont="1" applyFill="1" applyBorder="1" applyProtection="1"/>
    <xf numFmtId="166" fontId="23" fillId="0" borderId="0" xfId="8" applyNumberFormat="1" applyFont="1" applyFill="1" applyBorder="1" applyAlignment="1" applyProtection="1">
      <alignment horizontal="center"/>
    </xf>
    <xf numFmtId="0" fontId="12" fillId="0" borderId="43" xfId="0" applyFont="1" applyFill="1" applyBorder="1" applyProtection="1"/>
    <xf numFmtId="166" fontId="12" fillId="0" borderId="55" xfId="0" applyNumberFormat="1" applyFont="1" applyFill="1" applyBorder="1" applyAlignment="1" applyProtection="1">
      <alignment horizontal="center"/>
    </xf>
    <xf numFmtId="166" fontId="12" fillId="0" borderId="16" xfId="0" applyNumberFormat="1" applyFont="1" applyFill="1" applyBorder="1" applyAlignment="1" applyProtection="1">
      <alignment horizontal="center"/>
    </xf>
    <xf numFmtId="166" fontId="12" fillId="0" borderId="54" xfId="0" applyNumberFormat="1" applyFont="1" applyFill="1" applyBorder="1" applyAlignment="1" applyProtection="1">
      <alignment horizontal="center"/>
    </xf>
    <xf numFmtId="0" fontId="12" fillId="0" borderId="24" xfId="0" applyFont="1" applyFill="1" applyBorder="1" applyProtection="1"/>
    <xf numFmtId="0" fontId="12" fillId="0" borderId="4" xfId="0" applyFont="1" applyFill="1" applyBorder="1" applyProtection="1"/>
    <xf numFmtId="0" fontId="12" fillId="0" borderId="62" xfId="0" applyFont="1" applyFill="1" applyBorder="1" applyProtection="1"/>
    <xf numFmtId="0" fontId="15" fillId="0" borderId="4" xfId="0" applyFont="1" applyBorder="1" applyProtection="1"/>
    <xf numFmtId="166" fontId="15" fillId="0" borderId="0" xfId="0" applyNumberFormat="1" applyFont="1" applyFill="1" applyBorder="1" applyProtection="1"/>
    <xf numFmtId="0" fontId="12" fillId="3" borderId="22" xfId="0" applyFont="1" applyFill="1" applyBorder="1" applyProtection="1"/>
    <xf numFmtId="166" fontId="12" fillId="0" borderId="49" xfId="0" applyNumberFormat="1" applyFont="1" applyFill="1" applyBorder="1" applyAlignment="1" applyProtection="1">
      <alignment horizontal="center"/>
    </xf>
    <xf numFmtId="166" fontId="12" fillId="3" borderId="48" xfId="0" applyNumberFormat="1" applyFont="1" applyFill="1" applyBorder="1" applyAlignment="1" applyProtection="1">
      <alignment horizontal="center"/>
    </xf>
    <xf numFmtId="0" fontId="12" fillId="3" borderId="20" xfId="0" applyFont="1" applyFill="1" applyBorder="1" applyProtection="1"/>
    <xf numFmtId="0" fontId="12" fillId="3" borderId="69" xfId="0" applyFont="1" applyFill="1" applyBorder="1" applyProtection="1"/>
    <xf numFmtId="0" fontId="0" fillId="0" borderId="0" xfId="0" applyFont="1"/>
    <xf numFmtId="20" fontId="42" fillId="0" borderId="4" xfId="0" applyNumberFormat="1" applyFont="1" applyBorder="1"/>
    <xf numFmtId="0" fontId="56" fillId="0" borderId="0" xfId="0" applyFont="1" applyAlignment="1">
      <alignment horizontal="left" vertical="top"/>
    </xf>
    <xf numFmtId="0" fontId="57" fillId="0" borderId="0" xfId="0" applyFont="1" applyAlignment="1">
      <alignment horizontal="left" vertical="top"/>
    </xf>
    <xf numFmtId="0" fontId="12" fillId="0" borderId="76" xfId="0" applyFont="1" applyBorder="1" applyAlignment="1" applyProtection="1">
      <protection locked="0"/>
    </xf>
    <xf numFmtId="0" fontId="61" fillId="0" borderId="22" xfId="11" applyFont="1" applyBorder="1" applyAlignment="1">
      <alignment horizontal="center" vertical="center" wrapText="1"/>
    </xf>
    <xf numFmtId="0" fontId="12" fillId="3" borderId="0" xfId="0" applyFont="1" applyFill="1" applyBorder="1" applyAlignment="1" applyProtection="1">
      <protection locked="0"/>
    </xf>
    <xf numFmtId="0" fontId="15" fillId="0" borderId="0" xfId="0" applyFont="1" applyFill="1" applyBorder="1" applyProtection="1">
      <protection locked="0"/>
    </xf>
    <xf numFmtId="0" fontId="12" fillId="0" borderId="30" xfId="0" applyFont="1" applyBorder="1" applyAlignment="1" applyProtection="1">
      <alignment horizontal="center"/>
      <protection locked="0"/>
    </xf>
    <xf numFmtId="166" fontId="21" fillId="3" borderId="0" xfId="0" applyNumberFormat="1" applyFont="1" applyFill="1" applyBorder="1" applyAlignment="1" applyProtection="1">
      <alignment horizontal="center"/>
      <protection locked="0"/>
    </xf>
    <xf numFmtId="0" fontId="12" fillId="0" borderId="30" xfId="0" applyFont="1" applyBorder="1" applyAlignment="1" applyProtection="1">
      <alignment vertical="center"/>
      <protection locked="0"/>
    </xf>
    <xf numFmtId="0" fontId="17" fillId="0" borderId="0" xfId="7" applyFont="1" applyProtection="1"/>
    <xf numFmtId="49" fontId="17" fillId="0" borderId="0" xfId="0" applyNumberFormat="1" applyFont="1" applyAlignment="1" applyProtection="1"/>
    <xf numFmtId="0" fontId="12" fillId="0" borderId="5" xfId="0" applyFont="1" applyBorder="1" applyAlignment="1" applyProtection="1">
      <alignment horizontal="center"/>
      <protection locked="0"/>
    </xf>
    <xf numFmtId="0" fontId="13" fillId="0" borderId="0" xfId="0" applyFont="1" applyAlignment="1" applyProtection="1">
      <alignment horizontal="left"/>
      <protection locked="0"/>
    </xf>
    <xf numFmtId="0" fontId="23" fillId="0" borderId="6" xfId="0" applyFont="1" applyFill="1" applyBorder="1" applyAlignment="1" applyProtection="1">
      <alignment horizontal="center" wrapText="1"/>
      <protection locked="0"/>
    </xf>
    <xf numFmtId="0" fontId="68" fillId="0" borderId="0" xfId="0" applyFont="1" applyProtection="1">
      <protection locked="0"/>
    </xf>
    <xf numFmtId="0" fontId="68" fillId="0" borderId="0" xfId="0" applyFont="1" applyAlignment="1" applyProtection="1">
      <alignment wrapText="1"/>
      <protection locked="0"/>
    </xf>
    <xf numFmtId="0" fontId="68" fillId="0" borderId="0" xfId="0" applyFont="1" applyAlignment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68" fillId="0" borderId="0" xfId="0" applyFont="1" applyAlignment="1" applyProtection="1">
      <alignment vertical="center"/>
      <protection locked="0"/>
    </xf>
    <xf numFmtId="0" fontId="68" fillId="0" borderId="0" xfId="0" applyFont="1" applyBorder="1" applyAlignment="1" applyProtection="1">
      <alignment vertical="center"/>
    </xf>
    <xf numFmtId="167" fontId="68" fillId="0" borderId="0" xfId="0" applyNumberFormat="1" applyFont="1" applyAlignment="1" applyProtection="1">
      <alignment horizontal="center" vertical="center"/>
      <protection locked="0"/>
    </xf>
    <xf numFmtId="0" fontId="68" fillId="0" borderId="0" xfId="0" applyFont="1" applyBorder="1" applyAlignment="1" applyProtection="1">
      <protection locked="0"/>
    </xf>
    <xf numFmtId="0" fontId="68" fillId="0" borderId="46" xfId="0" applyFont="1" applyBorder="1" applyAlignment="1" applyProtection="1">
      <protection locked="0"/>
    </xf>
    <xf numFmtId="166" fontId="68" fillId="0" borderId="0" xfId="0" applyNumberFormat="1" applyFont="1" applyBorder="1" applyAlignment="1" applyProtection="1">
      <protection locked="0"/>
    </xf>
    <xf numFmtId="166" fontId="68" fillId="0" borderId="0" xfId="0" applyNumberFormat="1" applyFont="1" applyBorder="1" applyAlignment="1" applyProtection="1">
      <alignment vertical="center"/>
      <protection locked="0"/>
    </xf>
    <xf numFmtId="0" fontId="68" fillId="0" borderId="0" xfId="0" applyFont="1" applyFill="1" applyBorder="1" applyAlignment="1" applyProtection="1">
      <alignment horizontal="center" vertical="center"/>
      <protection locked="0"/>
    </xf>
    <xf numFmtId="0" fontId="72" fillId="0" borderId="0" xfId="0" applyFont="1" applyProtection="1">
      <protection locked="0"/>
    </xf>
    <xf numFmtId="0" fontId="71" fillId="0" borderId="0" xfId="0" applyFont="1" applyProtection="1">
      <protection locked="0"/>
    </xf>
    <xf numFmtId="0" fontId="69" fillId="0" borderId="0" xfId="0" applyFont="1" applyAlignment="1" applyProtection="1">
      <protection locked="0"/>
    </xf>
    <xf numFmtId="0" fontId="32" fillId="0" borderId="0" xfId="0" applyFont="1" applyAlignment="1" applyProtection="1">
      <alignment vertical="center"/>
      <protection locked="0"/>
    </xf>
    <xf numFmtId="0" fontId="73" fillId="0" borderId="0" xfId="0" applyFont="1" applyBorder="1" applyAlignment="1" applyProtection="1">
      <protection locked="0"/>
    </xf>
    <xf numFmtId="0" fontId="73" fillId="0" borderId="0" xfId="0" applyFont="1" applyProtection="1">
      <protection locked="0"/>
    </xf>
    <xf numFmtId="0" fontId="9" fillId="0" borderId="22" xfId="0" applyFont="1" applyBorder="1" applyProtection="1">
      <protection locked="0"/>
    </xf>
    <xf numFmtId="0" fontId="9" fillId="0" borderId="22" xfId="0" applyFont="1" applyBorder="1" applyAlignment="1" applyProtection="1">
      <alignment horizontal="center"/>
      <protection locked="0"/>
    </xf>
    <xf numFmtId="0" fontId="9" fillId="0" borderId="49" xfId="0" applyFont="1" applyBorder="1" applyProtection="1">
      <protection locked="0"/>
    </xf>
    <xf numFmtId="0" fontId="9" fillId="0" borderId="69" xfId="0" applyFont="1" applyBorder="1" applyProtection="1">
      <protection locked="0"/>
    </xf>
    <xf numFmtId="0" fontId="9" fillId="12" borderId="5" xfId="0" applyFont="1" applyFill="1" applyBorder="1" applyAlignment="1" applyProtection="1">
      <alignment horizontal="left"/>
      <protection locked="0"/>
    </xf>
    <xf numFmtId="0" fontId="9" fillId="0" borderId="5" xfId="0" applyFont="1" applyBorder="1" applyAlignment="1" applyProtection="1">
      <protection locked="0"/>
    </xf>
    <xf numFmtId="0" fontId="9" fillId="2" borderId="0" xfId="0" applyFont="1" applyFill="1" applyBorder="1" applyAlignment="1" applyProtection="1">
      <alignment horizontal="center"/>
      <protection locked="0"/>
    </xf>
    <xf numFmtId="0" fontId="9" fillId="2" borderId="0" xfId="0" applyFont="1" applyFill="1" applyProtection="1">
      <protection locked="0"/>
    </xf>
    <xf numFmtId="0" fontId="9" fillId="0" borderId="0" xfId="0" applyFont="1" applyFill="1" applyProtection="1">
      <protection locked="0"/>
    </xf>
    <xf numFmtId="0" fontId="9" fillId="2" borderId="0" xfId="0" applyFont="1" applyFill="1" applyBorder="1" applyAlignment="1" applyProtection="1">
      <protection locked="0"/>
    </xf>
    <xf numFmtId="0" fontId="11" fillId="0" borderId="5" xfId="0" applyFont="1" applyBorder="1" applyAlignment="1" applyProtection="1">
      <alignment horizontal="center"/>
      <protection locked="0"/>
    </xf>
    <xf numFmtId="0" fontId="9" fillId="2" borderId="0" xfId="0" applyFont="1" applyFill="1" applyBorder="1" applyProtection="1">
      <protection locked="0"/>
    </xf>
    <xf numFmtId="0" fontId="11" fillId="0" borderId="0" xfId="0" applyFont="1" applyBorder="1" applyAlignment="1" applyProtection="1">
      <protection locked="0"/>
    </xf>
    <xf numFmtId="166" fontId="76" fillId="0" borderId="22" xfId="0" applyNumberFormat="1" applyFont="1" applyBorder="1" applyAlignment="1" applyProtection="1">
      <alignment horizontal="center"/>
    </xf>
    <xf numFmtId="166" fontId="9" fillId="0" borderId="22" xfId="0" applyNumberFormat="1" applyFont="1" applyBorder="1" applyAlignment="1" applyProtection="1">
      <alignment horizontal="center" vertical="center"/>
    </xf>
    <xf numFmtId="2" fontId="76" fillId="0" borderId="22" xfId="0" applyNumberFormat="1" applyFont="1" applyBorder="1" applyAlignment="1" applyProtection="1">
      <alignment horizontal="center"/>
    </xf>
    <xf numFmtId="0" fontId="9" fillId="0" borderId="0" xfId="0" applyFont="1" applyAlignment="1" applyProtection="1">
      <alignment horizontal="center" vertical="center"/>
      <protection locked="0"/>
    </xf>
    <xf numFmtId="166" fontId="77" fillId="0" borderId="22" xfId="0" applyNumberFormat="1" applyFont="1" applyBorder="1" applyAlignment="1" applyProtection="1">
      <alignment horizontal="center"/>
    </xf>
    <xf numFmtId="2" fontId="77" fillId="0" borderId="22" xfId="0" applyNumberFormat="1" applyFont="1" applyBorder="1" applyAlignment="1" applyProtection="1">
      <alignment horizontal="center"/>
    </xf>
    <xf numFmtId="0" fontId="9" fillId="0" borderId="0" xfId="0" applyFont="1" applyAlignment="1" applyProtection="1">
      <alignment horizontal="center"/>
    </xf>
    <xf numFmtId="0" fontId="77" fillId="0" borderId="22" xfId="0" applyFont="1" applyBorder="1" applyAlignment="1" applyProtection="1">
      <alignment horizontal="center"/>
    </xf>
    <xf numFmtId="166" fontId="9" fillId="0" borderId="0" xfId="0" applyNumberFormat="1" applyFont="1" applyAlignment="1" applyProtection="1">
      <alignment horizontal="center"/>
      <protection locked="0"/>
    </xf>
    <xf numFmtId="0" fontId="9" fillId="0" borderId="0" xfId="0" applyFont="1" applyAlignment="1" applyProtection="1">
      <alignment horizontal="left"/>
    </xf>
    <xf numFmtId="0" fontId="9" fillId="0" borderId="0" xfId="0" applyFont="1" applyAlignment="1" applyProtection="1">
      <alignment horizontal="center" vertical="center"/>
    </xf>
    <xf numFmtId="0" fontId="9" fillId="0" borderId="0" xfId="0" applyFont="1" applyFill="1" applyAlignment="1" applyProtection="1">
      <alignment horizontal="center" vertical="center"/>
    </xf>
    <xf numFmtId="0" fontId="9" fillId="13" borderId="0" xfId="0" applyFont="1" applyFill="1" applyAlignment="1" applyProtection="1">
      <alignment horizontal="center"/>
    </xf>
    <xf numFmtId="0" fontId="9" fillId="3" borderId="0" xfId="0" applyFont="1" applyFill="1" applyBorder="1" applyAlignment="1" applyProtection="1">
      <protection locked="0"/>
    </xf>
    <xf numFmtId="0" fontId="75" fillId="0" borderId="0" xfId="0" applyFont="1" applyAlignment="1" applyProtection="1">
      <alignment vertical="top" wrapText="1"/>
      <protection locked="0"/>
    </xf>
    <xf numFmtId="0" fontId="11" fillId="14" borderId="12" xfId="0" applyFont="1" applyFill="1" applyBorder="1" applyAlignment="1" applyProtection="1">
      <alignment horizontal="center"/>
      <protection locked="0"/>
    </xf>
    <xf numFmtId="0" fontId="11" fillId="14" borderId="14" xfId="0" applyFont="1" applyFill="1" applyBorder="1" applyAlignment="1" applyProtection="1">
      <alignment horizontal="center"/>
    </xf>
    <xf numFmtId="0" fontId="11" fillId="0" borderId="22" xfId="0" applyFont="1" applyBorder="1" applyProtection="1"/>
    <xf numFmtId="166" fontId="11" fillId="0" borderId="22" xfId="0" applyNumberFormat="1" applyFont="1" applyBorder="1" applyProtection="1"/>
    <xf numFmtId="0" fontId="11" fillId="14" borderId="11" xfId="0" applyFont="1" applyFill="1" applyBorder="1" applyAlignment="1" applyProtection="1">
      <alignment horizontal="center"/>
      <protection locked="0"/>
    </xf>
    <xf numFmtId="0" fontId="11" fillId="0" borderId="43" xfId="0" applyFont="1" applyBorder="1" applyAlignment="1" applyProtection="1">
      <alignment horizontal="center"/>
      <protection locked="0"/>
    </xf>
    <xf numFmtId="0" fontId="15" fillId="13" borderId="22" xfId="0" applyNumberFormat="1" applyFont="1" applyFill="1" applyBorder="1" applyAlignment="1" applyProtection="1">
      <alignment horizontal="center"/>
    </xf>
    <xf numFmtId="20" fontId="28" fillId="3" borderId="35" xfId="0" applyNumberFormat="1" applyFont="1" applyFill="1" applyBorder="1" applyAlignment="1" applyProtection="1">
      <alignment vertical="center"/>
      <protection locked="0"/>
    </xf>
    <xf numFmtId="0" fontId="75" fillId="0" borderId="0" xfId="0" applyFont="1" applyAlignment="1" applyProtection="1">
      <alignment horizontal="center"/>
      <protection locked="0"/>
    </xf>
    <xf numFmtId="0" fontId="81" fillId="0" borderId="0" xfId="0" applyFont="1" applyAlignment="1" applyProtection="1">
      <protection locked="0"/>
    </xf>
    <xf numFmtId="0" fontId="81" fillId="0" borderId="0" xfId="0" applyFont="1" applyProtection="1">
      <protection locked="0"/>
    </xf>
    <xf numFmtId="0" fontId="80" fillId="0" borderId="0" xfId="0" applyFont="1" applyProtection="1">
      <protection locked="0"/>
    </xf>
    <xf numFmtId="0" fontId="80" fillId="0" borderId="0" xfId="0" applyFont="1" applyAlignment="1" applyProtection="1">
      <alignment horizontal="center"/>
      <protection locked="0"/>
    </xf>
    <xf numFmtId="14" fontId="80" fillId="0" borderId="0" xfId="0" applyNumberFormat="1" applyFont="1" applyAlignment="1" applyProtection="1">
      <alignment horizontal="center"/>
      <protection locked="0"/>
    </xf>
    <xf numFmtId="0" fontId="80" fillId="0" borderId="0" xfId="0" applyFont="1" applyAlignment="1" applyProtection="1">
      <protection locked="0"/>
    </xf>
    <xf numFmtId="0" fontId="84" fillId="0" borderId="0" xfId="0" applyFont="1" applyAlignment="1" applyProtection="1">
      <alignment vertical="center"/>
      <protection locked="0"/>
    </xf>
    <xf numFmtId="0" fontId="84" fillId="0" borderId="0" xfId="0" applyFont="1" applyFill="1" applyBorder="1" applyAlignment="1" applyProtection="1">
      <alignment vertical="center"/>
      <protection locked="0"/>
    </xf>
    <xf numFmtId="166" fontId="84" fillId="0" borderId="0" xfId="0" applyNumberFormat="1" applyFont="1" applyBorder="1" applyAlignment="1" applyProtection="1">
      <alignment vertical="center"/>
      <protection locked="0"/>
    </xf>
    <xf numFmtId="166" fontId="73" fillId="0" borderId="0" xfId="0" applyNumberFormat="1" applyFont="1" applyBorder="1" applyAlignment="1" applyProtection="1">
      <protection locked="0"/>
    </xf>
    <xf numFmtId="0" fontId="73" fillId="0" borderId="0" xfId="0" applyFont="1" applyBorder="1" applyAlignment="1" applyProtection="1">
      <alignment horizontal="center" vertical="center" wrapText="1"/>
      <protection locked="0"/>
    </xf>
    <xf numFmtId="166" fontId="68" fillId="0" borderId="0" xfId="0" applyNumberFormat="1" applyFont="1" applyBorder="1" applyAlignment="1" applyProtection="1">
      <alignment horizontal="center" vertical="center"/>
    </xf>
    <xf numFmtId="0" fontId="68" fillId="0" borderId="46" xfId="0" applyFont="1" applyBorder="1" applyAlignment="1" applyProtection="1">
      <alignment horizontal="center"/>
      <protection locked="0"/>
    </xf>
    <xf numFmtId="0" fontId="68" fillId="0" borderId="0" xfId="0" applyFont="1" applyBorder="1" applyAlignment="1" applyProtection="1">
      <alignment horizontal="center"/>
      <protection locked="0"/>
    </xf>
    <xf numFmtId="0" fontId="18" fillId="0" borderId="46" xfId="0" applyFont="1" applyBorder="1" applyAlignment="1" applyProtection="1">
      <alignment horizontal="center"/>
      <protection locked="0"/>
    </xf>
    <xf numFmtId="0" fontId="18" fillId="0" borderId="0" xfId="0" applyFont="1" applyBorder="1" applyAlignment="1" applyProtection="1">
      <alignment horizontal="center"/>
      <protection locked="0"/>
    </xf>
    <xf numFmtId="2" fontId="68" fillId="0" borderId="0" xfId="0" applyNumberFormat="1" applyFont="1" applyBorder="1" applyAlignment="1" applyProtection="1">
      <alignment horizontal="center" vertical="center"/>
    </xf>
    <xf numFmtId="1" fontId="9" fillId="5" borderId="16" xfId="0" applyNumberFormat="1" applyFont="1" applyFill="1" applyBorder="1" applyAlignment="1" applyProtection="1">
      <alignment horizontal="center" vertical="center"/>
      <protection locked="0"/>
    </xf>
    <xf numFmtId="1" fontId="9" fillId="5" borderId="4" xfId="0" applyNumberFormat="1" applyFont="1" applyFill="1" applyBorder="1" applyAlignment="1" applyProtection="1">
      <alignment horizontal="center" vertical="center"/>
      <protection locked="0"/>
    </xf>
    <xf numFmtId="1" fontId="9" fillId="5" borderId="33" xfId="0" applyNumberFormat="1" applyFont="1" applyFill="1" applyBorder="1" applyAlignment="1" applyProtection="1">
      <alignment horizontal="center" vertical="center"/>
      <protection locked="0"/>
    </xf>
    <xf numFmtId="1" fontId="9" fillId="5" borderId="22" xfId="0" applyNumberFormat="1" applyFont="1" applyFill="1" applyBorder="1" applyAlignment="1" applyProtection="1">
      <alignment horizontal="center" vertical="center"/>
      <protection locked="0"/>
    </xf>
    <xf numFmtId="1" fontId="9" fillId="0" borderId="22" xfId="0" applyNumberFormat="1" applyFont="1" applyBorder="1" applyAlignment="1" applyProtection="1">
      <alignment horizontal="center" vertical="center"/>
      <protection locked="0"/>
    </xf>
    <xf numFmtId="1" fontId="9" fillId="5" borderId="7" xfId="0" applyNumberFormat="1" applyFont="1" applyFill="1" applyBorder="1" applyAlignment="1" applyProtection="1">
      <alignment horizontal="center" vertical="center"/>
      <protection locked="0"/>
    </xf>
    <xf numFmtId="1" fontId="9" fillId="5" borderId="8" xfId="0" applyNumberFormat="1" applyFont="1" applyFill="1" applyBorder="1" applyAlignment="1" applyProtection="1">
      <alignment horizontal="center" vertical="center"/>
      <protection locked="0"/>
    </xf>
    <xf numFmtId="1" fontId="9" fillId="5" borderId="37" xfId="0" applyNumberFormat="1" applyFont="1" applyFill="1" applyBorder="1" applyAlignment="1" applyProtection="1">
      <alignment horizontal="center" vertical="center"/>
      <protection locked="0"/>
    </xf>
    <xf numFmtId="1" fontId="9" fillId="5" borderId="9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2" fontId="11" fillId="12" borderId="9" xfId="0" applyNumberFormat="1" applyFont="1" applyFill="1" applyBorder="1" applyAlignment="1" applyProtection="1">
      <alignment horizontal="center" vertical="center"/>
    </xf>
    <xf numFmtId="0" fontId="9" fillId="0" borderId="7" xfId="0" applyFont="1" applyBorder="1" applyAlignment="1" applyProtection="1">
      <alignment horizontal="center" vertical="center"/>
      <protection locked="0"/>
    </xf>
    <xf numFmtId="166" fontId="11" fillId="12" borderId="9" xfId="0" applyNumberFormat="1" applyFont="1" applyFill="1" applyBorder="1" applyAlignment="1" applyProtection="1">
      <alignment horizontal="center" vertical="center"/>
    </xf>
    <xf numFmtId="166" fontId="11" fillId="13" borderId="8" xfId="0" applyNumberFormat="1" applyFont="1" applyFill="1" applyBorder="1" applyAlignment="1" applyProtection="1">
      <alignment horizontal="center" vertical="center"/>
      <protection locked="0"/>
    </xf>
    <xf numFmtId="166" fontId="9" fillId="0" borderId="6" xfId="0" applyNumberFormat="1" applyFont="1" applyFill="1" applyBorder="1" applyAlignment="1" applyProtection="1">
      <alignment horizontal="center" vertical="center"/>
      <protection locked="0"/>
    </xf>
    <xf numFmtId="1" fontId="11" fillId="12" borderId="72" xfId="0" applyNumberFormat="1" applyFont="1" applyFill="1" applyBorder="1" applyAlignment="1" applyProtection="1">
      <alignment horizontal="center" vertical="center"/>
    </xf>
    <xf numFmtId="166" fontId="9" fillId="0" borderId="46" xfId="0" applyNumberFormat="1" applyFont="1" applyFill="1" applyBorder="1" applyAlignment="1" applyProtection="1">
      <alignment horizontal="center" vertical="center"/>
      <protection locked="0"/>
    </xf>
    <xf numFmtId="166" fontId="9" fillId="0" borderId="15" xfId="0" applyNumberFormat="1" applyFont="1" applyFill="1" applyBorder="1" applyAlignment="1" applyProtection="1">
      <alignment horizontal="center" vertical="center"/>
      <protection locked="0"/>
    </xf>
    <xf numFmtId="166" fontId="9" fillId="13" borderId="7" xfId="0" applyNumberFormat="1" applyFont="1" applyFill="1" applyBorder="1" applyAlignment="1" applyProtection="1">
      <alignment horizontal="center" vertical="center"/>
      <protection locked="0"/>
    </xf>
    <xf numFmtId="166" fontId="9" fillId="13" borderId="8" xfId="0" applyNumberFormat="1" applyFont="1" applyFill="1" applyBorder="1" applyAlignment="1" applyProtection="1">
      <alignment horizontal="center" vertical="center"/>
      <protection locked="0"/>
    </xf>
    <xf numFmtId="0" fontId="9" fillId="0" borderId="7" xfId="0" applyFont="1" applyFill="1" applyBorder="1" applyAlignment="1" applyProtection="1">
      <alignment horizontal="center"/>
      <protection locked="0"/>
    </xf>
    <xf numFmtId="166" fontId="11" fillId="13" borderId="37" xfId="0" applyNumberFormat="1" applyFont="1" applyFill="1" applyBorder="1" applyAlignment="1" applyProtection="1">
      <alignment horizontal="center" vertical="center"/>
      <protection locked="0"/>
    </xf>
    <xf numFmtId="166" fontId="11" fillId="13" borderId="9" xfId="0" applyNumberFormat="1" applyFont="1" applyFill="1" applyBorder="1" applyAlignment="1" applyProtection="1">
      <alignment horizontal="center" vertical="center"/>
      <protection locked="0"/>
    </xf>
    <xf numFmtId="166" fontId="9" fillId="13" borderId="12" xfId="0" applyNumberFormat="1" applyFont="1" applyFill="1" applyBorder="1" applyAlignment="1" applyProtection="1">
      <alignment horizontal="center" vertical="center"/>
      <protection locked="0"/>
    </xf>
    <xf numFmtId="166" fontId="9" fillId="12" borderId="35" xfId="0" applyNumberFormat="1" applyFont="1" applyFill="1" applyBorder="1" applyAlignment="1" applyProtection="1">
      <alignment horizontal="center" vertical="center"/>
    </xf>
    <xf numFmtId="166" fontId="9" fillId="12" borderId="9" xfId="0" applyNumberFormat="1" applyFont="1" applyFill="1" applyBorder="1" applyAlignment="1" applyProtection="1">
      <alignment horizontal="center" vertical="center"/>
    </xf>
    <xf numFmtId="166" fontId="9" fillId="13" borderId="35" xfId="0" applyNumberFormat="1" applyFont="1" applyFill="1" applyBorder="1" applyAlignment="1" applyProtection="1">
      <alignment horizontal="center" vertical="center"/>
      <protection locked="0"/>
    </xf>
    <xf numFmtId="166" fontId="9" fillId="13" borderId="5" xfId="0" applyNumberFormat="1" applyFont="1" applyFill="1" applyBorder="1" applyAlignment="1" applyProtection="1">
      <alignment horizontal="center" vertical="center"/>
      <protection locked="0"/>
    </xf>
    <xf numFmtId="1" fontId="11" fillId="12" borderId="5" xfId="0" applyNumberFormat="1" applyFont="1" applyFill="1" applyBorder="1" applyAlignment="1" applyProtection="1">
      <alignment horizontal="center"/>
    </xf>
    <xf numFmtId="166" fontId="9" fillId="13" borderId="24" xfId="0" applyNumberFormat="1" applyFont="1" applyFill="1" applyBorder="1" applyAlignment="1" applyProtection="1">
      <alignment horizontal="center"/>
      <protection locked="0"/>
    </xf>
    <xf numFmtId="166" fontId="9" fillId="13" borderId="4" xfId="0" applyNumberFormat="1" applyFont="1" applyFill="1" applyBorder="1" applyAlignment="1" applyProtection="1">
      <alignment horizontal="center"/>
      <protection locked="0"/>
    </xf>
    <xf numFmtId="166" fontId="9" fillId="13" borderId="62" xfId="0" applyNumberFormat="1" applyFont="1" applyFill="1" applyBorder="1" applyAlignment="1" applyProtection="1">
      <alignment horizontal="center"/>
      <protection locked="0"/>
    </xf>
    <xf numFmtId="166" fontId="9" fillId="12" borderId="53" xfId="0" applyNumberFormat="1" applyFont="1" applyFill="1" applyBorder="1" applyAlignment="1" applyProtection="1">
      <alignment horizontal="center" vertical="center"/>
    </xf>
    <xf numFmtId="166" fontId="9" fillId="13" borderId="27" xfId="0" applyNumberFormat="1" applyFont="1" applyFill="1" applyBorder="1" applyAlignment="1" applyProtection="1">
      <alignment horizontal="center"/>
      <protection locked="0"/>
    </xf>
    <xf numFmtId="166" fontId="9" fillId="13" borderId="28" xfId="0" applyNumberFormat="1" applyFont="1" applyFill="1" applyBorder="1" applyAlignment="1" applyProtection="1">
      <alignment horizontal="center"/>
      <protection locked="0"/>
    </xf>
    <xf numFmtId="166" fontId="9" fillId="13" borderId="64" xfId="0" applyNumberFormat="1" applyFont="1" applyFill="1" applyBorder="1" applyAlignment="1" applyProtection="1">
      <alignment horizontal="center"/>
      <protection locked="0"/>
    </xf>
    <xf numFmtId="0" fontId="9" fillId="13" borderId="64" xfId="0" applyFont="1" applyFill="1" applyBorder="1" applyAlignment="1" applyProtection="1">
      <alignment horizontal="center"/>
      <protection locked="0"/>
    </xf>
    <xf numFmtId="166" fontId="9" fillId="12" borderId="10" xfId="0" applyNumberFormat="1" applyFont="1" applyFill="1" applyBorder="1" applyAlignment="1" applyProtection="1">
      <alignment horizontal="center" vertical="center"/>
    </xf>
    <xf numFmtId="166" fontId="9" fillId="12" borderId="39" xfId="0" applyNumberFormat="1" applyFont="1" applyFill="1" applyBorder="1" applyAlignment="1" applyProtection="1">
      <alignment horizontal="center"/>
    </xf>
    <xf numFmtId="166" fontId="9" fillId="12" borderId="7" xfId="0" applyNumberFormat="1" applyFont="1" applyFill="1" applyBorder="1" applyAlignment="1" applyProtection="1">
      <alignment horizontal="center" vertical="center"/>
    </xf>
    <xf numFmtId="166" fontId="9" fillId="12" borderId="51" xfId="0" applyNumberFormat="1" applyFont="1" applyFill="1" applyBorder="1" applyAlignment="1" applyProtection="1">
      <alignment horizontal="center"/>
    </xf>
    <xf numFmtId="166" fontId="9" fillId="13" borderId="30" xfId="0" applyNumberFormat="1" applyFont="1" applyFill="1" applyBorder="1" applyAlignment="1" applyProtection="1">
      <alignment horizontal="center"/>
      <protection locked="0"/>
    </xf>
    <xf numFmtId="166" fontId="9" fillId="13" borderId="5" xfId="0" applyNumberFormat="1" applyFont="1" applyFill="1" applyBorder="1" applyAlignment="1" applyProtection="1">
      <alignment horizontal="center"/>
      <protection locked="0"/>
    </xf>
    <xf numFmtId="166" fontId="9" fillId="13" borderId="73" xfId="0" applyNumberFormat="1" applyFont="1" applyFill="1" applyBorder="1" applyAlignment="1" applyProtection="1">
      <alignment horizontal="center"/>
      <protection locked="0"/>
    </xf>
    <xf numFmtId="166" fontId="9" fillId="12" borderId="5" xfId="0" applyNumberFormat="1" applyFont="1" applyFill="1" applyBorder="1" applyAlignment="1" applyProtection="1">
      <alignment horizontal="center" vertical="center"/>
    </xf>
    <xf numFmtId="166" fontId="9" fillId="12" borderId="6" xfId="0" applyNumberFormat="1" applyFont="1" applyFill="1" applyBorder="1" applyAlignment="1" applyProtection="1">
      <alignment horizontal="center"/>
    </xf>
    <xf numFmtId="166" fontId="9" fillId="12" borderId="38" xfId="0" applyNumberFormat="1" applyFont="1" applyFill="1" applyBorder="1" applyAlignment="1" applyProtection="1">
      <alignment horizontal="center"/>
    </xf>
    <xf numFmtId="166" fontId="9" fillId="12" borderId="72" xfId="0" applyNumberFormat="1" applyFont="1" applyFill="1" applyBorder="1" applyAlignment="1" applyProtection="1">
      <alignment horizontal="center"/>
    </xf>
    <xf numFmtId="166" fontId="9" fillId="12" borderId="30" xfId="0" applyNumberFormat="1" applyFont="1" applyFill="1" applyBorder="1" applyAlignment="1" applyProtection="1">
      <alignment horizontal="center"/>
    </xf>
    <xf numFmtId="166" fontId="9" fillId="12" borderId="5" xfId="0" applyNumberFormat="1" applyFont="1" applyFill="1" applyBorder="1" applyAlignment="1" applyProtection="1">
      <alignment horizontal="center"/>
    </xf>
    <xf numFmtId="0" fontId="9" fillId="0" borderId="48" xfId="0" applyFont="1" applyBorder="1" applyAlignment="1" applyProtection="1">
      <alignment horizontal="center"/>
      <protection locked="0"/>
    </xf>
    <xf numFmtId="0" fontId="9" fillId="12" borderId="5" xfId="0" applyFont="1" applyFill="1" applyBorder="1" applyAlignment="1" applyProtection="1">
      <alignment horizontal="center"/>
    </xf>
    <xf numFmtId="166" fontId="9" fillId="5" borderId="31" xfId="0" applyNumberFormat="1" applyFont="1" applyFill="1" applyBorder="1" applyAlignment="1" applyProtection="1">
      <alignment horizontal="center"/>
      <protection locked="0"/>
    </xf>
    <xf numFmtId="166" fontId="9" fillId="5" borderId="34" xfId="0" applyNumberFormat="1" applyFont="1" applyFill="1" applyBorder="1" applyAlignment="1" applyProtection="1">
      <alignment horizontal="center"/>
      <protection locked="0"/>
    </xf>
    <xf numFmtId="0" fontId="9" fillId="0" borderId="42" xfId="0" applyFont="1" applyBorder="1" applyAlignment="1" applyProtection="1">
      <alignment horizontal="center"/>
      <protection locked="0"/>
    </xf>
    <xf numFmtId="166" fontId="9" fillId="5" borderId="20" xfId="0" applyNumberFormat="1" applyFont="1" applyFill="1" applyBorder="1" applyAlignment="1" applyProtection="1">
      <alignment horizontal="center"/>
      <protection locked="0"/>
    </xf>
    <xf numFmtId="166" fontId="9" fillId="5" borderId="16" xfId="0" applyNumberFormat="1" applyFont="1" applyFill="1" applyBorder="1" applyAlignment="1" applyProtection="1">
      <alignment horizontal="center"/>
      <protection locked="0"/>
    </xf>
    <xf numFmtId="166" fontId="9" fillId="5" borderId="54" xfId="0" applyNumberFormat="1" applyFont="1" applyFill="1" applyBorder="1" applyAlignment="1" applyProtection="1">
      <alignment horizontal="center"/>
      <protection locked="0"/>
    </xf>
    <xf numFmtId="166" fontId="9" fillId="5" borderId="25" xfId="0" applyNumberFormat="1" applyFont="1" applyFill="1" applyBorder="1" applyAlignment="1" applyProtection="1">
      <alignment horizontal="center"/>
      <protection locked="0"/>
    </xf>
    <xf numFmtId="166" fontId="9" fillId="5" borderId="22" xfId="0" applyNumberFormat="1" applyFont="1" applyFill="1" applyBorder="1" applyAlignment="1" applyProtection="1">
      <alignment horizontal="center"/>
      <protection locked="0"/>
    </xf>
    <xf numFmtId="166" fontId="9" fillId="5" borderId="48" xfId="0" applyNumberFormat="1" applyFont="1" applyFill="1" applyBorder="1" applyAlignment="1" applyProtection="1">
      <alignment horizontal="center"/>
      <protection locked="0"/>
    </xf>
    <xf numFmtId="166" fontId="9" fillId="5" borderId="44" xfId="0" applyNumberFormat="1" applyFont="1" applyFill="1" applyBorder="1" applyAlignment="1" applyProtection="1">
      <alignment horizontal="center"/>
      <protection locked="0"/>
    </xf>
    <xf numFmtId="166" fontId="9" fillId="5" borderId="49" xfId="0" applyNumberFormat="1" applyFont="1" applyFill="1" applyBorder="1" applyAlignment="1" applyProtection="1">
      <alignment horizontal="center"/>
      <protection locked="0"/>
    </xf>
    <xf numFmtId="166" fontId="9" fillId="5" borderId="25" xfId="0" applyNumberFormat="1" applyFont="1" applyFill="1" applyBorder="1" applyAlignment="1" applyProtection="1">
      <alignment horizontal="center" vertical="center"/>
      <protection locked="0"/>
    </xf>
    <xf numFmtId="166" fontId="9" fillId="5" borderId="22" xfId="0" applyNumberFormat="1" applyFont="1" applyFill="1" applyBorder="1" applyAlignment="1" applyProtection="1">
      <alignment horizontal="center" vertical="center"/>
      <protection locked="0"/>
    </xf>
    <xf numFmtId="166" fontId="9" fillId="5" borderId="48" xfId="0" applyNumberFormat="1" applyFont="1" applyFill="1" applyBorder="1" applyAlignment="1" applyProtection="1">
      <alignment horizontal="center" vertical="center"/>
      <protection locked="0"/>
    </xf>
    <xf numFmtId="166" fontId="9" fillId="5" borderId="4" xfId="0" applyNumberFormat="1" applyFont="1" applyFill="1" applyBorder="1" applyAlignment="1" applyProtection="1">
      <alignment horizontal="center"/>
      <protection locked="0"/>
    </xf>
    <xf numFmtId="166" fontId="9" fillId="0" borderId="24" xfId="0" applyNumberFormat="1" applyFont="1" applyBorder="1" applyAlignment="1" applyProtection="1">
      <alignment horizontal="center"/>
      <protection locked="0"/>
    </xf>
    <xf numFmtId="166" fontId="9" fillId="0" borderId="4" xfId="0" applyNumberFormat="1" applyFont="1" applyBorder="1" applyAlignment="1" applyProtection="1">
      <alignment horizontal="center"/>
      <protection locked="0"/>
    </xf>
    <xf numFmtId="2" fontId="9" fillId="0" borderId="19" xfId="0" applyNumberFormat="1" applyFont="1" applyBorder="1" applyAlignment="1" applyProtection="1">
      <alignment horizontal="center"/>
      <protection locked="0"/>
    </xf>
    <xf numFmtId="1" fontId="9" fillId="0" borderId="45" xfId="0" applyNumberFormat="1" applyFont="1" applyBorder="1" applyAlignment="1" applyProtection="1">
      <alignment horizontal="center"/>
      <protection locked="0"/>
    </xf>
    <xf numFmtId="1" fontId="9" fillId="0" borderId="4" xfId="0" applyNumberFormat="1" applyFont="1" applyBorder="1" applyAlignment="1" applyProtection="1">
      <alignment horizontal="center"/>
      <protection locked="0"/>
    </xf>
    <xf numFmtId="2" fontId="9" fillId="0" borderId="4" xfId="0" applyNumberFormat="1" applyFont="1" applyBorder="1" applyAlignment="1" applyProtection="1">
      <alignment horizontal="center"/>
      <protection locked="0"/>
    </xf>
    <xf numFmtId="1" fontId="9" fillId="0" borderId="44" xfId="0" applyNumberFormat="1" applyFont="1" applyBorder="1" applyAlignment="1" applyProtection="1">
      <alignment horizontal="center"/>
      <protection locked="0"/>
    </xf>
    <xf numFmtId="0" fontId="9" fillId="0" borderId="44" xfId="0" applyFont="1" applyBorder="1" applyAlignment="1" applyProtection="1">
      <alignment horizontal="center"/>
      <protection locked="0"/>
    </xf>
    <xf numFmtId="166" fontId="9" fillId="0" borderId="25" xfId="0" applyNumberFormat="1" applyFont="1" applyBorder="1" applyAlignment="1" applyProtection="1">
      <alignment horizontal="center"/>
      <protection locked="0"/>
    </xf>
    <xf numFmtId="2" fontId="9" fillId="0" borderId="26" xfId="0" applyNumberFormat="1" applyFont="1" applyBorder="1" applyAlignment="1" applyProtection="1">
      <alignment horizontal="center"/>
      <protection locked="0"/>
    </xf>
    <xf numFmtId="1" fontId="9" fillId="0" borderId="49" xfId="0" applyNumberFormat="1" applyFont="1" applyBorder="1" applyAlignment="1" applyProtection="1">
      <alignment horizontal="center"/>
      <protection locked="0"/>
    </xf>
    <xf numFmtId="1" fontId="9" fillId="0" borderId="22" xfId="0" applyNumberFormat="1" applyFont="1" applyBorder="1" applyAlignment="1" applyProtection="1">
      <alignment horizontal="center"/>
      <protection locked="0"/>
    </xf>
    <xf numFmtId="2" fontId="9" fillId="0" borderId="22" xfId="0" applyNumberFormat="1" applyFont="1" applyBorder="1" applyAlignment="1" applyProtection="1">
      <alignment horizontal="center"/>
      <protection locked="0"/>
    </xf>
    <xf numFmtId="1" fontId="9" fillId="0" borderId="48" xfId="0" applyNumberFormat="1" applyFont="1" applyBorder="1" applyAlignment="1" applyProtection="1">
      <alignment horizontal="center"/>
      <protection locked="0"/>
    </xf>
    <xf numFmtId="166" fontId="9" fillId="0" borderId="22" xfId="0" applyNumberFormat="1" applyFont="1" applyBorder="1" applyAlignment="1" applyProtection="1">
      <alignment horizontal="center"/>
      <protection locked="0"/>
    </xf>
    <xf numFmtId="2" fontId="9" fillId="0" borderId="29" xfId="0" applyNumberFormat="1" applyFont="1" applyBorder="1" applyAlignment="1" applyProtection="1">
      <alignment horizontal="center"/>
      <protection locked="0"/>
    </xf>
    <xf numFmtId="166" fontId="11" fillId="0" borderId="60" xfId="0" applyNumberFormat="1" applyFont="1" applyBorder="1" applyAlignment="1" applyProtection="1">
      <alignment horizontal="center"/>
      <protection locked="0"/>
    </xf>
    <xf numFmtId="0" fontId="9" fillId="0" borderId="52" xfId="0" applyFont="1" applyBorder="1" applyAlignment="1" applyProtection="1">
      <alignment horizontal="center"/>
      <protection locked="0"/>
    </xf>
    <xf numFmtId="2" fontId="9" fillId="0" borderId="61" xfId="0" applyNumberFormat="1" applyFont="1" applyBorder="1" applyAlignment="1" applyProtection="1">
      <alignment horizontal="center"/>
      <protection locked="0"/>
    </xf>
    <xf numFmtId="169" fontId="9" fillId="5" borderId="22" xfId="0" applyNumberFormat="1" applyFont="1" applyFill="1" applyBorder="1" applyAlignment="1" applyProtection="1">
      <alignment horizontal="center" vertical="center"/>
      <protection locked="0"/>
    </xf>
    <xf numFmtId="169" fontId="9" fillId="5" borderId="48" xfId="0" applyNumberFormat="1" applyFont="1" applyFill="1" applyBorder="1" applyAlignment="1" applyProtection="1">
      <alignment horizontal="center" vertical="center"/>
      <protection locked="0"/>
    </xf>
    <xf numFmtId="166" fontId="9" fillId="5" borderId="27" xfId="0" applyNumberFormat="1" applyFont="1" applyFill="1" applyBorder="1" applyAlignment="1" applyProtection="1">
      <alignment horizontal="center" vertical="center"/>
      <protection locked="0"/>
    </xf>
    <xf numFmtId="169" fontId="9" fillId="0" borderId="28" xfId="0" applyNumberFormat="1" applyFont="1" applyFill="1" applyBorder="1" applyAlignment="1" applyProtection="1">
      <alignment horizontal="center" vertical="center"/>
      <protection locked="0"/>
    </xf>
    <xf numFmtId="169" fontId="9" fillId="0" borderId="42" xfId="0" applyNumberFormat="1" applyFont="1" applyFill="1" applyBorder="1" applyAlignment="1" applyProtection="1">
      <alignment horizontal="center" vertical="center"/>
      <protection locked="0"/>
    </xf>
    <xf numFmtId="0" fontId="9" fillId="0" borderId="25" xfId="0" applyFont="1" applyBorder="1" applyAlignment="1" applyProtection="1">
      <alignment horizontal="center"/>
      <protection locked="0"/>
    </xf>
    <xf numFmtId="166" fontId="9" fillId="0" borderId="70" xfId="0" applyNumberFormat="1" applyFont="1" applyBorder="1" applyAlignment="1" applyProtection="1">
      <alignment horizontal="center"/>
      <protection locked="0"/>
    </xf>
    <xf numFmtId="0" fontId="9" fillId="0" borderId="33" xfId="0" applyFont="1" applyBorder="1" applyAlignment="1" applyProtection="1">
      <alignment horizontal="center"/>
      <protection locked="0"/>
    </xf>
    <xf numFmtId="0" fontId="11" fillId="0" borderId="33" xfId="0" applyFont="1" applyBorder="1" applyAlignment="1" applyProtection="1">
      <alignment horizontal="center"/>
      <protection locked="0"/>
    </xf>
    <xf numFmtId="166" fontId="9" fillId="0" borderId="76" xfId="0" applyNumberFormat="1" applyFont="1" applyBorder="1" applyAlignment="1" applyProtection="1">
      <alignment horizontal="center"/>
      <protection locked="0"/>
    </xf>
    <xf numFmtId="166" fontId="11" fillId="13" borderId="8" xfId="0" applyNumberFormat="1" applyFont="1" applyFill="1" applyBorder="1" applyAlignment="1" applyProtection="1">
      <alignment horizontal="center"/>
      <protection locked="0"/>
    </xf>
    <xf numFmtId="166" fontId="11" fillId="12" borderId="9" xfId="0" applyNumberFormat="1" applyFont="1" applyFill="1" applyBorder="1" applyAlignment="1" applyProtection="1">
      <alignment horizontal="center"/>
    </xf>
    <xf numFmtId="0" fontId="9" fillId="0" borderId="31" xfId="0" applyFont="1" applyBorder="1" applyAlignment="1" applyProtection="1">
      <alignment horizontal="center"/>
      <protection locked="0"/>
    </xf>
    <xf numFmtId="166" fontId="11" fillId="13" borderId="7" xfId="0" applyNumberFormat="1" applyFont="1" applyFill="1" applyBorder="1" applyAlignment="1" applyProtection="1">
      <alignment horizontal="center"/>
      <protection locked="0"/>
    </xf>
    <xf numFmtId="166" fontId="11" fillId="13" borderId="5" xfId="0" applyNumberFormat="1" applyFont="1" applyFill="1" applyBorder="1" applyAlignment="1" applyProtection="1">
      <alignment horizontal="center"/>
      <protection locked="0"/>
    </xf>
    <xf numFmtId="0" fontId="11" fillId="0" borderId="38" xfId="0" applyFont="1" applyBorder="1" applyAlignment="1" applyProtection="1">
      <alignment horizontal="center"/>
      <protection locked="0"/>
    </xf>
    <xf numFmtId="166" fontId="9" fillId="5" borderId="52" xfId="0" applyNumberFormat="1" applyFont="1" applyFill="1" applyBorder="1" applyAlignment="1" applyProtection="1">
      <alignment horizontal="center"/>
      <protection locked="0"/>
    </xf>
    <xf numFmtId="166" fontId="11" fillId="13" borderId="9" xfId="0" applyNumberFormat="1" applyFont="1" applyFill="1" applyBorder="1" applyAlignment="1" applyProtection="1">
      <alignment horizontal="center"/>
      <protection locked="0"/>
    </xf>
    <xf numFmtId="1" fontId="9" fillId="0" borderId="2" xfId="0" applyNumberFormat="1" applyFont="1" applyBorder="1" applyAlignment="1" applyProtection="1">
      <alignment horizontal="center"/>
      <protection locked="0"/>
    </xf>
    <xf numFmtId="2" fontId="9" fillId="0" borderId="52" xfId="0" applyNumberFormat="1" applyFont="1" applyBorder="1" applyAlignment="1" applyProtection="1">
      <alignment horizontal="center"/>
      <protection locked="0"/>
    </xf>
    <xf numFmtId="1" fontId="9" fillId="0" borderId="57" xfId="0" applyNumberFormat="1" applyFont="1" applyBorder="1" applyAlignment="1" applyProtection="1">
      <alignment horizontal="center"/>
      <protection locked="0"/>
    </xf>
    <xf numFmtId="2" fontId="11" fillId="12" borderId="5" xfId="0" applyNumberFormat="1" applyFont="1" applyFill="1" applyBorder="1" applyAlignment="1" applyProtection="1">
      <alignment horizontal="center"/>
    </xf>
    <xf numFmtId="0" fontId="9" fillId="0" borderId="16" xfId="0" applyFont="1" applyBorder="1" applyAlignment="1" applyProtection="1">
      <alignment horizontal="center"/>
      <protection locked="0"/>
    </xf>
    <xf numFmtId="0" fontId="9" fillId="0" borderId="60" xfId="0" applyFont="1" applyBorder="1" applyAlignment="1" applyProtection="1">
      <alignment horizontal="center"/>
      <protection locked="0"/>
    </xf>
    <xf numFmtId="0" fontId="9" fillId="0" borderId="57" xfId="0" applyFont="1" applyBorder="1" applyAlignment="1" applyProtection="1">
      <alignment horizontal="center"/>
      <protection locked="0"/>
    </xf>
    <xf numFmtId="0" fontId="9" fillId="5" borderId="4" xfId="0" applyFont="1" applyFill="1" applyBorder="1" applyAlignment="1" applyProtection="1">
      <alignment horizontal="center"/>
      <protection locked="0"/>
    </xf>
    <xf numFmtId="0" fontId="9" fillId="0" borderId="4" xfId="0" applyFont="1" applyFill="1" applyBorder="1" applyAlignment="1" applyProtection="1">
      <alignment horizontal="center"/>
      <protection locked="0"/>
    </xf>
    <xf numFmtId="166" fontId="9" fillId="0" borderId="4" xfId="0" applyNumberFormat="1" applyFont="1" applyFill="1" applyBorder="1" applyAlignment="1" applyProtection="1">
      <alignment horizontal="center"/>
      <protection locked="0"/>
    </xf>
    <xf numFmtId="0" fontId="9" fillId="5" borderId="22" xfId="0" applyFont="1" applyFill="1" applyBorder="1" applyAlignment="1" applyProtection="1">
      <alignment horizontal="center"/>
      <protection locked="0"/>
    </xf>
    <xf numFmtId="0" fontId="9" fillId="0" borderId="22" xfId="0" applyFont="1" applyFill="1" applyBorder="1" applyAlignment="1" applyProtection="1">
      <alignment horizontal="center"/>
      <protection locked="0"/>
    </xf>
    <xf numFmtId="0" fontId="9" fillId="5" borderId="49" xfId="0" applyFont="1" applyFill="1" applyBorder="1" applyAlignment="1" applyProtection="1">
      <alignment horizontal="center"/>
      <protection locked="0"/>
    </xf>
    <xf numFmtId="0" fontId="9" fillId="0" borderId="4" xfId="0" applyFont="1" applyBorder="1" applyAlignment="1" applyProtection="1">
      <alignment horizontal="center"/>
      <protection locked="0"/>
    </xf>
    <xf numFmtId="166" fontId="9" fillId="0" borderId="44" xfId="0" applyNumberFormat="1" applyFont="1" applyFill="1" applyBorder="1" applyAlignment="1" applyProtection="1">
      <alignment horizontal="center"/>
      <protection locked="0"/>
    </xf>
    <xf numFmtId="0" fontId="9" fillId="0" borderId="63" xfId="0" applyFont="1" applyFill="1" applyBorder="1" applyAlignment="1" applyProtection="1">
      <alignment horizontal="center"/>
      <protection locked="0"/>
    </xf>
    <xf numFmtId="166" fontId="9" fillId="0" borderId="44" xfId="0" applyNumberFormat="1" applyFont="1" applyBorder="1" applyAlignment="1" applyProtection="1">
      <alignment horizontal="center"/>
      <protection locked="0"/>
    </xf>
    <xf numFmtId="2" fontId="9" fillId="0" borderId="24" xfId="0" applyNumberFormat="1" applyFont="1" applyBorder="1" applyAlignment="1" applyProtection="1">
      <alignment horizontal="center"/>
      <protection locked="0"/>
    </xf>
    <xf numFmtId="166" fontId="9" fillId="0" borderId="48" xfId="0" applyNumberFormat="1" applyFont="1" applyFill="1" applyBorder="1" applyAlignment="1" applyProtection="1">
      <alignment horizontal="center"/>
      <protection locked="0"/>
    </xf>
    <xf numFmtId="166" fontId="9" fillId="0" borderId="25" xfId="0" applyNumberFormat="1" applyFont="1" applyFill="1" applyBorder="1" applyAlignment="1" applyProtection="1">
      <alignment horizontal="center"/>
      <protection locked="0"/>
    </xf>
    <xf numFmtId="166" fontId="9" fillId="0" borderId="22" xfId="0" applyNumberFormat="1" applyFont="1" applyFill="1" applyBorder="1" applyAlignment="1" applyProtection="1">
      <alignment horizontal="center"/>
      <protection locked="0"/>
    </xf>
    <xf numFmtId="0" fontId="9" fillId="0" borderId="43" xfId="0" applyFont="1" applyFill="1" applyBorder="1" applyAlignment="1" applyProtection="1">
      <alignment horizontal="center"/>
      <protection locked="0"/>
    </xf>
    <xf numFmtId="2" fontId="9" fillId="0" borderId="25" xfId="0" applyNumberFormat="1" applyFont="1" applyFill="1" applyBorder="1" applyAlignment="1" applyProtection="1">
      <alignment horizontal="center"/>
      <protection locked="0"/>
    </xf>
    <xf numFmtId="2" fontId="9" fillId="0" borderId="22" xfId="0" applyNumberFormat="1" applyFont="1" applyFill="1" applyBorder="1" applyAlignment="1" applyProtection="1">
      <alignment horizontal="center"/>
      <protection locked="0"/>
    </xf>
    <xf numFmtId="2" fontId="9" fillId="0" borderId="48" xfId="0" applyNumberFormat="1" applyFont="1" applyFill="1" applyBorder="1" applyAlignment="1" applyProtection="1">
      <alignment horizontal="center"/>
      <protection locked="0"/>
    </xf>
    <xf numFmtId="0" fontId="9" fillId="0" borderId="43" xfId="0" applyFont="1" applyBorder="1" applyAlignment="1" applyProtection="1">
      <alignment horizontal="center"/>
      <protection locked="0"/>
    </xf>
    <xf numFmtId="166" fontId="9" fillId="0" borderId="48" xfId="0" applyNumberFormat="1" applyFont="1" applyBorder="1" applyAlignment="1" applyProtection="1">
      <alignment horizontal="center"/>
      <protection locked="0"/>
    </xf>
    <xf numFmtId="2" fontId="9" fillId="0" borderId="25" xfId="0" applyNumberFormat="1" applyFont="1" applyBorder="1" applyAlignment="1" applyProtection="1">
      <alignment horizontal="center"/>
      <protection locked="0"/>
    </xf>
    <xf numFmtId="168" fontId="9" fillId="0" borderId="48" xfId="0" applyNumberFormat="1" applyFont="1" applyFill="1" applyBorder="1" applyAlignment="1" applyProtection="1">
      <alignment horizontal="center"/>
      <protection locked="0"/>
    </xf>
    <xf numFmtId="166" fontId="11" fillId="0" borderId="60" xfId="0" applyNumberFormat="1" applyFont="1" applyFill="1" applyBorder="1" applyAlignment="1" applyProtection="1">
      <alignment horizontal="center"/>
      <protection locked="0"/>
    </xf>
    <xf numFmtId="166" fontId="11" fillId="0" borderId="52" xfId="0" applyNumberFormat="1" applyFont="1" applyFill="1" applyBorder="1" applyAlignment="1" applyProtection="1">
      <alignment horizontal="center"/>
      <protection locked="0"/>
    </xf>
    <xf numFmtId="166" fontId="11" fillId="0" borderId="61" xfId="0" applyNumberFormat="1" applyFont="1" applyFill="1" applyBorder="1" applyAlignment="1" applyProtection="1">
      <alignment horizontal="center"/>
      <protection locked="0"/>
    </xf>
    <xf numFmtId="1" fontId="9" fillId="0" borderId="50" xfId="0" applyNumberFormat="1" applyFont="1" applyFill="1" applyBorder="1" applyAlignment="1" applyProtection="1">
      <alignment horizontal="center"/>
      <protection locked="0"/>
    </xf>
    <xf numFmtId="168" fontId="11" fillId="0" borderId="57" xfId="0" applyNumberFormat="1" applyFont="1" applyFill="1" applyBorder="1" applyAlignment="1" applyProtection="1">
      <alignment horizontal="center"/>
      <protection locked="0"/>
    </xf>
    <xf numFmtId="166" fontId="9" fillId="0" borderId="60" xfId="0" applyNumberFormat="1" applyFont="1" applyBorder="1" applyAlignment="1" applyProtection="1">
      <alignment horizontal="center"/>
      <protection locked="0"/>
    </xf>
    <xf numFmtId="166" fontId="11" fillId="12" borderId="5" xfId="0" applyNumberFormat="1" applyFont="1" applyFill="1" applyBorder="1" applyAlignment="1" applyProtection="1">
      <alignment horizontal="center"/>
    </xf>
    <xf numFmtId="166" fontId="11" fillId="13" borderId="35" xfId="0" applyNumberFormat="1" applyFont="1" applyFill="1" applyBorder="1" applyAlignment="1" applyProtection="1">
      <alignment horizontal="center"/>
      <protection locked="0"/>
    </xf>
    <xf numFmtId="0" fontId="9" fillId="0" borderId="32" xfId="0" applyFont="1" applyBorder="1" applyAlignment="1" applyProtection="1">
      <alignment horizontal="center"/>
      <protection locked="0"/>
    </xf>
    <xf numFmtId="0" fontId="9" fillId="0" borderId="41" xfId="0" applyFont="1" applyBorder="1" applyAlignment="1" applyProtection="1">
      <alignment horizontal="center"/>
      <protection locked="0"/>
    </xf>
    <xf numFmtId="166" fontId="11" fillId="12" borderId="73" xfId="0" applyNumberFormat="1" applyFont="1" applyFill="1" applyBorder="1" applyAlignment="1" applyProtection="1">
      <alignment horizontal="center"/>
    </xf>
    <xf numFmtId="2" fontId="11" fillId="12" borderId="5" xfId="0" applyNumberFormat="1" applyFont="1" applyFill="1" applyBorder="1" applyAlignment="1" applyProtection="1">
      <alignment horizontal="center"/>
      <protection locked="0"/>
    </xf>
    <xf numFmtId="0" fontId="9" fillId="0" borderId="0" xfId="0" applyFont="1" applyFill="1" applyBorder="1" applyAlignment="1" applyProtection="1">
      <alignment horizontal="center"/>
      <protection locked="0"/>
    </xf>
    <xf numFmtId="0" fontId="9" fillId="12" borderId="62" xfId="0" applyFont="1" applyFill="1" applyBorder="1" applyAlignment="1" applyProtection="1">
      <alignment horizontal="center"/>
    </xf>
    <xf numFmtId="0" fontId="9" fillId="12" borderId="45" xfId="0" applyFont="1" applyFill="1" applyBorder="1" applyAlignment="1" applyProtection="1">
      <alignment horizontal="center"/>
    </xf>
    <xf numFmtId="0" fontId="9" fillId="3" borderId="0" xfId="0" applyFont="1" applyFill="1" applyBorder="1" applyAlignment="1" applyProtection="1">
      <alignment horizontal="center"/>
      <protection locked="0"/>
    </xf>
    <xf numFmtId="0" fontId="9" fillId="12" borderId="22" xfId="0" applyFont="1" applyFill="1" applyBorder="1" applyAlignment="1" applyProtection="1">
      <alignment horizontal="center"/>
    </xf>
    <xf numFmtId="0" fontId="9" fillId="3" borderId="18" xfId="0" applyFont="1" applyFill="1" applyBorder="1" applyAlignment="1" applyProtection="1">
      <alignment horizontal="center"/>
      <protection locked="0"/>
    </xf>
    <xf numFmtId="0" fontId="11" fillId="0" borderId="30" xfId="0" applyFont="1" applyBorder="1" applyAlignment="1" applyProtection="1">
      <protection locked="0"/>
    </xf>
    <xf numFmtId="166" fontId="9" fillId="0" borderId="22" xfId="0" applyNumberFormat="1" applyFont="1" applyBorder="1" applyProtection="1">
      <protection locked="0"/>
    </xf>
    <xf numFmtId="0" fontId="9" fillId="0" borderId="48" xfId="0" applyFont="1" applyBorder="1" applyProtection="1">
      <protection locked="0"/>
    </xf>
    <xf numFmtId="0" fontId="9" fillId="0" borderId="28" xfId="0" applyFont="1" applyBorder="1" applyProtection="1">
      <protection locked="0"/>
    </xf>
    <xf numFmtId="168" fontId="9" fillId="5" borderId="62" xfId="0" applyNumberFormat="1" applyFont="1" applyFill="1" applyBorder="1" applyAlignment="1" applyProtection="1">
      <alignment horizontal="center"/>
      <protection locked="0"/>
    </xf>
    <xf numFmtId="2" fontId="9" fillId="5" borderId="25" xfId="0" applyNumberFormat="1" applyFont="1" applyFill="1" applyBorder="1" applyAlignment="1" applyProtection="1">
      <alignment horizontal="center"/>
      <protection locked="0"/>
    </xf>
    <xf numFmtId="168" fontId="9" fillId="5" borderId="69" xfId="0" applyNumberFormat="1" applyFont="1" applyFill="1" applyBorder="1" applyAlignment="1" applyProtection="1">
      <alignment horizontal="center"/>
      <protection locked="0"/>
    </xf>
    <xf numFmtId="2" fontId="9" fillId="5" borderId="22" xfId="0" applyNumberFormat="1" applyFont="1" applyFill="1" applyBorder="1" applyAlignment="1" applyProtection="1">
      <alignment horizontal="center"/>
      <protection locked="0"/>
    </xf>
    <xf numFmtId="168" fontId="9" fillId="5" borderId="48" xfId="0" applyNumberFormat="1" applyFont="1" applyFill="1" applyBorder="1" applyAlignment="1" applyProtection="1">
      <alignment horizontal="center"/>
      <protection locked="0"/>
    </xf>
    <xf numFmtId="2" fontId="9" fillId="0" borderId="25" xfId="0" applyNumberFormat="1" applyFont="1" applyBorder="1" applyAlignment="1" applyProtection="1">
      <protection locked="0"/>
    </xf>
    <xf numFmtId="2" fontId="9" fillId="0" borderId="22" xfId="0" applyNumberFormat="1" applyFont="1" applyBorder="1" applyAlignment="1" applyProtection="1">
      <protection locked="0"/>
    </xf>
    <xf numFmtId="166" fontId="9" fillId="0" borderId="48" xfId="0" applyNumberFormat="1" applyFont="1" applyBorder="1" applyProtection="1">
      <protection locked="0"/>
    </xf>
    <xf numFmtId="168" fontId="9" fillId="5" borderId="1" xfId="0" applyNumberFormat="1" applyFont="1" applyFill="1" applyBorder="1" applyAlignment="1" applyProtection="1">
      <alignment horizontal="center"/>
      <protection locked="0"/>
    </xf>
    <xf numFmtId="2" fontId="9" fillId="5" borderId="60" xfId="0" applyNumberFormat="1" applyFont="1" applyFill="1" applyBorder="1" applyAlignment="1" applyProtection="1">
      <alignment horizontal="center"/>
      <protection locked="0"/>
    </xf>
    <xf numFmtId="2" fontId="9" fillId="5" borderId="52" xfId="0" applyNumberFormat="1" applyFont="1" applyFill="1" applyBorder="1" applyAlignment="1" applyProtection="1">
      <alignment horizontal="center"/>
      <protection locked="0"/>
    </xf>
    <xf numFmtId="168" fontId="9" fillId="5" borderId="57" xfId="0" applyNumberFormat="1" applyFont="1" applyFill="1" applyBorder="1" applyAlignment="1" applyProtection="1">
      <alignment horizontal="center"/>
      <protection locked="0"/>
    </xf>
    <xf numFmtId="0" fontId="9" fillId="0" borderId="7" xfId="0" applyFont="1" applyBorder="1" applyProtection="1">
      <protection locked="0"/>
    </xf>
    <xf numFmtId="2" fontId="11" fillId="12" borderId="7" xfId="0" applyNumberFormat="1" applyFont="1" applyFill="1" applyBorder="1" applyProtection="1"/>
    <xf numFmtId="168" fontId="11" fillId="12" borderId="30" xfId="0" applyNumberFormat="1" applyFont="1" applyFill="1" applyBorder="1" applyProtection="1"/>
    <xf numFmtId="2" fontId="11" fillId="5" borderId="7" xfId="0" applyNumberFormat="1" applyFont="1" applyFill="1" applyBorder="1" applyProtection="1"/>
    <xf numFmtId="168" fontId="11" fillId="5" borderId="8" xfId="0" applyNumberFormat="1" applyFont="1" applyFill="1" applyBorder="1" applyProtection="1"/>
    <xf numFmtId="0" fontId="9" fillId="0" borderId="8" xfId="0" applyFont="1" applyBorder="1" applyProtection="1">
      <protection locked="0"/>
    </xf>
    <xf numFmtId="0" fontId="9" fillId="0" borderId="9" xfId="0" applyFont="1" applyBorder="1" applyProtection="1">
      <protection locked="0"/>
    </xf>
    <xf numFmtId="0" fontId="9" fillId="0" borderId="37" xfId="0" applyFont="1" applyBorder="1" applyProtection="1">
      <protection locked="0"/>
    </xf>
    <xf numFmtId="0" fontId="9" fillId="0" borderId="41" xfId="0" applyFont="1" applyBorder="1" applyProtection="1">
      <protection locked="0"/>
    </xf>
    <xf numFmtId="0" fontId="9" fillId="0" borderId="75" xfId="0" applyFont="1" applyBorder="1" applyProtection="1">
      <protection locked="0"/>
    </xf>
    <xf numFmtId="0" fontId="9" fillId="0" borderId="24" xfId="0" applyFont="1" applyBorder="1" applyAlignment="1" applyProtection="1">
      <alignment horizontal="center"/>
      <protection locked="0"/>
    </xf>
    <xf numFmtId="166" fontId="9" fillId="0" borderId="69" xfId="0" applyNumberFormat="1" applyFont="1" applyBorder="1" applyAlignment="1" applyProtection="1">
      <alignment horizontal="center"/>
      <protection locked="0"/>
    </xf>
    <xf numFmtId="0" fontId="9" fillId="0" borderId="45" xfId="0" applyFont="1" applyBorder="1" applyAlignment="1" applyProtection="1">
      <alignment horizontal="center"/>
      <protection locked="0"/>
    </xf>
    <xf numFmtId="0" fontId="9" fillId="0" borderId="27" xfId="0" applyFont="1" applyBorder="1" applyAlignment="1" applyProtection="1">
      <alignment horizontal="center"/>
      <protection locked="0"/>
    </xf>
    <xf numFmtId="0" fontId="9" fillId="0" borderId="28" xfId="0" applyFont="1" applyBorder="1" applyAlignment="1" applyProtection="1">
      <alignment horizontal="center"/>
      <protection locked="0"/>
    </xf>
    <xf numFmtId="0" fontId="9" fillId="0" borderId="14" xfId="0" applyFont="1" applyBorder="1" applyAlignment="1" applyProtection="1">
      <alignment horizontal="center"/>
      <protection locked="0"/>
    </xf>
    <xf numFmtId="0" fontId="9" fillId="0" borderId="66" xfId="0" applyFont="1" applyBorder="1" applyAlignment="1" applyProtection="1">
      <alignment horizontal="center"/>
      <protection locked="0"/>
    </xf>
    <xf numFmtId="0" fontId="11" fillId="3" borderId="65" xfId="0" applyFont="1" applyFill="1" applyBorder="1" applyProtection="1">
      <protection locked="0"/>
    </xf>
    <xf numFmtId="0" fontId="9" fillId="0" borderId="62" xfId="0" applyFont="1" applyBorder="1" applyAlignment="1" applyProtection="1">
      <alignment horizontal="center"/>
      <protection locked="0"/>
    </xf>
    <xf numFmtId="0" fontId="11" fillId="0" borderId="2" xfId="0" applyFont="1" applyBorder="1" applyAlignment="1" applyProtection="1">
      <alignment horizontal="center"/>
      <protection locked="0"/>
    </xf>
    <xf numFmtId="0" fontId="11" fillId="0" borderId="52" xfId="0" applyFont="1" applyBorder="1" applyAlignment="1" applyProtection="1">
      <alignment horizontal="center"/>
      <protection locked="0"/>
    </xf>
    <xf numFmtId="0" fontId="11" fillId="0" borderId="1" xfId="0" applyFont="1" applyBorder="1" applyAlignment="1" applyProtection="1">
      <alignment horizontal="center"/>
      <protection locked="0"/>
    </xf>
    <xf numFmtId="0" fontId="11" fillId="0" borderId="22" xfId="0" applyFont="1" applyBorder="1" applyAlignment="1" applyProtection="1">
      <alignment horizontal="center"/>
      <protection locked="0"/>
    </xf>
    <xf numFmtId="0" fontId="9" fillId="0" borderId="69" xfId="0" applyFont="1" applyBorder="1" applyAlignment="1" applyProtection="1">
      <alignment horizontal="center"/>
      <protection locked="0"/>
    </xf>
    <xf numFmtId="0" fontId="9" fillId="0" borderId="49" xfId="0" applyFont="1" applyBorder="1" applyAlignment="1" applyProtection="1">
      <alignment horizontal="center"/>
      <protection locked="0"/>
    </xf>
    <xf numFmtId="0" fontId="11" fillId="0" borderId="32" xfId="0" applyFont="1" applyBorder="1" applyAlignment="1" applyProtection="1">
      <alignment horizontal="center"/>
      <protection locked="0"/>
    </xf>
    <xf numFmtId="0" fontId="9" fillId="0" borderId="34" xfId="0" applyFont="1" applyBorder="1" applyAlignment="1" applyProtection="1">
      <alignment horizontal="center"/>
      <protection locked="0"/>
    </xf>
    <xf numFmtId="0" fontId="9" fillId="0" borderId="56" xfId="0" applyFont="1" applyBorder="1" applyAlignment="1" applyProtection="1">
      <alignment horizontal="center"/>
      <protection locked="0"/>
    </xf>
    <xf numFmtId="166" fontId="9" fillId="0" borderId="28" xfId="0" applyNumberFormat="1" applyFont="1" applyBorder="1" applyAlignment="1" applyProtection="1">
      <alignment horizontal="center"/>
      <protection locked="0"/>
    </xf>
    <xf numFmtId="166" fontId="9" fillId="0" borderId="21" xfId="0" applyNumberFormat="1" applyFont="1" applyBorder="1" applyAlignment="1" applyProtection="1">
      <alignment horizontal="center"/>
      <protection locked="0"/>
    </xf>
    <xf numFmtId="166" fontId="9" fillId="0" borderId="16" xfId="0" applyNumberFormat="1" applyFont="1" applyBorder="1" applyAlignment="1" applyProtection="1">
      <alignment horizontal="center"/>
      <protection locked="0"/>
    </xf>
    <xf numFmtId="0" fontId="9" fillId="0" borderId="47" xfId="0" applyFont="1" applyBorder="1" applyProtection="1">
      <protection locked="0"/>
    </xf>
    <xf numFmtId="0" fontId="9" fillId="0" borderId="60" xfId="0" applyFont="1" applyBorder="1" applyProtection="1">
      <protection locked="0"/>
    </xf>
    <xf numFmtId="0" fontId="9" fillId="0" borderId="57" xfId="0" applyFont="1" applyBorder="1" applyProtection="1">
      <protection locked="0"/>
    </xf>
    <xf numFmtId="166" fontId="11" fillId="3" borderId="63" xfId="0" applyNumberFormat="1" applyFont="1" applyFill="1" applyBorder="1" applyAlignment="1" applyProtection="1">
      <alignment horizontal="center"/>
      <protection locked="0"/>
    </xf>
    <xf numFmtId="166" fontId="9" fillId="5" borderId="21" xfId="0" applyNumberFormat="1" applyFont="1" applyFill="1" applyBorder="1" applyAlignment="1" applyProtection="1">
      <alignment horizontal="center"/>
      <protection locked="0"/>
    </xf>
    <xf numFmtId="0" fontId="9" fillId="5" borderId="16" xfId="0" applyFont="1" applyFill="1" applyBorder="1" applyAlignment="1" applyProtection="1">
      <alignment horizontal="center"/>
      <protection locked="0"/>
    </xf>
    <xf numFmtId="0" fontId="9" fillId="5" borderId="62" xfId="0" applyFont="1" applyFill="1" applyBorder="1" applyAlignment="1" applyProtection="1">
      <alignment horizontal="center"/>
      <protection locked="0"/>
    </xf>
    <xf numFmtId="166" fontId="11" fillId="12" borderId="43" xfId="0" applyNumberFormat="1" applyFont="1" applyFill="1" applyBorder="1" applyAlignment="1" applyProtection="1">
      <alignment horizontal="center"/>
    </xf>
    <xf numFmtId="166" fontId="11" fillId="12" borderId="43" xfId="0" applyNumberFormat="1" applyFont="1" applyFill="1" applyBorder="1" applyAlignment="1" applyProtection="1">
      <alignment horizontal="center"/>
      <protection locked="0"/>
    </xf>
    <xf numFmtId="166" fontId="11" fillId="12" borderId="7" xfId="0" applyNumberFormat="1" applyFont="1" applyFill="1" applyBorder="1" applyAlignment="1" applyProtection="1">
      <alignment horizontal="center"/>
    </xf>
    <xf numFmtId="166" fontId="9" fillId="12" borderId="20" xfId="0" applyNumberFormat="1" applyFont="1" applyFill="1" applyBorder="1" applyAlignment="1" applyProtection="1">
      <alignment horizontal="center"/>
    </xf>
    <xf numFmtId="166" fontId="9" fillId="12" borderId="16" xfId="0" applyNumberFormat="1" applyFont="1" applyFill="1" applyBorder="1" applyAlignment="1" applyProtection="1">
      <alignment horizontal="center"/>
    </xf>
    <xf numFmtId="0" fontId="11" fillId="3" borderId="0" xfId="0" applyFont="1" applyFill="1" applyBorder="1" applyAlignment="1" applyProtection="1">
      <alignment horizontal="center"/>
      <protection locked="0"/>
    </xf>
    <xf numFmtId="166" fontId="11" fillId="12" borderId="21" xfId="0" applyNumberFormat="1" applyFont="1" applyFill="1" applyBorder="1" applyAlignment="1" applyProtection="1">
      <alignment horizontal="center"/>
    </xf>
    <xf numFmtId="1" fontId="11" fillId="12" borderId="43" xfId="0" applyNumberFormat="1" applyFont="1" applyFill="1" applyBorder="1" applyAlignment="1" applyProtection="1">
      <alignment horizontal="center"/>
    </xf>
    <xf numFmtId="166" fontId="11" fillId="12" borderId="17" xfId="0" applyNumberFormat="1" applyFont="1" applyFill="1" applyBorder="1" applyAlignment="1" applyProtection="1">
      <alignment horizontal="center"/>
    </xf>
    <xf numFmtId="166" fontId="11" fillId="5" borderId="50" xfId="0" applyNumberFormat="1" applyFont="1" applyFill="1" applyBorder="1" applyAlignment="1" applyProtection="1">
      <alignment horizontal="center"/>
    </xf>
    <xf numFmtId="0" fontId="11" fillId="3" borderId="65" xfId="0" applyFont="1" applyFill="1" applyBorder="1" applyAlignment="1" applyProtection="1">
      <alignment horizontal="center"/>
      <protection locked="0"/>
    </xf>
    <xf numFmtId="0" fontId="11" fillId="5" borderId="21" xfId="0" applyFont="1" applyFill="1" applyBorder="1" applyAlignment="1" applyProtection="1">
      <alignment horizontal="center"/>
      <protection locked="0"/>
    </xf>
    <xf numFmtId="0" fontId="11" fillId="5" borderId="47" xfId="0" applyFont="1" applyFill="1" applyBorder="1" applyAlignment="1" applyProtection="1">
      <alignment horizontal="center"/>
      <protection locked="0"/>
    </xf>
    <xf numFmtId="166" fontId="11" fillId="5" borderId="21" xfId="0" applyNumberFormat="1" applyFont="1" applyFill="1" applyBorder="1" applyAlignment="1" applyProtection="1">
      <alignment horizontal="center"/>
      <protection locked="0"/>
    </xf>
    <xf numFmtId="0" fontId="11" fillId="3" borderId="43" xfId="0" applyFont="1" applyFill="1" applyBorder="1" applyAlignment="1" applyProtection="1">
      <alignment horizontal="center"/>
      <protection locked="0"/>
    </xf>
    <xf numFmtId="0" fontId="11" fillId="3" borderId="43" xfId="0" applyFont="1" applyFill="1" applyBorder="1" applyAlignment="1" applyProtection="1">
      <alignment horizontal="right"/>
    </xf>
    <xf numFmtId="0" fontId="11" fillId="3" borderId="63" xfId="0" applyFont="1" applyFill="1" applyBorder="1" applyAlignment="1" applyProtection="1">
      <alignment horizontal="right"/>
    </xf>
    <xf numFmtId="0" fontId="11" fillId="5" borderId="17" xfId="0" applyFont="1" applyFill="1" applyBorder="1" applyAlignment="1" applyProtection="1">
      <alignment horizontal="center"/>
      <protection locked="0"/>
    </xf>
    <xf numFmtId="0" fontId="11" fillId="5" borderId="47" xfId="0" applyFont="1" applyFill="1" applyBorder="1" applyAlignment="1" applyProtection="1">
      <alignment horizontal="center" vertical="center"/>
      <protection locked="0"/>
    </xf>
    <xf numFmtId="0" fontId="11" fillId="3" borderId="43" xfId="0" applyFont="1" applyFill="1" applyBorder="1" applyAlignment="1" applyProtection="1">
      <alignment horizontal="center" vertical="center"/>
      <protection locked="0"/>
    </xf>
    <xf numFmtId="0" fontId="11" fillId="3" borderId="47" xfId="0" applyFont="1" applyFill="1" applyBorder="1" applyAlignment="1" applyProtection="1">
      <alignment horizontal="center" vertical="center"/>
      <protection locked="0"/>
    </xf>
    <xf numFmtId="168" fontId="9" fillId="5" borderId="44" xfId="0" applyNumberFormat="1" applyFont="1" applyFill="1" applyBorder="1" applyAlignment="1" applyProtection="1">
      <alignment horizontal="center"/>
      <protection locked="0"/>
    </xf>
    <xf numFmtId="166" fontId="9" fillId="0" borderId="25" xfId="0" applyNumberFormat="1" applyFont="1" applyBorder="1" applyProtection="1">
      <protection locked="0"/>
    </xf>
    <xf numFmtId="166" fontId="11" fillId="12" borderId="5" xfId="0" applyNumberFormat="1" applyFont="1" applyFill="1" applyBorder="1" applyProtection="1">
      <protection locked="0"/>
    </xf>
    <xf numFmtId="166" fontId="11" fillId="12" borderId="9" xfId="0" applyNumberFormat="1" applyFont="1" applyFill="1" applyBorder="1" applyProtection="1">
      <protection locked="0"/>
    </xf>
    <xf numFmtId="166" fontId="9" fillId="0" borderId="16" xfId="0" applyNumberFormat="1" applyFont="1" applyBorder="1" applyProtection="1">
      <protection locked="0"/>
    </xf>
    <xf numFmtId="2" fontId="9" fillId="0" borderId="14" xfId="0" applyNumberFormat="1" applyFont="1" applyFill="1" applyBorder="1" applyAlignment="1" applyProtection="1">
      <alignment horizontal="center"/>
      <protection locked="0"/>
    </xf>
    <xf numFmtId="0" fontId="9" fillId="5" borderId="63" xfId="0" applyFont="1" applyFill="1" applyBorder="1" applyAlignment="1" applyProtection="1">
      <alignment horizontal="center"/>
      <protection locked="0"/>
    </xf>
    <xf numFmtId="2" fontId="9" fillId="5" borderId="24" xfId="0" applyNumberFormat="1" applyFont="1" applyFill="1" applyBorder="1" applyAlignment="1" applyProtection="1">
      <alignment horizontal="center"/>
      <protection locked="0"/>
    </xf>
    <xf numFmtId="166" fontId="9" fillId="5" borderId="24" xfId="0" applyNumberFormat="1" applyFont="1" applyFill="1" applyBorder="1" applyAlignment="1" applyProtection="1">
      <alignment horizontal="center"/>
      <protection locked="0"/>
    </xf>
    <xf numFmtId="0" fontId="9" fillId="5" borderId="44" xfId="0" applyFont="1" applyFill="1" applyBorder="1" applyAlignment="1" applyProtection="1">
      <alignment horizontal="center"/>
      <protection locked="0"/>
    </xf>
    <xf numFmtId="0" fontId="9" fillId="5" borderId="68" xfId="0" applyFont="1" applyFill="1" applyBorder="1" applyAlignment="1" applyProtection="1">
      <alignment horizontal="center"/>
      <protection locked="0"/>
    </xf>
    <xf numFmtId="166" fontId="9" fillId="5" borderId="63" xfId="0" applyNumberFormat="1" applyFont="1" applyFill="1" applyBorder="1" applyAlignment="1" applyProtection="1">
      <alignment horizontal="center"/>
      <protection locked="0"/>
    </xf>
    <xf numFmtId="0" fontId="9" fillId="5" borderId="43" xfId="0" applyFont="1" applyFill="1" applyBorder="1" applyAlignment="1" applyProtection="1">
      <alignment horizontal="center"/>
      <protection locked="0"/>
    </xf>
    <xf numFmtId="0" fontId="9" fillId="5" borderId="48" xfId="0" applyFont="1" applyFill="1" applyBorder="1" applyAlignment="1" applyProtection="1">
      <alignment horizontal="center"/>
      <protection locked="0"/>
    </xf>
    <xf numFmtId="0" fontId="9" fillId="5" borderId="70" xfId="0" applyFont="1" applyFill="1" applyBorder="1" applyAlignment="1" applyProtection="1">
      <alignment horizontal="center"/>
      <protection locked="0"/>
    </xf>
    <xf numFmtId="166" fontId="9" fillId="5" borderId="43" xfId="0" applyNumberFormat="1" applyFont="1" applyFill="1" applyBorder="1" applyAlignment="1" applyProtection="1">
      <alignment horizontal="center"/>
      <protection locked="0"/>
    </xf>
    <xf numFmtId="0" fontId="9" fillId="5" borderId="25" xfId="0" applyFont="1" applyFill="1" applyBorder="1" applyAlignment="1" applyProtection="1">
      <alignment horizontal="center"/>
      <protection locked="0"/>
    </xf>
    <xf numFmtId="166" fontId="11" fillId="0" borderId="57" xfId="0" applyNumberFormat="1" applyFont="1" applyFill="1" applyBorder="1" applyAlignment="1" applyProtection="1">
      <alignment horizontal="center"/>
      <protection locked="0"/>
    </xf>
    <xf numFmtId="166" fontId="9" fillId="5" borderId="57" xfId="0" applyNumberFormat="1" applyFont="1" applyFill="1" applyBorder="1" applyAlignment="1" applyProtection="1">
      <alignment horizontal="center"/>
      <protection locked="0"/>
    </xf>
    <xf numFmtId="0" fontId="9" fillId="5" borderId="60" xfId="0" applyFont="1" applyFill="1" applyBorder="1" applyAlignment="1" applyProtection="1">
      <alignment horizontal="center"/>
      <protection locked="0"/>
    </xf>
    <xf numFmtId="0" fontId="9" fillId="5" borderId="52" xfId="0" applyFont="1" applyFill="1" applyBorder="1" applyAlignment="1" applyProtection="1">
      <alignment horizontal="center"/>
      <protection locked="0"/>
    </xf>
    <xf numFmtId="0" fontId="9" fillId="5" borderId="57" xfId="0" applyFont="1" applyFill="1" applyBorder="1" applyAlignment="1" applyProtection="1">
      <alignment horizontal="center"/>
      <protection locked="0"/>
    </xf>
    <xf numFmtId="0" fontId="9" fillId="5" borderId="78" xfId="0" applyFont="1" applyFill="1" applyBorder="1" applyAlignment="1" applyProtection="1">
      <alignment horizontal="center"/>
      <protection locked="0"/>
    </xf>
    <xf numFmtId="166" fontId="9" fillId="5" borderId="50" xfId="0" applyNumberFormat="1" applyFont="1" applyFill="1" applyBorder="1" applyAlignment="1" applyProtection="1">
      <alignment horizontal="center"/>
      <protection locked="0"/>
    </xf>
    <xf numFmtId="0" fontId="9" fillId="0" borderId="52" xfId="0" applyFont="1" applyBorder="1" applyAlignment="1" applyProtection="1">
      <alignment horizontal="center" vertical="center"/>
      <protection locked="0"/>
    </xf>
    <xf numFmtId="0" fontId="9" fillId="3" borderId="53" xfId="0" applyFont="1" applyFill="1" applyBorder="1" applyAlignment="1" applyProtection="1">
      <alignment horizontal="center" vertical="center" wrapText="1"/>
      <protection locked="0"/>
    </xf>
    <xf numFmtId="1" fontId="9" fillId="0" borderId="43" xfId="0" applyNumberFormat="1" applyFont="1" applyBorder="1" applyAlignment="1" applyProtection="1">
      <alignment horizontal="center" vertical="center" wrapText="1"/>
      <protection locked="0"/>
    </xf>
    <xf numFmtId="0" fontId="9" fillId="0" borderId="43" xfId="0" applyFont="1" applyBorder="1" applyAlignment="1" applyProtection="1">
      <alignment horizontal="center" vertical="center" wrapText="1"/>
      <protection locked="0"/>
    </xf>
    <xf numFmtId="0" fontId="9" fillId="0" borderId="65" xfId="0" applyFont="1" applyBorder="1" applyAlignment="1" applyProtection="1">
      <alignment horizontal="center" vertical="center" wrapText="1"/>
      <protection locked="0"/>
    </xf>
    <xf numFmtId="0" fontId="9" fillId="0" borderId="40" xfId="0" applyFont="1" applyBorder="1" applyAlignment="1" applyProtection="1">
      <alignment vertical="center"/>
      <protection locked="0"/>
    </xf>
    <xf numFmtId="0" fontId="9" fillId="0" borderId="5" xfId="0" applyFont="1" applyBorder="1" applyProtection="1">
      <protection locked="0"/>
    </xf>
    <xf numFmtId="0" fontId="9" fillId="0" borderId="5" xfId="0" applyFont="1" applyFill="1" applyBorder="1" applyAlignment="1" applyProtection="1">
      <protection locked="0"/>
    </xf>
    <xf numFmtId="166" fontId="9" fillId="12" borderId="53" xfId="0" applyNumberFormat="1" applyFont="1" applyFill="1" applyBorder="1" applyAlignment="1" applyProtection="1">
      <alignment horizontal="center"/>
    </xf>
    <xf numFmtId="166" fontId="9" fillId="12" borderId="10" xfId="0" applyNumberFormat="1" applyFont="1" applyFill="1" applyBorder="1" applyAlignment="1" applyProtection="1">
      <alignment horizontal="center"/>
    </xf>
    <xf numFmtId="166" fontId="9" fillId="12" borderId="7" xfId="0" applyNumberFormat="1" applyFont="1" applyFill="1" applyBorder="1" applyAlignment="1" applyProtection="1">
      <alignment horizontal="center"/>
    </xf>
    <xf numFmtId="166" fontId="9" fillId="5" borderId="62" xfId="0" applyNumberFormat="1" applyFont="1" applyFill="1" applyBorder="1" applyAlignment="1" applyProtection="1">
      <alignment horizontal="center"/>
      <protection locked="0"/>
    </xf>
    <xf numFmtId="166" fontId="9" fillId="0" borderId="20" xfId="0" applyNumberFormat="1" applyFont="1" applyBorder="1" applyAlignment="1" applyProtection="1">
      <alignment horizontal="center"/>
      <protection locked="0"/>
    </xf>
    <xf numFmtId="166" fontId="9" fillId="0" borderId="68" xfId="0" applyNumberFormat="1" applyFont="1" applyBorder="1" applyAlignment="1" applyProtection="1">
      <alignment horizontal="center"/>
      <protection locked="0"/>
    </xf>
    <xf numFmtId="166" fontId="11" fillId="12" borderId="37" xfId="0" applyNumberFormat="1" applyFont="1" applyFill="1" applyBorder="1" applyAlignment="1" applyProtection="1">
      <alignment horizontal="center"/>
    </xf>
    <xf numFmtId="0" fontId="11" fillId="0" borderId="40" xfId="0" applyFont="1" applyBorder="1" applyAlignment="1" applyProtection="1">
      <alignment horizontal="center"/>
      <protection locked="0"/>
    </xf>
    <xf numFmtId="0" fontId="84" fillId="0" borderId="78" xfId="0" applyFont="1" applyBorder="1" applyAlignment="1" applyProtection="1">
      <alignment horizontal="center" vertical="center"/>
      <protection locked="0"/>
    </xf>
    <xf numFmtId="0" fontId="84" fillId="0" borderId="0" xfId="0" applyFont="1" applyAlignment="1" applyProtection="1">
      <alignment horizontal="center" vertical="center" shrinkToFit="1"/>
      <protection locked="0"/>
    </xf>
    <xf numFmtId="0" fontId="84" fillId="0" borderId="0" xfId="0" applyFont="1" applyAlignment="1" applyProtection="1">
      <alignment horizontal="left" vertical="center" shrinkToFit="1"/>
      <protection locked="0"/>
    </xf>
    <xf numFmtId="2" fontId="9" fillId="0" borderId="22" xfId="0" applyNumberFormat="1" applyFont="1" applyBorder="1" applyAlignment="1" applyProtection="1">
      <alignment horizontal="center" vertical="center"/>
    </xf>
    <xf numFmtId="166" fontId="77" fillId="5" borderId="22" xfId="0" applyNumberFormat="1" applyFont="1" applyFill="1" applyBorder="1" applyAlignment="1" applyProtection="1">
      <alignment horizontal="center" vertical="center" wrapText="1"/>
    </xf>
    <xf numFmtId="0" fontId="11" fillId="3" borderId="0" xfId="0" applyFont="1" applyFill="1" applyBorder="1" applyAlignment="1" applyProtection="1"/>
    <xf numFmtId="0" fontId="11" fillId="3" borderId="0" xfId="0" applyFont="1" applyFill="1" applyBorder="1" applyAlignment="1" applyProtection="1">
      <alignment horizontal="center"/>
    </xf>
    <xf numFmtId="0" fontId="9" fillId="3" borderId="0" xfId="0" applyFont="1" applyFill="1" applyBorder="1" applyProtection="1"/>
    <xf numFmtId="0" fontId="9" fillId="0" borderId="0" xfId="7" applyFont="1" applyProtection="1"/>
    <xf numFmtId="0" fontId="85" fillId="12" borderId="5" xfId="7" applyFont="1" applyFill="1" applyBorder="1" applyAlignment="1" applyProtection="1">
      <alignment horizontal="center"/>
    </xf>
    <xf numFmtId="49" fontId="9" fillId="0" borderId="0" xfId="7" applyNumberFormat="1" applyFont="1" applyProtection="1"/>
    <xf numFmtId="166" fontId="9" fillId="13" borderId="40" xfId="7" applyNumberFormat="1" applyFont="1" applyFill="1" applyBorder="1" applyAlignment="1" applyProtection="1"/>
    <xf numFmtId="166" fontId="9" fillId="6" borderId="5" xfId="7" applyNumberFormat="1" applyFont="1" applyFill="1" applyBorder="1" applyAlignment="1" applyProtection="1">
      <alignment vertical="center"/>
    </xf>
    <xf numFmtId="49" fontId="9" fillId="0" borderId="0" xfId="0" applyNumberFormat="1" applyFont="1" applyProtection="1"/>
    <xf numFmtId="49" fontId="9" fillId="0" borderId="0" xfId="7" applyNumberFormat="1" applyFont="1" applyFill="1" applyBorder="1" applyAlignment="1" applyProtection="1"/>
    <xf numFmtId="0" fontId="73" fillId="0" borderId="0" xfId="0" applyFont="1" applyAlignment="1" applyProtection="1">
      <alignment horizontal="left"/>
      <protection locked="0"/>
    </xf>
    <xf numFmtId="0" fontId="73" fillId="0" borderId="0" xfId="0" applyFont="1" applyAlignment="1" applyProtection="1">
      <alignment horizontal="center"/>
      <protection locked="0"/>
    </xf>
    <xf numFmtId="0" fontId="84" fillId="0" borderId="0" xfId="0" applyFont="1" applyAlignment="1" applyProtection="1">
      <alignment horizontal="justify" vertical="center" shrinkToFit="1"/>
      <protection locked="0"/>
    </xf>
    <xf numFmtId="0" fontId="80" fillId="0" borderId="0" xfId="0" applyFont="1" applyBorder="1" applyProtection="1">
      <protection locked="0"/>
    </xf>
    <xf numFmtId="0" fontId="68" fillId="0" borderId="0" xfId="0" applyFont="1" applyBorder="1" applyProtection="1">
      <protection locked="0"/>
    </xf>
    <xf numFmtId="0" fontId="80" fillId="0" borderId="0" xfId="0" applyFont="1" applyBorder="1" applyAlignment="1" applyProtection="1">
      <alignment horizontal="center"/>
      <protection locked="0"/>
    </xf>
    <xf numFmtId="0" fontId="80" fillId="0" borderId="0" xfId="0" applyFont="1" applyBorder="1" applyAlignment="1" applyProtection="1">
      <alignment horizontal="left"/>
      <protection locked="0"/>
    </xf>
    <xf numFmtId="0" fontId="69" fillId="0" borderId="0" xfId="0" applyFont="1" applyBorder="1" applyAlignment="1" applyProtection="1">
      <alignment horizontal="left"/>
      <protection locked="0"/>
    </xf>
    <xf numFmtId="0" fontId="70" fillId="0" borderId="0" xfId="0" applyFont="1" applyBorder="1" applyAlignment="1" applyProtection="1">
      <alignment horizontal="left" vertical="center"/>
      <protection locked="0"/>
    </xf>
    <xf numFmtId="0" fontId="87" fillId="0" borderId="0" xfId="0" applyFont="1" applyAlignment="1" applyProtection="1">
      <protection locked="0"/>
    </xf>
    <xf numFmtId="0" fontId="87" fillId="0" borderId="0" xfId="0" applyFont="1" applyProtection="1">
      <protection locked="0"/>
    </xf>
    <xf numFmtId="0" fontId="87" fillId="0" borderId="0" xfId="0" applyFont="1" applyAlignment="1" applyProtection="1">
      <alignment horizontal="left"/>
      <protection locked="0"/>
    </xf>
    <xf numFmtId="0" fontId="87" fillId="0" borderId="0" xfId="0" applyFont="1" applyAlignment="1" applyProtection="1">
      <alignment horizontal="center" wrapText="1"/>
      <protection locked="0"/>
    </xf>
    <xf numFmtId="0" fontId="87" fillId="0" borderId="0" xfId="0" applyFont="1" applyAlignment="1" applyProtection="1">
      <alignment vertical="top" wrapText="1"/>
      <protection locked="0"/>
    </xf>
    <xf numFmtId="0" fontId="73" fillId="0" borderId="0" xfId="0" applyFont="1" applyBorder="1" applyAlignment="1" applyProtection="1">
      <alignment wrapText="1"/>
      <protection locked="0"/>
    </xf>
    <xf numFmtId="0" fontId="74" fillId="0" borderId="0" xfId="0" applyFont="1" applyBorder="1" applyAlignment="1" applyProtection="1">
      <protection locked="0"/>
    </xf>
    <xf numFmtId="0" fontId="90" fillId="0" borderId="0" xfId="0" applyFont="1" applyProtection="1">
      <protection locked="0"/>
    </xf>
    <xf numFmtId="0" fontId="90" fillId="0" borderId="0" xfId="0" applyFont="1" applyAlignment="1" applyProtection="1">
      <protection locked="0"/>
    </xf>
    <xf numFmtId="0" fontId="90" fillId="0" borderId="68" xfId="0" applyFont="1" applyBorder="1" applyAlignment="1" applyProtection="1">
      <protection locked="0"/>
    </xf>
    <xf numFmtId="0" fontId="90" fillId="0" borderId="0" xfId="0" applyFont="1" applyBorder="1" applyAlignment="1" applyProtection="1">
      <protection locked="0"/>
    </xf>
    <xf numFmtId="0" fontId="91" fillId="0" borderId="0" xfId="0" applyFont="1" applyAlignment="1" applyProtection="1">
      <protection locked="0"/>
    </xf>
    <xf numFmtId="0" fontId="90" fillId="0" borderId="68" xfId="0" applyFont="1" applyBorder="1" applyAlignment="1" applyProtection="1">
      <alignment wrapText="1"/>
      <protection locked="0"/>
    </xf>
    <xf numFmtId="0" fontId="23" fillId="3" borderId="8" xfId="0" applyFont="1" applyFill="1" applyBorder="1" applyAlignment="1" applyProtection="1">
      <alignment horizontal="center" vertical="center" wrapText="1"/>
      <protection locked="0"/>
    </xf>
    <xf numFmtId="0" fontId="12" fillId="3" borderId="73" xfId="0" applyFont="1" applyFill="1" applyBorder="1" applyAlignment="1" applyProtection="1">
      <alignment vertical="center" wrapText="1"/>
      <protection locked="0"/>
    </xf>
    <xf numFmtId="0" fontId="12" fillId="3" borderId="35" xfId="0" applyFont="1" applyFill="1" applyBorder="1" applyAlignment="1" applyProtection="1">
      <alignment vertical="center" wrapText="1"/>
      <protection locked="0"/>
    </xf>
    <xf numFmtId="0" fontId="0" fillId="0" borderId="0" xfId="0"/>
    <xf numFmtId="0" fontId="36" fillId="0" borderId="0" xfId="0" applyFont="1" applyBorder="1" applyAlignment="1">
      <alignment vertical="top" wrapText="1"/>
    </xf>
    <xf numFmtId="0" fontId="17" fillId="0" borderId="0" xfId="0" applyFont="1" applyBorder="1" applyAlignment="1">
      <alignment vertical="top" wrapText="1"/>
    </xf>
    <xf numFmtId="0" fontId="9" fillId="0" borderId="52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0" fillId="0" borderId="0" xfId="0" applyFont="1" applyAlignment="1">
      <alignment vertical="top"/>
    </xf>
    <xf numFmtId="49" fontId="16" fillId="5" borderId="0" xfId="0" applyNumberFormat="1" applyFont="1" applyFill="1" applyAlignment="1">
      <alignment horizontal="center"/>
    </xf>
    <xf numFmtId="0" fontId="16" fillId="5" borderId="0" xfId="0" applyFont="1" applyFill="1" applyAlignment="1">
      <alignment horizontal="center"/>
    </xf>
    <xf numFmtId="0" fontId="16" fillId="5" borderId="0" xfId="0" applyFont="1" applyFill="1" applyAlignment="1">
      <alignment horizontal="left"/>
    </xf>
    <xf numFmtId="2" fontId="17" fillId="5" borderId="0" xfId="0" applyNumberFormat="1" applyFont="1" applyFill="1"/>
    <xf numFmtId="0" fontId="17" fillId="5" borderId="0" xfId="0" applyFont="1" applyFill="1"/>
    <xf numFmtId="0" fontId="9" fillId="5" borderId="0" xfId="9" applyFont="1" applyFill="1" applyAlignment="1">
      <alignment horizontal="left"/>
    </xf>
    <xf numFmtId="0" fontId="17" fillId="5" borderId="0" xfId="0" applyFont="1" applyFill="1" applyAlignment="1">
      <alignment horizontal="left"/>
    </xf>
    <xf numFmtId="0" fontId="17" fillId="5" borderId="0" xfId="0" applyFont="1" applyFill="1" applyAlignment="1">
      <alignment horizontal="center"/>
    </xf>
    <xf numFmtId="0" fontId="15" fillId="5" borderId="0" xfId="9" applyFont="1" applyFill="1"/>
    <xf numFmtId="0" fontId="17" fillId="5" borderId="22" xfId="0" applyFont="1" applyFill="1" applyBorder="1" applyAlignment="1">
      <alignment horizontal="center" vertical="top" wrapText="1"/>
    </xf>
    <xf numFmtId="0" fontId="17" fillId="5" borderId="69" xfId="0" applyFont="1" applyFill="1" applyBorder="1" applyAlignment="1">
      <alignment horizontal="left" vertical="top" wrapText="1"/>
    </xf>
    <xf numFmtId="0" fontId="17" fillId="5" borderId="69" xfId="0" applyFont="1" applyFill="1" applyBorder="1" applyAlignment="1">
      <alignment horizontal="center" vertical="center" wrapText="1"/>
    </xf>
    <xf numFmtId="0" fontId="17" fillId="5" borderId="69" xfId="0" applyFont="1" applyFill="1" applyBorder="1" applyAlignment="1">
      <alignment horizontal="left" wrapText="1"/>
    </xf>
    <xf numFmtId="0" fontId="17" fillId="5" borderId="22" xfId="0" applyFont="1" applyFill="1" applyBorder="1" applyAlignment="1">
      <alignment horizontal="center" vertical="center" wrapText="1"/>
    </xf>
    <xf numFmtId="0" fontId="17" fillId="5" borderId="0" xfId="0" applyFont="1" applyFill="1" applyBorder="1" applyAlignment="1">
      <alignment horizontal="center" vertical="top" wrapText="1"/>
    </xf>
    <xf numFmtId="0" fontId="17" fillId="5" borderId="0" xfId="0" applyFont="1" applyFill="1" applyBorder="1" applyAlignment="1">
      <alignment horizontal="left" wrapText="1"/>
    </xf>
    <xf numFmtId="0" fontId="17" fillId="5" borderId="0" xfId="0" applyFont="1" applyFill="1" applyBorder="1" applyAlignment="1">
      <alignment horizontal="left" vertical="top" wrapText="1"/>
    </xf>
    <xf numFmtId="0" fontId="17" fillId="5" borderId="69" xfId="0" applyFont="1" applyFill="1" applyBorder="1" applyAlignment="1">
      <alignment horizontal="center" vertical="top" wrapText="1"/>
    </xf>
    <xf numFmtId="1" fontId="17" fillId="5" borderId="4" xfId="0" applyNumberFormat="1" applyFont="1" applyFill="1" applyBorder="1" applyAlignment="1">
      <alignment horizontal="center" vertical="center"/>
    </xf>
    <xf numFmtId="0" fontId="17" fillId="5" borderId="62" xfId="0" applyFont="1" applyFill="1" applyBorder="1" applyAlignment="1">
      <alignment horizontal="center" vertical="center" wrapText="1"/>
    </xf>
    <xf numFmtId="0" fontId="17" fillId="5" borderId="62" xfId="0" applyFont="1" applyFill="1" applyBorder="1" applyAlignment="1">
      <alignment horizontal="left" wrapText="1"/>
    </xf>
    <xf numFmtId="0" fontId="17" fillId="5" borderId="62" xfId="0" applyFont="1" applyFill="1" applyBorder="1" applyAlignment="1">
      <alignment horizontal="center" vertical="center"/>
    </xf>
    <xf numFmtId="1" fontId="17" fillId="5" borderId="22" xfId="0" applyNumberFormat="1" applyFont="1" applyFill="1" applyBorder="1" applyAlignment="1">
      <alignment horizontal="center" vertical="center"/>
    </xf>
    <xf numFmtId="0" fontId="17" fillId="5" borderId="69" xfId="0" applyFont="1" applyFill="1" applyBorder="1" applyAlignment="1">
      <alignment horizontal="center" vertical="center"/>
    </xf>
    <xf numFmtId="0" fontId="9" fillId="0" borderId="20" xfId="0" applyFont="1" applyBorder="1" applyAlignment="1" applyProtection="1">
      <alignment horizontal="center" vertical="center"/>
      <protection locked="0"/>
    </xf>
    <xf numFmtId="0" fontId="9" fillId="0" borderId="9" xfId="0" applyFont="1" applyFill="1" applyBorder="1" applyAlignment="1" applyProtection="1">
      <alignment horizontal="center" vertical="center" wrapText="1"/>
      <protection locked="0"/>
    </xf>
    <xf numFmtId="0" fontId="17" fillId="5" borderId="7" xfId="0" applyFont="1" applyFill="1" applyBorder="1" applyAlignment="1" applyProtection="1">
      <alignment horizontal="center" vertical="center"/>
      <protection locked="0"/>
    </xf>
    <xf numFmtId="0" fontId="17" fillId="5" borderId="8" xfId="0" applyFont="1" applyFill="1" applyBorder="1" applyAlignment="1" applyProtection="1">
      <alignment horizontal="center" vertical="center"/>
      <protection locked="0"/>
    </xf>
    <xf numFmtId="0" fontId="17" fillId="5" borderId="9" xfId="0" applyFont="1" applyFill="1" applyBorder="1" applyAlignment="1" applyProtection="1">
      <alignment horizontal="center" vertical="center" wrapText="1"/>
      <protection locked="0"/>
    </xf>
    <xf numFmtId="0" fontId="11" fillId="0" borderId="5" xfId="0" applyFont="1" applyFill="1" applyBorder="1" applyAlignment="1" applyProtection="1">
      <protection locked="0"/>
    </xf>
    <xf numFmtId="169" fontId="9" fillId="3" borderId="5" xfId="0" applyNumberFormat="1" applyFont="1" applyFill="1" applyBorder="1" applyAlignment="1" applyProtection="1">
      <alignment horizontal="center"/>
      <protection locked="0"/>
    </xf>
    <xf numFmtId="0" fontId="9" fillId="3" borderId="10" xfId="0" applyFont="1" applyFill="1" applyBorder="1" applyAlignment="1" applyProtection="1">
      <alignment horizontal="center"/>
      <protection locked="0"/>
    </xf>
    <xf numFmtId="16" fontId="9" fillId="3" borderId="12" xfId="0" applyNumberFormat="1" applyFont="1" applyFill="1" applyBorder="1" applyAlignment="1" applyProtection="1">
      <alignment horizontal="center"/>
      <protection locked="0"/>
    </xf>
    <xf numFmtId="0" fontId="9" fillId="3" borderId="12" xfId="0" applyFont="1" applyFill="1" applyBorder="1" applyAlignment="1" applyProtection="1">
      <alignment horizontal="center"/>
      <protection locked="0"/>
    </xf>
    <xf numFmtId="0" fontId="9" fillId="3" borderId="11" xfId="0" applyFont="1" applyFill="1" applyBorder="1" applyAlignment="1" applyProtection="1">
      <alignment horizontal="center"/>
      <protection locked="0"/>
    </xf>
    <xf numFmtId="0" fontId="9" fillId="3" borderId="41" xfId="0" applyFont="1" applyFill="1" applyBorder="1" applyAlignment="1" applyProtection="1">
      <alignment horizontal="center" vertical="center"/>
      <protection locked="0"/>
    </xf>
    <xf numFmtId="0" fontId="9" fillId="0" borderId="53" xfId="0" applyFont="1" applyBorder="1" applyAlignment="1" applyProtection="1">
      <alignment horizontal="center" vertical="center" wrapText="1"/>
      <protection locked="0"/>
    </xf>
    <xf numFmtId="0" fontId="15" fillId="0" borderId="43" xfId="0" applyFont="1" applyBorder="1" applyAlignment="1" applyProtection="1">
      <alignment horizontal="center" vertical="center" wrapText="1"/>
      <protection locked="0"/>
    </xf>
    <xf numFmtId="166" fontId="9" fillId="12" borderId="4" xfId="5" applyNumberFormat="1" applyFont="1" applyFill="1" applyBorder="1" applyAlignment="1" applyProtection="1">
      <alignment horizontal="center"/>
    </xf>
    <xf numFmtId="166" fontId="9" fillId="12" borderId="14" xfId="5" applyNumberFormat="1" applyFont="1" applyFill="1" applyBorder="1" applyAlignment="1" applyProtection="1">
      <alignment horizontal="center"/>
    </xf>
    <xf numFmtId="166" fontId="9" fillId="12" borderId="22" xfId="0" applyNumberFormat="1" applyFont="1" applyFill="1" applyBorder="1" applyAlignment="1" applyProtection="1">
      <alignment horizontal="center"/>
    </xf>
    <xf numFmtId="166" fontId="9" fillId="12" borderId="24" xfId="0" applyNumberFormat="1" applyFont="1" applyFill="1" applyBorder="1" applyAlignment="1" applyProtection="1">
      <alignment horizontal="center"/>
    </xf>
    <xf numFmtId="166" fontId="9" fillId="12" borderId="60" xfId="0" applyNumberFormat="1" applyFont="1" applyFill="1" applyBorder="1" applyAlignment="1" applyProtection="1">
      <alignment horizontal="center"/>
    </xf>
    <xf numFmtId="169" fontId="15" fillId="3" borderId="63" xfId="0" applyNumberFormat="1" applyFont="1" applyFill="1" applyBorder="1" applyAlignment="1" applyProtection="1">
      <alignment horizontal="center" vertical="top" wrapText="1"/>
      <protection locked="0"/>
    </xf>
    <xf numFmtId="166" fontId="19" fillId="0" borderId="45" xfId="0" applyNumberFormat="1" applyFont="1" applyFill="1" applyBorder="1" applyAlignment="1" applyProtection="1">
      <alignment horizontal="center" vertical="center"/>
      <protection locked="0"/>
    </xf>
    <xf numFmtId="169" fontId="15" fillId="0" borderId="62" xfId="0" applyNumberFormat="1" applyFont="1" applyFill="1" applyBorder="1" applyAlignment="1" applyProtection="1">
      <alignment horizontal="center" vertical="center"/>
      <protection locked="0"/>
    </xf>
    <xf numFmtId="166" fontId="17" fillId="0" borderId="49" xfId="0" applyNumberFormat="1" applyFont="1" applyFill="1" applyBorder="1" applyAlignment="1" applyProtection="1">
      <alignment horizontal="center"/>
      <protection locked="0"/>
    </xf>
    <xf numFmtId="166" fontId="17" fillId="0" borderId="22" xfId="0" applyNumberFormat="1" applyFont="1" applyFill="1" applyBorder="1" applyAlignment="1" applyProtection="1">
      <alignment horizontal="center"/>
      <protection locked="0"/>
    </xf>
    <xf numFmtId="169" fontId="9" fillId="3" borderId="63" xfId="0" applyNumberFormat="1" applyFont="1" applyFill="1" applyBorder="1" applyAlignment="1" applyProtection="1">
      <alignment horizontal="center" vertical="top" wrapText="1"/>
      <protection locked="0"/>
    </xf>
    <xf numFmtId="166" fontId="9" fillId="0" borderId="45" xfId="0" applyNumberFormat="1" applyFont="1" applyFill="1" applyBorder="1" applyAlignment="1" applyProtection="1">
      <alignment horizontal="center" vertical="center"/>
      <protection locked="0"/>
    </xf>
    <xf numFmtId="169" fontId="9" fillId="0" borderId="44" xfId="0" applyNumberFormat="1" applyFont="1" applyFill="1" applyBorder="1" applyAlignment="1" applyProtection="1">
      <alignment horizontal="center" vertical="center"/>
      <protection locked="0"/>
    </xf>
    <xf numFmtId="166" fontId="9" fillId="0" borderId="49" xfId="0" applyNumberFormat="1" applyFont="1" applyFill="1" applyBorder="1" applyAlignment="1" applyProtection="1">
      <alignment horizontal="center"/>
      <protection locked="0"/>
    </xf>
    <xf numFmtId="166" fontId="9" fillId="0" borderId="28" xfId="0" applyNumberFormat="1" applyFont="1" applyFill="1" applyBorder="1" applyAlignment="1" applyProtection="1">
      <alignment horizontal="center"/>
      <protection locked="0"/>
    </xf>
    <xf numFmtId="0" fontId="9" fillId="0" borderId="53" xfId="0" applyFont="1" applyBorder="1" applyAlignment="1" applyProtection="1">
      <alignment horizontal="center"/>
      <protection locked="0"/>
    </xf>
    <xf numFmtId="0" fontId="9" fillId="0" borderId="65" xfId="0" applyFont="1" applyBorder="1" applyAlignment="1" applyProtection="1">
      <alignment horizontal="center"/>
      <protection locked="0"/>
    </xf>
    <xf numFmtId="20" fontId="12" fillId="3" borderId="35" xfId="0" applyNumberFormat="1" applyFont="1" applyFill="1" applyBorder="1" applyAlignment="1" applyProtection="1">
      <alignment vertical="center"/>
      <protection locked="0"/>
    </xf>
    <xf numFmtId="0" fontId="30" fillId="0" borderId="52" xfId="0" applyFont="1" applyBorder="1" applyAlignment="1" applyProtection="1">
      <alignment horizontal="center" vertical="top" wrapText="1"/>
      <protection locked="0"/>
    </xf>
    <xf numFmtId="0" fontId="9" fillId="0" borderId="6" xfId="0" applyFont="1" applyBorder="1" applyAlignment="1" applyProtection="1">
      <protection locked="0"/>
    </xf>
    <xf numFmtId="0" fontId="9" fillId="0" borderId="52" xfId="0" applyFont="1" applyBorder="1" applyAlignment="1">
      <alignment horizontal="left" vertical="top" wrapText="1"/>
    </xf>
    <xf numFmtId="0" fontId="9" fillId="0" borderId="22" xfId="7" applyFont="1" applyBorder="1" applyAlignment="1">
      <alignment horizontal="left" vertical="top" wrapText="1"/>
    </xf>
    <xf numFmtId="0" fontId="9" fillId="0" borderId="69" xfId="7" applyFont="1" applyBorder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9" fillId="0" borderId="22" xfId="0" applyFont="1" applyFill="1" applyBorder="1" applyAlignment="1" applyProtection="1">
      <alignment horizontal="left" vertical="top" wrapText="1" shrinkToFit="1"/>
      <protection locked="0"/>
    </xf>
    <xf numFmtId="1" fontId="9" fillId="0" borderId="27" xfId="0" applyNumberFormat="1" applyFont="1" applyBorder="1" applyAlignment="1" applyProtection="1">
      <alignment horizontal="center"/>
      <protection locked="0"/>
    </xf>
    <xf numFmtId="1" fontId="9" fillId="0" borderId="28" xfId="0" applyNumberFormat="1" applyFont="1" applyBorder="1" applyAlignment="1" applyProtection="1">
      <alignment horizontal="center"/>
      <protection locked="0"/>
    </xf>
    <xf numFmtId="2" fontId="9" fillId="0" borderId="28" xfId="0" applyNumberFormat="1" applyFont="1" applyBorder="1" applyAlignment="1" applyProtection="1">
      <alignment horizontal="center"/>
      <protection locked="0"/>
    </xf>
    <xf numFmtId="1" fontId="9" fillId="0" borderId="42" xfId="0" applyNumberFormat="1" applyFont="1" applyBorder="1" applyAlignment="1" applyProtection="1">
      <alignment horizontal="center"/>
      <protection locked="0"/>
    </xf>
    <xf numFmtId="0" fontId="27" fillId="0" borderId="0" xfId="0" applyFont="1" applyBorder="1" applyAlignment="1" applyProtection="1">
      <alignment horizontal="center"/>
      <protection locked="0"/>
    </xf>
    <xf numFmtId="0" fontId="9" fillId="0" borderId="38" xfId="0" applyFont="1" applyBorder="1" applyAlignment="1" applyProtection="1">
      <alignment horizontal="center"/>
      <protection locked="0"/>
    </xf>
    <xf numFmtId="0" fontId="9" fillId="0" borderId="5" xfId="0" applyFont="1" applyFill="1" applyBorder="1" applyAlignment="1" applyProtection="1">
      <alignment horizontal="center"/>
    </xf>
    <xf numFmtId="2" fontId="11" fillId="12" borderId="38" xfId="0" applyNumberFormat="1" applyFont="1" applyFill="1" applyBorder="1" applyAlignment="1" applyProtection="1">
      <alignment horizontal="center"/>
    </xf>
    <xf numFmtId="0" fontId="22" fillId="0" borderId="0" xfId="0" applyFont="1" applyBorder="1" applyAlignment="1" applyProtection="1">
      <protection locked="0"/>
    </xf>
    <xf numFmtId="20" fontId="9" fillId="5" borderId="49" xfId="0" applyNumberFormat="1" applyFont="1" applyFill="1" applyBorder="1" applyAlignment="1" applyProtection="1">
      <alignment horizontal="center"/>
      <protection locked="0"/>
    </xf>
    <xf numFmtId="20" fontId="9" fillId="5" borderId="22" xfId="0" applyNumberFormat="1" applyFont="1" applyFill="1" applyBorder="1" applyAlignment="1" applyProtection="1">
      <alignment horizontal="center"/>
      <protection locked="0"/>
    </xf>
    <xf numFmtId="0" fontId="9" fillId="3" borderId="22" xfId="0" applyFont="1" applyFill="1" applyBorder="1" applyAlignment="1" applyProtection="1">
      <alignment horizontal="center" vertical="center" wrapText="1"/>
      <protection locked="0"/>
    </xf>
    <xf numFmtId="0" fontId="11" fillId="0" borderId="5" xfId="0" applyFont="1" applyBorder="1" applyAlignment="1" applyProtection="1">
      <alignment horizontal="center" vertical="center"/>
      <protection locked="0"/>
    </xf>
    <xf numFmtId="0" fontId="17" fillId="0" borderId="46" xfId="0" applyFont="1" applyBorder="1" applyAlignment="1" applyProtection="1">
      <alignment horizontal="center" vertical="center" wrapText="1"/>
      <protection locked="0"/>
    </xf>
    <xf numFmtId="2" fontId="11" fillId="13" borderId="30" xfId="0" applyNumberFormat="1" applyFont="1" applyFill="1" applyBorder="1" applyAlignment="1" applyProtection="1">
      <alignment horizontal="center"/>
      <protection locked="0"/>
    </xf>
    <xf numFmtId="166" fontId="11" fillId="13" borderId="37" xfId="0" applyNumberFormat="1" applyFont="1" applyFill="1" applyBorder="1" applyAlignment="1" applyProtection="1">
      <alignment horizontal="center"/>
      <protection locked="0"/>
    </xf>
    <xf numFmtId="20" fontId="9" fillId="0" borderId="45" xfId="0" applyNumberFormat="1" applyFont="1" applyBorder="1" applyAlignment="1" applyProtection="1">
      <alignment horizontal="center" vertical="center"/>
      <protection locked="0"/>
    </xf>
    <xf numFmtId="20" fontId="9" fillId="0" borderId="49" xfId="0" applyNumberFormat="1" applyFont="1" applyBorder="1" applyAlignment="1" applyProtection="1">
      <alignment horizontal="center" vertical="center"/>
      <protection locked="0"/>
    </xf>
    <xf numFmtId="167" fontId="11" fillId="5" borderId="22" xfId="0" applyNumberFormat="1" applyFont="1" applyFill="1" applyBorder="1" applyProtection="1"/>
    <xf numFmtId="0" fontId="11" fillId="5" borderId="22" xfId="0" applyFont="1" applyFill="1" applyBorder="1" applyProtection="1"/>
    <xf numFmtId="0" fontId="17" fillId="5" borderId="4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/>
    </xf>
    <xf numFmtId="0" fontId="11" fillId="0" borderId="0" xfId="0" applyFont="1" applyBorder="1" applyAlignment="1">
      <alignment horizontal="left"/>
    </xf>
    <xf numFmtId="0" fontId="50" fillId="5" borderId="22" xfId="0" applyFont="1" applyFill="1" applyBorder="1" applyAlignment="1">
      <alignment horizontal="center" vertical="top" wrapText="1"/>
    </xf>
    <xf numFmtId="0" fontId="50" fillId="5" borderId="22" xfId="0" applyFont="1" applyFill="1" applyBorder="1" applyAlignment="1">
      <alignment horizontal="center" vertical="top" wrapText="1"/>
    </xf>
    <xf numFmtId="0" fontId="17" fillId="5" borderId="0" xfId="0" applyFont="1" applyFill="1" applyBorder="1" applyAlignment="1">
      <alignment horizontal="left"/>
    </xf>
    <xf numFmtId="0" fontId="28" fillId="5" borderId="52" xfId="0" applyFont="1" applyFill="1" applyBorder="1" applyAlignment="1">
      <alignment horizontal="center" vertical="center" wrapText="1"/>
    </xf>
    <xf numFmtId="0" fontId="28" fillId="5" borderId="2" xfId="0" applyFont="1" applyFill="1" applyBorder="1" applyAlignment="1">
      <alignment horizontal="center" vertical="center" wrapText="1"/>
    </xf>
    <xf numFmtId="0" fontId="28" fillId="5" borderId="14" xfId="0" applyFont="1" applyFill="1" applyBorder="1" applyAlignment="1">
      <alignment horizontal="center" vertical="center" wrapText="1"/>
    </xf>
    <xf numFmtId="0" fontId="28" fillId="5" borderId="3" xfId="0" applyFont="1" applyFill="1" applyBorder="1" applyAlignment="1">
      <alignment horizontal="center" vertical="center" wrapText="1"/>
    </xf>
    <xf numFmtId="0" fontId="17" fillId="5" borderId="14" xfId="0" applyFont="1" applyFill="1" applyBorder="1" applyAlignment="1">
      <alignment vertical="center" wrapText="1"/>
    </xf>
    <xf numFmtId="0" fontId="28" fillId="5" borderId="22" xfId="0" applyFont="1" applyFill="1" applyBorder="1" applyAlignment="1">
      <alignment horizontal="center" vertical="top" wrapText="1"/>
    </xf>
    <xf numFmtId="0" fontId="28" fillId="5" borderId="45" xfId="0" applyFont="1" applyFill="1" applyBorder="1" applyAlignment="1">
      <alignment horizontal="center" vertical="top" wrapText="1"/>
    </xf>
    <xf numFmtId="0" fontId="28" fillId="5" borderId="4" xfId="0" applyFont="1" applyFill="1" applyBorder="1" applyAlignment="1">
      <alignment horizontal="center" vertical="center" wrapText="1"/>
    </xf>
    <xf numFmtId="0" fontId="28" fillId="5" borderId="14" xfId="0" applyFont="1" applyFill="1" applyBorder="1" applyAlignment="1">
      <alignment horizontal="center" vertical="center"/>
    </xf>
    <xf numFmtId="0" fontId="28" fillId="5" borderId="14" xfId="0" applyFont="1" applyFill="1" applyBorder="1" applyAlignment="1">
      <alignment horizontal="center" vertical="top" wrapText="1"/>
    </xf>
    <xf numFmtId="0" fontId="28" fillId="5" borderId="3" xfId="0" applyFont="1" applyFill="1" applyBorder="1" applyAlignment="1">
      <alignment horizontal="center" vertical="top" wrapText="1"/>
    </xf>
    <xf numFmtId="0" fontId="28" fillId="5" borderId="4" xfId="0" applyFont="1" applyFill="1" applyBorder="1" applyAlignment="1">
      <alignment horizontal="center" vertical="top" wrapText="1"/>
    </xf>
    <xf numFmtId="0" fontId="17" fillId="5" borderId="49" xfId="0" applyFont="1" applyFill="1" applyBorder="1" applyAlignment="1">
      <alignment horizontal="left" vertical="top" wrapText="1"/>
    </xf>
    <xf numFmtId="0" fontId="50" fillId="5" borderId="49" xfId="0" applyFont="1" applyFill="1" applyBorder="1" applyAlignment="1">
      <alignment horizontal="center" vertical="top" wrapText="1"/>
    </xf>
    <xf numFmtId="0" fontId="17" fillId="5" borderId="45" xfId="0" applyFont="1" applyFill="1" applyBorder="1" applyAlignment="1">
      <alignment horizontal="center" vertical="top" wrapText="1"/>
    </xf>
    <xf numFmtId="0" fontId="17" fillId="5" borderId="70" xfId="0" applyFont="1" applyFill="1" applyBorder="1" applyAlignment="1">
      <alignment horizontal="left" vertical="top" wrapText="1"/>
    </xf>
    <xf numFmtId="166" fontId="17" fillId="5" borderId="69" xfId="0" applyNumberFormat="1" applyFont="1" applyFill="1" applyBorder="1" applyAlignment="1">
      <alignment horizontal="center" vertical="top" wrapText="1"/>
    </xf>
    <xf numFmtId="0" fontId="17" fillId="5" borderId="49" xfId="0" applyFont="1" applyFill="1" applyBorder="1" applyAlignment="1">
      <alignment horizontal="center" vertical="top" wrapText="1"/>
    </xf>
    <xf numFmtId="2" fontId="17" fillId="5" borderId="69" xfId="0" applyNumberFormat="1" applyFont="1" applyFill="1" applyBorder="1" applyAlignment="1">
      <alignment horizontal="center" vertical="top" wrapText="1"/>
    </xf>
    <xf numFmtId="168" fontId="17" fillId="5" borderId="69" xfId="0" applyNumberFormat="1" applyFont="1" applyFill="1" applyBorder="1" applyAlignment="1">
      <alignment horizontal="center" vertical="top" wrapText="1"/>
    </xf>
    <xf numFmtId="0" fontId="17" fillId="0" borderId="0" xfId="0" applyFont="1" applyFill="1" applyBorder="1" applyAlignment="1">
      <alignment horizontal="center" vertical="top" wrapText="1"/>
    </xf>
    <xf numFmtId="2" fontId="17" fillId="0" borderId="0" xfId="0" applyNumberFormat="1" applyFont="1" applyFill="1"/>
    <xf numFmtId="0" fontId="17" fillId="0" borderId="0" xfId="0" applyFont="1" applyFill="1" applyBorder="1" applyAlignment="1">
      <alignment horizontal="left" wrapText="1"/>
    </xf>
    <xf numFmtId="0" fontId="16" fillId="0" borderId="0" xfId="0" applyFont="1" applyFill="1" applyAlignment="1">
      <alignment horizontal="center"/>
    </xf>
    <xf numFmtId="0" fontId="11" fillId="5" borderId="68" xfId="9" applyFont="1" applyFill="1" applyBorder="1" applyAlignment="1">
      <alignment horizontal="left"/>
    </xf>
    <xf numFmtId="0" fontId="28" fillId="5" borderId="68" xfId="0" applyFont="1" applyFill="1" applyBorder="1" applyAlignment="1">
      <alignment horizontal="left" wrapText="1"/>
    </xf>
    <xf numFmtId="0" fontId="17" fillId="5" borderId="68" xfId="0" applyFont="1" applyFill="1" applyBorder="1" applyAlignment="1">
      <alignment horizontal="center" vertical="top" wrapText="1"/>
    </xf>
    <xf numFmtId="0" fontId="17" fillId="5" borderId="45" xfId="0" applyFont="1" applyFill="1" applyBorder="1" applyAlignment="1">
      <alignment horizontal="center" vertical="center" wrapText="1"/>
    </xf>
    <xf numFmtId="2" fontId="17" fillId="5" borderId="22" xfId="0" applyNumberFormat="1" applyFont="1" applyFill="1" applyBorder="1" applyAlignment="1">
      <alignment horizontal="center" vertical="top" wrapText="1"/>
    </xf>
    <xf numFmtId="0" fontId="17" fillId="5" borderId="3" xfId="0" applyFont="1" applyFill="1" applyBorder="1" applyAlignment="1">
      <alignment horizontal="center" vertical="top" wrapText="1"/>
    </xf>
    <xf numFmtId="0" fontId="19" fillId="5" borderId="22" xfId="0" applyFont="1" applyFill="1" applyBorder="1" applyAlignment="1">
      <alignment horizontal="center" vertical="top" wrapText="1"/>
    </xf>
    <xf numFmtId="49" fontId="16" fillId="0" borderId="0" xfId="0" applyNumberFormat="1" applyFont="1" applyFill="1" applyBorder="1" applyAlignment="1">
      <alignment horizontal="left"/>
    </xf>
    <xf numFmtId="0" fontId="16" fillId="0" borderId="0" xfId="0" applyFont="1" applyFill="1" applyBorder="1" applyAlignment="1">
      <alignment horizontal="left"/>
    </xf>
    <xf numFmtId="0" fontId="16" fillId="0" borderId="0" xfId="0" applyFont="1" applyFill="1" applyBorder="1" applyAlignment="1">
      <alignment horizontal="center"/>
    </xf>
    <xf numFmtId="0" fontId="17" fillId="5" borderId="4" xfId="0" applyFont="1" applyFill="1" applyBorder="1" applyAlignment="1">
      <alignment horizontal="center" wrapText="1"/>
    </xf>
    <xf numFmtId="0" fontId="17" fillId="5" borderId="22" xfId="0" applyFont="1" applyFill="1" applyBorder="1" applyAlignment="1">
      <alignment horizontal="center" wrapText="1"/>
    </xf>
    <xf numFmtId="0" fontId="0" fillId="0" borderId="0" xfId="0" applyAlignment="1">
      <alignment vertical="center"/>
    </xf>
    <xf numFmtId="0" fontId="85" fillId="0" borderId="0" xfId="0" applyFont="1" applyBorder="1" applyAlignment="1" applyProtection="1">
      <alignment horizontal="center"/>
      <protection locked="0"/>
    </xf>
    <xf numFmtId="0" fontId="11" fillId="3" borderId="9" xfId="0" applyFont="1" applyFill="1" applyBorder="1" applyAlignment="1" applyProtection="1">
      <alignment horizontal="center"/>
      <protection locked="0"/>
    </xf>
    <xf numFmtId="0" fontId="11" fillId="0" borderId="0" xfId="0" applyFont="1"/>
    <xf numFmtId="169" fontId="11" fillId="0" borderId="22" xfId="0" applyNumberFormat="1" applyFont="1" applyBorder="1" applyAlignment="1" applyProtection="1">
      <alignment horizontal="center"/>
      <protection locked="0"/>
    </xf>
    <xf numFmtId="168" fontId="9" fillId="0" borderId="56" xfId="0" applyNumberFormat="1" applyFont="1" applyFill="1" applyBorder="1" applyAlignment="1" applyProtection="1">
      <protection locked="0"/>
    </xf>
    <xf numFmtId="168" fontId="9" fillId="0" borderId="44" xfId="0" applyNumberFormat="1" applyFont="1" applyFill="1" applyBorder="1" applyAlignment="1" applyProtection="1">
      <alignment horizontal="center"/>
      <protection locked="0"/>
    </xf>
    <xf numFmtId="2" fontId="11" fillId="12" borderId="35" xfId="0" applyNumberFormat="1" applyFont="1" applyFill="1" applyBorder="1" applyAlignment="1" applyProtection="1">
      <alignment horizontal="center"/>
    </xf>
    <xf numFmtId="0" fontId="9" fillId="12" borderId="7" xfId="0" applyFont="1" applyFill="1" applyBorder="1" applyAlignment="1" applyProtection="1">
      <alignment horizontal="center"/>
    </xf>
    <xf numFmtId="0" fontId="9" fillId="16" borderId="4" xfId="0" applyFont="1" applyFill="1" applyBorder="1" applyAlignment="1" applyProtection="1">
      <alignment horizontal="center"/>
      <protection locked="0"/>
    </xf>
    <xf numFmtId="0" fontId="9" fillId="0" borderId="73" xfId="0" applyFont="1" applyFill="1" applyBorder="1" applyAlignment="1" applyProtection="1">
      <alignment horizontal="center" vertical="center"/>
      <protection locked="0"/>
    </xf>
    <xf numFmtId="0" fontId="9" fillId="0" borderId="0" xfId="0" applyFont="1" applyFill="1" applyBorder="1" applyAlignment="1" applyProtection="1">
      <alignment horizontal="center"/>
    </xf>
    <xf numFmtId="2" fontId="9" fillId="0" borderId="23" xfId="0" applyNumberFormat="1" applyFont="1" applyFill="1" applyBorder="1" applyAlignment="1" applyProtection="1">
      <alignment horizontal="center"/>
      <protection locked="0"/>
    </xf>
    <xf numFmtId="168" fontId="9" fillId="0" borderId="55" xfId="0" applyNumberFormat="1" applyFont="1" applyFill="1" applyBorder="1" applyAlignment="1" applyProtection="1">
      <alignment horizontal="center"/>
      <protection locked="0"/>
    </xf>
    <xf numFmtId="168" fontId="9" fillId="0" borderId="49" xfId="0" applyNumberFormat="1" applyFont="1" applyFill="1" applyBorder="1" applyAlignment="1" applyProtection="1">
      <alignment horizontal="center"/>
      <protection locked="0"/>
    </xf>
    <xf numFmtId="0" fontId="9" fillId="0" borderId="0" xfId="0" applyFont="1" applyAlignment="1">
      <alignment horizontal="center" wrapText="1"/>
    </xf>
    <xf numFmtId="0" fontId="9" fillId="0" borderId="22" xfId="0" applyFont="1" applyBorder="1" applyAlignment="1">
      <alignment horizontal="left" vertical="top" wrapText="1"/>
    </xf>
    <xf numFmtId="0" fontId="9" fillId="0" borderId="22" xfId="0" applyFont="1" applyBorder="1" applyAlignment="1">
      <alignment vertical="center" wrapText="1"/>
    </xf>
    <xf numFmtId="0" fontId="17" fillId="0" borderId="22" xfId="0" applyFont="1" applyBorder="1" applyAlignment="1">
      <alignment horizontal="left" vertical="top" wrapText="1"/>
    </xf>
    <xf numFmtId="0" fontId="9" fillId="0" borderId="22" xfId="7" applyFont="1" applyBorder="1" applyAlignment="1">
      <alignment horizontal="left" vertical="top" wrapText="1" shrinkToFit="1"/>
    </xf>
    <xf numFmtId="0" fontId="9" fillId="0" borderId="22" xfId="0" applyFont="1" applyFill="1" applyBorder="1" applyAlignment="1">
      <alignment horizontal="left" vertical="top" wrapText="1"/>
    </xf>
    <xf numFmtId="0" fontId="9" fillId="3" borderId="22" xfId="0" applyFont="1" applyFill="1" applyBorder="1" applyAlignment="1" applyProtection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9" fillId="0" borderId="49" xfId="0" applyFont="1" applyBorder="1" applyAlignment="1">
      <alignment horizontal="left" vertical="top" wrapText="1"/>
    </xf>
    <xf numFmtId="0" fontId="9" fillId="3" borderId="0" xfId="0" applyFont="1" applyFill="1" applyBorder="1" applyAlignment="1" applyProtection="1">
      <alignment horizontal="left" vertical="top" wrapText="1"/>
    </xf>
    <xf numFmtId="0" fontId="9" fillId="0" borderId="70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9" fillId="0" borderId="22" xfId="7" applyFont="1" applyFill="1" applyBorder="1" applyAlignment="1">
      <alignment horizontal="left" vertical="top" wrapText="1"/>
    </xf>
    <xf numFmtId="0" fontId="9" fillId="0" borderId="22" xfId="0" applyFont="1" applyBorder="1" applyAlignment="1">
      <alignment horizontal="left" wrapText="1"/>
    </xf>
    <xf numFmtId="0" fontId="9" fillId="0" borderId="22" xfId="0" applyFont="1" applyBorder="1" applyAlignment="1">
      <alignment wrapText="1"/>
    </xf>
    <xf numFmtId="0" fontId="9" fillId="0" borderId="22" xfId="7" applyFont="1" applyFill="1" applyBorder="1" applyAlignment="1">
      <alignment horizontal="left" vertical="top" wrapText="1" shrinkToFit="1"/>
    </xf>
    <xf numFmtId="0" fontId="9" fillId="0" borderId="0" xfId="0" applyFont="1" applyAlignment="1">
      <alignment horizontal="left" vertical="center" wrapText="1"/>
    </xf>
    <xf numFmtId="0" fontId="9" fillId="0" borderId="22" xfId="0" applyFont="1" applyBorder="1" applyAlignment="1">
      <alignment horizontal="left" vertical="top" wrapText="1"/>
    </xf>
    <xf numFmtId="0" fontId="26" fillId="3" borderId="8" xfId="0" applyFont="1" applyFill="1" applyBorder="1" applyAlignment="1" applyProtection="1">
      <alignment horizontal="center" vertical="top" wrapText="1"/>
      <protection locked="0"/>
    </xf>
    <xf numFmtId="0" fontId="42" fillId="0" borderId="0" xfId="0" applyFont="1" applyBorder="1" applyAlignment="1">
      <alignment horizontal="center" vertical="center" wrapText="1"/>
    </xf>
    <xf numFmtId="0" fontId="37" fillId="0" borderId="0" xfId="0" applyFont="1" applyBorder="1"/>
    <xf numFmtId="0" fontId="37" fillId="0" borderId="0" xfId="0" applyFont="1" applyBorder="1" applyAlignment="1">
      <alignment horizontal="center" vertical="center" wrapText="1"/>
    </xf>
    <xf numFmtId="0" fontId="42" fillId="0" borderId="22" xfId="0" applyFont="1" applyBorder="1" applyAlignment="1">
      <alignment horizontal="center" vertical="center" wrapText="1"/>
    </xf>
    <xf numFmtId="0" fontId="12" fillId="3" borderId="39" xfId="0" applyFont="1" applyFill="1" applyBorder="1" applyAlignment="1" applyProtection="1">
      <alignment horizontal="center"/>
      <protection locked="0"/>
    </xf>
    <xf numFmtId="0" fontId="23" fillId="3" borderId="37" xfId="0" applyFont="1" applyFill="1" applyBorder="1" applyAlignment="1" applyProtection="1">
      <alignment horizontal="center" vertical="center" wrapText="1"/>
      <protection locked="0"/>
    </xf>
    <xf numFmtId="0" fontId="71" fillId="12" borderId="5" xfId="0" applyFont="1" applyFill="1" applyBorder="1" applyAlignment="1" applyProtection="1">
      <alignment horizontal="left"/>
      <protection locked="0"/>
    </xf>
    <xf numFmtId="0" fontId="99" fillId="0" borderId="0" xfId="0" applyFont="1" applyAlignment="1" applyProtection="1">
      <protection locked="0"/>
    </xf>
    <xf numFmtId="0" fontId="71" fillId="0" borderId="6" xfId="0" applyFont="1" applyBorder="1" applyAlignment="1" applyProtection="1">
      <protection locked="0"/>
    </xf>
    <xf numFmtId="0" fontId="99" fillId="0" borderId="5" xfId="0" applyFont="1" applyBorder="1" applyAlignment="1" applyProtection="1">
      <alignment horizontal="center"/>
      <protection locked="0"/>
    </xf>
    <xf numFmtId="0" fontId="26" fillId="3" borderId="9" xfId="0" applyFont="1" applyFill="1" applyBorder="1" applyAlignment="1" applyProtection="1">
      <alignment horizontal="center" vertical="top" wrapText="1"/>
      <protection locked="0"/>
    </xf>
    <xf numFmtId="0" fontId="26" fillId="3" borderId="8" xfId="0" applyFont="1" applyFill="1" applyBorder="1" applyAlignment="1" applyProtection="1">
      <alignment horizontal="center" vertical="center" wrapText="1"/>
      <protection locked="0"/>
    </xf>
    <xf numFmtId="0" fontId="26" fillId="3" borderId="9" xfId="0" applyFont="1" applyFill="1" applyBorder="1" applyAlignment="1" applyProtection="1">
      <alignment horizontal="center" vertical="center" wrapText="1"/>
      <protection locked="0"/>
    </xf>
    <xf numFmtId="0" fontId="99" fillId="3" borderId="7" xfId="0" applyFont="1" applyFill="1" applyBorder="1" applyAlignment="1" applyProtection="1">
      <alignment horizontal="center" vertical="center"/>
      <protection locked="0"/>
    </xf>
    <xf numFmtId="166" fontId="12" fillId="0" borderId="30" xfId="0" applyNumberFormat="1" applyFont="1" applyFill="1" applyBorder="1" applyAlignment="1" applyProtection="1">
      <alignment horizontal="center" vertical="center" wrapText="1"/>
      <protection locked="0"/>
    </xf>
    <xf numFmtId="0" fontId="11" fillId="0" borderId="30" xfId="0" applyFont="1" applyBorder="1" applyAlignment="1" applyProtection="1">
      <alignment horizontal="center" vertical="center"/>
      <protection locked="0"/>
    </xf>
    <xf numFmtId="169" fontId="9" fillId="0" borderId="43" xfId="0" applyNumberFormat="1" applyFont="1" applyBorder="1" applyAlignment="1" applyProtection="1">
      <alignment horizontal="center" vertical="top" wrapText="1"/>
      <protection locked="0"/>
    </xf>
    <xf numFmtId="0" fontId="15" fillId="3" borderId="30" xfId="0" applyFont="1" applyFill="1" applyBorder="1" applyAlignment="1" applyProtection="1">
      <alignment horizontal="center" vertical="top" wrapText="1"/>
      <protection locked="0"/>
    </xf>
    <xf numFmtId="0" fontId="9" fillId="3" borderId="60" xfId="0" applyFont="1" applyFill="1" applyBorder="1" applyAlignment="1" applyProtection="1">
      <alignment horizontal="center" vertical="center"/>
      <protection locked="0"/>
    </xf>
    <xf numFmtId="0" fontId="9" fillId="3" borderId="52" xfId="0" applyFont="1" applyFill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 applyProtection="1">
      <alignment horizontal="center" vertical="center"/>
      <protection locked="0"/>
    </xf>
    <xf numFmtId="0" fontId="28" fillId="3" borderId="39" xfId="0" applyFont="1" applyFill="1" applyBorder="1" applyAlignment="1" applyProtection="1">
      <alignment horizontal="center" vertical="center"/>
      <protection locked="0"/>
    </xf>
    <xf numFmtId="0" fontId="11" fillId="3" borderId="41" xfId="0" applyFont="1" applyFill="1" applyBorder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left"/>
      <protection locked="0"/>
    </xf>
    <xf numFmtId="0" fontId="11" fillId="0" borderId="0" xfId="0" applyFont="1" applyProtection="1">
      <protection locked="0"/>
    </xf>
    <xf numFmtId="0" fontId="9" fillId="0" borderId="5" xfId="0" applyFont="1" applyBorder="1" applyAlignment="1" applyProtection="1">
      <alignment horizontal="center" vertical="center"/>
      <protection locked="0"/>
    </xf>
    <xf numFmtId="0" fontId="11" fillId="0" borderId="0" xfId="0" applyFont="1" applyBorder="1" applyAlignment="1" applyProtection="1">
      <alignment vertical="top" wrapText="1"/>
      <protection locked="0"/>
    </xf>
    <xf numFmtId="0" fontId="9" fillId="0" borderId="0" xfId="0" applyFont="1" applyBorder="1" applyAlignment="1" applyProtection="1">
      <alignment horizontal="left"/>
      <protection locked="0"/>
    </xf>
    <xf numFmtId="0" fontId="11" fillId="3" borderId="5" xfId="0" applyFont="1" applyFill="1" applyBorder="1" applyAlignment="1" applyProtection="1">
      <alignment horizontal="center"/>
      <protection locked="0"/>
    </xf>
    <xf numFmtId="0" fontId="11" fillId="0" borderId="0" xfId="0" applyFont="1" applyBorder="1" applyAlignment="1" applyProtection="1">
      <alignment wrapText="1"/>
      <protection locked="0"/>
    </xf>
    <xf numFmtId="0" fontId="11" fillId="0" borderId="0" xfId="0" applyFont="1" applyBorder="1" applyAlignment="1" applyProtection="1">
      <alignment horizontal="center" vertical="top" wrapText="1"/>
      <protection locked="0"/>
    </xf>
    <xf numFmtId="0" fontId="9" fillId="0" borderId="0" xfId="0" applyFont="1" applyFill="1" applyBorder="1" applyAlignment="1" applyProtection="1">
      <protection locked="0"/>
    </xf>
    <xf numFmtId="0" fontId="9" fillId="0" borderId="8" xfId="0" applyFont="1" applyFill="1" applyBorder="1" applyAlignment="1" applyProtection="1">
      <alignment horizontal="center" vertical="center"/>
      <protection locked="0"/>
    </xf>
    <xf numFmtId="0" fontId="9" fillId="0" borderId="39" xfId="0" applyFont="1" applyFill="1" applyBorder="1" applyAlignment="1" applyProtection="1">
      <alignment horizontal="center" vertical="center"/>
      <protection locked="0"/>
    </xf>
    <xf numFmtId="0" fontId="9" fillId="0" borderId="11" xfId="0" applyFont="1" applyFill="1" applyBorder="1" applyAlignment="1" applyProtection="1">
      <alignment horizontal="center" vertical="center"/>
      <protection locked="0"/>
    </xf>
    <xf numFmtId="0" fontId="9" fillId="0" borderId="10" xfId="0" applyFont="1" applyFill="1" applyBorder="1" applyAlignment="1" applyProtection="1">
      <alignment horizontal="center" vertical="center"/>
      <protection locked="0"/>
    </xf>
    <xf numFmtId="0" fontId="9" fillId="0" borderId="12" xfId="0" applyFont="1" applyFill="1" applyBorder="1" applyAlignment="1" applyProtection="1">
      <alignment horizontal="center" vertical="center"/>
      <protection locked="0"/>
    </xf>
    <xf numFmtId="0" fontId="9" fillId="3" borderId="7" xfId="0" applyFont="1" applyFill="1" applyBorder="1" applyAlignment="1" applyProtection="1">
      <alignment horizontal="center" vertical="center"/>
      <protection locked="0"/>
    </xf>
    <xf numFmtId="0" fontId="9" fillId="3" borderId="9" xfId="0" applyFont="1" applyFill="1" applyBorder="1" applyAlignment="1" applyProtection="1">
      <alignment horizontal="center" vertical="center"/>
      <protection locked="0"/>
    </xf>
    <xf numFmtId="0" fontId="71" fillId="0" borderId="0" xfId="0" applyFont="1" applyAlignment="1" applyProtection="1">
      <protection locked="0"/>
    </xf>
    <xf numFmtId="0" fontId="31" fillId="3" borderId="7" xfId="0" applyFont="1" applyFill="1" applyBorder="1" applyAlignment="1" applyProtection="1">
      <alignment horizontal="center" vertical="center" wrapText="1"/>
      <protection locked="0"/>
    </xf>
    <xf numFmtId="0" fontId="11" fillId="3" borderId="36" xfId="0" applyFont="1" applyFill="1" applyBorder="1" applyAlignment="1" applyProtection="1">
      <alignment horizontal="center"/>
      <protection locked="0"/>
    </xf>
    <xf numFmtId="0" fontId="11" fillId="3" borderId="8" xfId="0" applyFont="1" applyFill="1" applyBorder="1" applyAlignment="1" applyProtection="1">
      <alignment horizontal="center"/>
      <protection locked="0"/>
    </xf>
    <xf numFmtId="0" fontId="11" fillId="0" borderId="36" xfId="0" applyFont="1" applyBorder="1" applyAlignment="1" applyProtection="1">
      <alignment horizontal="center"/>
      <protection locked="0"/>
    </xf>
    <xf numFmtId="0" fontId="11" fillId="0" borderId="8" xfId="0" applyFont="1" applyBorder="1" applyAlignment="1" applyProtection="1">
      <alignment horizontal="center"/>
      <protection locked="0"/>
    </xf>
    <xf numFmtId="20" fontId="9" fillId="0" borderId="33" xfId="0" applyNumberFormat="1" applyFont="1" applyBorder="1" applyAlignment="1" applyProtection="1">
      <alignment horizontal="center"/>
      <protection locked="0"/>
    </xf>
    <xf numFmtId="1" fontId="11" fillId="12" borderId="40" xfId="0" applyNumberFormat="1" applyFont="1" applyFill="1" applyBorder="1" applyAlignment="1" applyProtection="1">
      <alignment horizontal="right"/>
    </xf>
    <xf numFmtId="0" fontId="11" fillId="3" borderId="23" xfId="0" applyFont="1" applyFill="1" applyBorder="1" applyAlignment="1" applyProtection="1">
      <alignment horizontal="center"/>
      <protection locked="0"/>
    </xf>
    <xf numFmtId="0" fontId="12" fillId="3" borderId="26" xfId="0" applyFont="1" applyFill="1" applyBorder="1" applyAlignment="1" applyProtection="1">
      <alignment horizontal="center" vertical="center"/>
      <protection locked="0"/>
    </xf>
    <xf numFmtId="0" fontId="11" fillId="0" borderId="7" xfId="0" applyFont="1" applyFill="1" applyBorder="1" applyAlignment="1" applyProtection="1">
      <alignment horizontal="center"/>
      <protection locked="0"/>
    </xf>
    <xf numFmtId="0" fontId="11" fillId="0" borderId="8" xfId="0" applyFont="1" applyFill="1" applyBorder="1" applyAlignment="1" applyProtection="1">
      <alignment horizontal="center"/>
      <protection locked="0"/>
    </xf>
    <xf numFmtId="0" fontId="11" fillId="0" borderId="9" xfId="0" applyFont="1" applyFill="1" applyBorder="1" applyAlignment="1" applyProtection="1">
      <alignment horizontal="center"/>
      <protection locked="0"/>
    </xf>
    <xf numFmtId="0" fontId="11" fillId="3" borderId="20" xfId="0" applyFont="1" applyFill="1" applyBorder="1" applyAlignment="1" applyProtection="1">
      <alignment horizontal="center"/>
      <protection locked="0"/>
    </xf>
    <xf numFmtId="0" fontId="11" fillId="3" borderId="35" xfId="0" applyFont="1" applyFill="1" applyBorder="1" applyAlignment="1" applyProtection="1">
      <protection locked="0"/>
    </xf>
    <xf numFmtId="166" fontId="11" fillId="12" borderId="21" xfId="0" applyNumberFormat="1" applyFont="1" applyFill="1" applyBorder="1" applyProtection="1"/>
    <xf numFmtId="166" fontId="11" fillId="12" borderId="17" xfId="0" applyNumberFormat="1" applyFont="1" applyFill="1" applyBorder="1" applyProtection="1"/>
    <xf numFmtId="0" fontId="11" fillId="3" borderId="25" xfId="0" applyFont="1" applyFill="1" applyBorder="1" applyAlignment="1" applyProtection="1">
      <protection locked="0"/>
    </xf>
    <xf numFmtId="0" fontId="11" fillId="3" borderId="48" xfId="0" applyFont="1" applyFill="1" applyBorder="1" applyAlignment="1" applyProtection="1">
      <alignment horizontal="center"/>
      <protection locked="0"/>
    </xf>
    <xf numFmtId="0" fontId="11" fillId="3" borderId="25" xfId="0" applyFont="1" applyFill="1" applyBorder="1" applyProtection="1">
      <protection locked="0"/>
    </xf>
    <xf numFmtId="0" fontId="11" fillId="0" borderId="37" xfId="0" applyFont="1" applyFill="1" applyBorder="1" applyAlignment="1" applyProtection="1">
      <alignment horizontal="center"/>
      <protection locked="0"/>
    </xf>
    <xf numFmtId="166" fontId="11" fillId="3" borderId="63" xfId="0" applyNumberFormat="1" applyFont="1" applyFill="1" applyBorder="1" applyProtection="1">
      <protection locked="0"/>
    </xf>
    <xf numFmtId="166" fontId="11" fillId="12" borderId="43" xfId="0" applyNumberFormat="1" applyFont="1" applyFill="1" applyBorder="1" applyProtection="1"/>
    <xf numFmtId="0" fontId="11" fillId="0" borderId="35" xfId="0" applyFont="1" applyBorder="1" applyAlignment="1">
      <alignment horizontal="center"/>
    </xf>
    <xf numFmtId="0" fontId="11" fillId="0" borderId="9" xfId="0" applyFont="1" applyBorder="1" applyAlignment="1" applyProtection="1">
      <alignment horizontal="center"/>
      <protection locked="0"/>
    </xf>
    <xf numFmtId="0" fontId="11" fillId="3" borderId="25" xfId="0" applyFont="1" applyFill="1" applyBorder="1" applyAlignment="1" applyProtection="1">
      <alignment horizontal="center"/>
      <protection locked="0"/>
    </xf>
    <xf numFmtId="166" fontId="9" fillId="12" borderId="20" xfId="0" applyNumberFormat="1" applyFont="1" applyFill="1" applyBorder="1" applyProtection="1"/>
    <xf numFmtId="166" fontId="9" fillId="12" borderId="16" xfId="0" applyNumberFormat="1" applyFont="1" applyFill="1" applyBorder="1" applyProtection="1"/>
    <xf numFmtId="0" fontId="9" fillId="12" borderId="22" xfId="0" applyFont="1" applyFill="1" applyBorder="1" applyProtection="1"/>
    <xf numFmtId="0" fontId="11" fillId="3" borderId="53" xfId="0" applyFont="1" applyFill="1" applyBorder="1" applyAlignment="1" applyProtection="1">
      <alignment horizontal="center"/>
      <protection locked="0"/>
    </xf>
    <xf numFmtId="0" fontId="11" fillId="3" borderId="58" xfId="0" applyFont="1" applyFill="1" applyBorder="1" applyAlignment="1" applyProtection="1">
      <alignment horizontal="center"/>
      <protection locked="0"/>
    </xf>
    <xf numFmtId="0" fontId="11" fillId="3" borderId="6" xfId="0" applyFont="1" applyFill="1" applyBorder="1" applyAlignment="1" applyProtection="1">
      <alignment horizontal="center"/>
      <protection locked="0"/>
    </xf>
    <xf numFmtId="0" fontId="9" fillId="0" borderId="75" xfId="0" applyFont="1" applyBorder="1" applyAlignment="1" applyProtection="1">
      <alignment horizontal="center"/>
      <protection locked="0"/>
    </xf>
    <xf numFmtId="166" fontId="11" fillId="12" borderId="63" xfId="0" applyNumberFormat="1" applyFont="1" applyFill="1" applyBorder="1" applyAlignment="1" applyProtection="1">
      <alignment horizontal="center"/>
    </xf>
    <xf numFmtId="0" fontId="11" fillId="3" borderId="43" xfId="0" applyFont="1" applyFill="1" applyBorder="1" applyAlignment="1" applyProtection="1">
      <alignment horizontal="center"/>
    </xf>
    <xf numFmtId="0" fontId="11" fillId="3" borderId="63" xfId="0" applyFont="1" applyFill="1" applyBorder="1" applyAlignment="1" applyProtection="1">
      <alignment horizontal="center"/>
    </xf>
    <xf numFmtId="0" fontId="9" fillId="0" borderId="33" xfId="0" applyFont="1" applyBorder="1" applyProtection="1">
      <protection locked="0"/>
    </xf>
    <xf numFmtId="0" fontId="9" fillId="0" borderId="34" xfId="0" applyFont="1" applyBorder="1" applyProtection="1">
      <protection locked="0"/>
    </xf>
    <xf numFmtId="166" fontId="11" fillId="3" borderId="0" xfId="0" applyNumberFormat="1" applyFont="1" applyFill="1" applyBorder="1" applyAlignment="1" applyProtection="1">
      <alignment horizontal="right"/>
      <protection locked="0"/>
    </xf>
    <xf numFmtId="0" fontId="23" fillId="3" borderId="41" xfId="0" applyFont="1" applyFill="1" applyBorder="1" applyAlignment="1" applyProtection="1">
      <alignment horizontal="center"/>
      <protection locked="0"/>
    </xf>
    <xf numFmtId="2" fontId="30" fillId="0" borderId="16" xfId="0" applyNumberFormat="1" applyFont="1" applyBorder="1" applyAlignment="1" applyProtection="1">
      <alignment horizontal="center"/>
      <protection locked="0"/>
    </xf>
    <xf numFmtId="166" fontId="30" fillId="0" borderId="54" xfId="0" applyNumberFormat="1" applyFont="1" applyBorder="1" applyAlignment="1" applyProtection="1">
      <alignment horizontal="center"/>
      <protection locked="0"/>
    </xf>
    <xf numFmtId="0" fontId="30" fillId="2" borderId="0" xfId="0" applyFont="1" applyFill="1" applyProtection="1">
      <protection locked="0"/>
    </xf>
    <xf numFmtId="0" fontId="30" fillId="0" borderId="0" xfId="0" applyFont="1" applyFill="1" applyProtection="1">
      <protection locked="0"/>
    </xf>
    <xf numFmtId="0" fontId="99" fillId="0" borderId="0" xfId="0" applyFont="1" applyBorder="1" applyAlignment="1" applyProtection="1">
      <protection locked="0"/>
    </xf>
    <xf numFmtId="0" fontId="11" fillId="3" borderId="10" xfId="0" applyFont="1" applyFill="1" applyBorder="1" applyAlignment="1" applyProtection="1">
      <alignment horizontal="center" vertical="center"/>
      <protection locked="0"/>
    </xf>
    <xf numFmtId="0" fontId="31" fillId="3" borderId="11" xfId="0" applyFont="1" applyFill="1" applyBorder="1" applyAlignment="1" applyProtection="1">
      <alignment horizontal="center" vertical="center" wrapText="1"/>
      <protection locked="0"/>
    </xf>
    <xf numFmtId="0" fontId="15" fillId="3" borderId="5" xfId="0" applyFont="1" applyFill="1" applyBorder="1" applyAlignment="1" applyProtection="1">
      <alignment horizontal="center" vertical="top" wrapText="1"/>
      <protection locked="0"/>
    </xf>
    <xf numFmtId="0" fontId="9" fillId="3" borderId="0" xfId="0" applyFont="1" applyFill="1" applyBorder="1" applyProtection="1">
      <protection locked="0"/>
    </xf>
    <xf numFmtId="0" fontId="11" fillId="0" borderId="0" xfId="0" applyFont="1" applyAlignment="1" applyProtection="1">
      <alignment horizontal="right"/>
      <protection locked="0"/>
    </xf>
    <xf numFmtId="1" fontId="11" fillId="12" borderId="43" xfId="0" applyNumberFormat="1" applyFont="1" applyFill="1" applyBorder="1" applyAlignment="1" applyProtection="1">
      <alignment horizontal="center"/>
      <protection locked="0"/>
    </xf>
    <xf numFmtId="0" fontId="35" fillId="0" borderId="0" xfId="0" applyFont="1" applyBorder="1" applyAlignment="1">
      <alignment vertical="center"/>
    </xf>
    <xf numFmtId="0" fontId="0" fillId="0" borderId="0" xfId="0" applyBorder="1" applyAlignment="1"/>
    <xf numFmtId="166" fontId="9" fillId="0" borderId="60" xfId="0" applyNumberFormat="1" applyFont="1" applyFill="1" applyBorder="1" applyAlignment="1" applyProtection="1">
      <alignment horizontal="center"/>
      <protection locked="0"/>
    </xf>
    <xf numFmtId="0" fontId="9" fillId="0" borderId="0" xfId="0" applyFont="1" applyAlignment="1" applyProtection="1">
      <alignment horizontal="center"/>
      <protection locked="0"/>
    </xf>
    <xf numFmtId="0" fontId="9" fillId="0" borderId="57" xfId="0" applyFont="1" applyBorder="1" applyAlignment="1" applyProtection="1">
      <alignment horizontal="center" vertical="center"/>
      <protection locked="0"/>
    </xf>
    <xf numFmtId="0" fontId="12" fillId="0" borderId="18" xfId="0" applyFont="1" applyFill="1" applyBorder="1" applyAlignment="1" applyProtection="1">
      <alignment horizontal="center"/>
    </xf>
    <xf numFmtId="0" fontId="17" fillId="0" borderId="0" xfId="0" applyFont="1" applyBorder="1" applyAlignment="1" applyProtection="1">
      <alignment horizontal="center" vertical="center" wrapText="1"/>
      <protection locked="0"/>
    </xf>
    <xf numFmtId="0" fontId="9" fillId="0" borderId="0" xfId="0" applyFont="1" applyAlignment="1" applyProtection="1">
      <alignment horizontal="left"/>
      <protection locked="0"/>
    </xf>
    <xf numFmtId="0" fontId="15" fillId="0" borderId="69" xfId="0" applyFont="1" applyBorder="1" applyAlignment="1" applyProtection="1">
      <alignment horizontal="center"/>
      <protection locked="0"/>
    </xf>
    <xf numFmtId="0" fontId="15" fillId="0" borderId="22" xfId="0" applyFont="1" applyBorder="1" applyAlignment="1" applyProtection="1">
      <alignment horizontal="center"/>
      <protection locked="0"/>
    </xf>
    <xf numFmtId="0" fontId="9" fillId="0" borderId="73" xfId="0" applyFont="1" applyBorder="1" applyAlignment="1" applyProtection="1">
      <alignment horizontal="center"/>
      <protection locked="0"/>
    </xf>
    <xf numFmtId="0" fontId="104" fillId="3" borderId="22" xfId="0" applyFont="1" applyFill="1" applyBorder="1" applyAlignment="1" applyProtection="1">
      <alignment horizontal="left"/>
      <protection locked="0"/>
    </xf>
    <xf numFmtId="0" fontId="15" fillId="0" borderId="20" xfId="0" applyFont="1" applyBorder="1" applyAlignment="1" applyProtection="1">
      <alignment horizontal="center"/>
      <protection locked="0"/>
    </xf>
    <xf numFmtId="0" fontId="15" fillId="0" borderId="16" xfId="0" applyFont="1" applyBorder="1" applyAlignment="1" applyProtection="1">
      <alignment horizontal="center"/>
      <protection locked="0"/>
    </xf>
    <xf numFmtId="0" fontId="15" fillId="0" borderId="54" xfId="0" applyFont="1" applyBorder="1" applyAlignment="1" applyProtection="1">
      <alignment horizontal="center"/>
      <protection locked="0"/>
    </xf>
    <xf numFmtId="0" fontId="15" fillId="0" borderId="67" xfId="0" applyFont="1" applyBorder="1" applyAlignment="1" applyProtection="1">
      <alignment horizontal="center"/>
      <protection locked="0"/>
    </xf>
    <xf numFmtId="166" fontId="15" fillId="0" borderId="25" xfId="0" applyNumberFormat="1" applyFont="1" applyBorder="1" applyProtection="1"/>
    <xf numFmtId="166" fontId="15" fillId="0" borderId="22" xfId="0" applyNumberFormat="1" applyFont="1" applyBorder="1" applyProtection="1"/>
    <xf numFmtId="166" fontId="15" fillId="0" borderId="48" xfId="0" applyNumberFormat="1" applyFont="1" applyBorder="1" applyProtection="1"/>
    <xf numFmtId="166" fontId="15" fillId="0" borderId="44" xfId="0" applyNumberFormat="1" applyFont="1" applyBorder="1" applyProtection="1"/>
    <xf numFmtId="166" fontId="15" fillId="0" borderId="27" xfId="0" applyNumberFormat="1" applyFont="1" applyBorder="1" applyProtection="1"/>
    <xf numFmtId="166" fontId="15" fillId="0" borderId="28" xfId="0" applyNumberFormat="1" applyFont="1" applyBorder="1" applyProtection="1"/>
    <xf numFmtId="0" fontId="15" fillId="0" borderId="28" xfId="0" applyFont="1" applyBorder="1" applyProtection="1"/>
    <xf numFmtId="0" fontId="11" fillId="3" borderId="30" xfId="0" applyFont="1" applyFill="1" applyBorder="1" applyAlignment="1" applyProtection="1">
      <alignment horizontal="left"/>
      <protection locked="0"/>
    </xf>
    <xf numFmtId="166" fontId="9" fillId="0" borderId="0" xfId="0" applyNumberFormat="1" applyFont="1" applyAlignment="1" applyProtection="1">
      <alignment horizontal="center"/>
    </xf>
    <xf numFmtId="0" fontId="11" fillId="3" borderId="47" xfId="0" applyFont="1" applyFill="1" applyBorder="1" applyAlignment="1" applyProtection="1">
      <alignment horizontal="left" vertical="center"/>
      <protection locked="0"/>
    </xf>
    <xf numFmtId="0" fontId="11" fillId="3" borderId="26" xfId="0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locked="0"/>
    </xf>
    <xf numFmtId="0" fontId="9" fillId="3" borderId="26" xfId="0" applyFont="1" applyFill="1" applyBorder="1" applyAlignment="1" applyProtection="1">
      <alignment horizontal="center"/>
      <protection locked="0"/>
    </xf>
    <xf numFmtId="0" fontId="30" fillId="0" borderId="0" xfId="0" applyFont="1" applyAlignment="1" applyProtection="1">
      <alignment horizontal="center"/>
      <protection locked="0"/>
    </xf>
    <xf numFmtId="166" fontId="30" fillId="0" borderId="0" xfId="0" applyNumberFormat="1" applyFont="1" applyAlignment="1" applyProtection="1">
      <alignment horizontal="center"/>
    </xf>
    <xf numFmtId="0" fontId="107" fillId="0" borderId="0" xfId="0" applyFont="1" applyAlignment="1" applyProtection="1">
      <alignment horizontal="left"/>
      <protection locked="0"/>
    </xf>
    <xf numFmtId="0" fontId="11" fillId="3" borderId="51" xfId="0" applyFont="1" applyFill="1" applyBorder="1" applyAlignment="1" applyProtection="1">
      <alignment horizontal="left"/>
      <protection locked="0"/>
    </xf>
    <xf numFmtId="0" fontId="11" fillId="3" borderId="61" xfId="0" applyFont="1" applyFill="1" applyBorder="1" applyAlignment="1" applyProtection="1">
      <alignment horizontal="center"/>
      <protection locked="0"/>
    </xf>
    <xf numFmtId="166" fontId="9" fillId="0" borderId="0" xfId="0" applyNumberFormat="1" applyFont="1" applyAlignment="1" applyProtection="1">
      <alignment horizontal="center" vertical="center"/>
      <protection locked="0"/>
    </xf>
    <xf numFmtId="0" fontId="9" fillId="9" borderId="5" xfId="7" applyFont="1" applyFill="1" applyBorder="1" applyProtection="1"/>
    <xf numFmtId="0" fontId="9" fillId="7" borderId="5" xfId="7" applyFont="1" applyFill="1" applyBorder="1" applyProtection="1"/>
    <xf numFmtId="0" fontId="15" fillId="0" borderId="0" xfId="7" applyFont="1" applyProtection="1"/>
    <xf numFmtId="0" fontId="108" fillId="3" borderId="0" xfId="0" applyFont="1" applyFill="1" applyBorder="1" applyProtection="1"/>
    <xf numFmtId="166" fontId="15" fillId="0" borderId="0" xfId="7" applyNumberFormat="1" applyFont="1" applyBorder="1" applyProtection="1"/>
    <xf numFmtId="166" fontId="15" fillId="0" borderId="0" xfId="7" applyNumberFormat="1" applyFont="1" applyBorder="1" applyProtection="1">
      <protection locked="0"/>
    </xf>
    <xf numFmtId="0" fontId="108" fillId="3" borderId="0" xfId="0" applyFont="1" applyFill="1" applyBorder="1" applyProtection="1">
      <protection locked="0"/>
    </xf>
    <xf numFmtId="0" fontId="109" fillId="3" borderId="0" xfId="0" applyFont="1" applyFill="1" applyBorder="1" applyProtection="1">
      <protection locked="0"/>
    </xf>
    <xf numFmtId="0" fontId="108" fillId="3" borderId="0" xfId="0" applyFont="1" applyFill="1" applyBorder="1" applyAlignment="1" applyProtection="1">
      <protection locked="0"/>
    </xf>
    <xf numFmtId="0" fontId="41" fillId="0" borderId="0" xfId="0" applyFont="1" applyBorder="1" applyAlignment="1">
      <alignment vertical="center" wrapText="1"/>
    </xf>
    <xf numFmtId="0" fontId="17" fillId="0" borderId="0" xfId="0" applyFont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wrapText="1"/>
      <protection locked="0"/>
    </xf>
    <xf numFmtId="0" fontId="17" fillId="0" borderId="0" xfId="0" applyFont="1" applyAlignment="1" applyProtection="1">
      <alignment wrapText="1"/>
    </xf>
    <xf numFmtId="0" fontId="15" fillId="0" borderId="0" xfId="0" applyFont="1" applyBorder="1" applyProtection="1"/>
    <xf numFmtId="0" fontId="15" fillId="0" borderId="22" xfId="0" applyFont="1" applyBorder="1" applyAlignment="1" applyProtection="1">
      <alignment horizontal="center" vertical="center"/>
    </xf>
    <xf numFmtId="0" fontId="17" fillId="0" borderId="0" xfId="0" applyFont="1" applyBorder="1" applyAlignment="1" applyProtection="1">
      <alignment wrapText="1"/>
      <protection locked="0"/>
    </xf>
    <xf numFmtId="0" fontId="17" fillId="0" borderId="22" xfId="0" applyFont="1" applyBorder="1" applyAlignment="1" applyProtection="1">
      <alignment horizontal="center" vertical="center" wrapText="1"/>
    </xf>
    <xf numFmtId="0" fontId="9" fillId="0" borderId="0" xfId="0" applyFont="1" applyBorder="1" applyAlignment="1" applyProtection="1">
      <alignment wrapText="1"/>
      <protection locked="0"/>
    </xf>
    <xf numFmtId="0" fontId="28" fillId="0" borderId="30" xfId="0" applyFont="1" applyBorder="1" applyAlignment="1" applyProtection="1">
      <alignment horizontal="center" vertical="center" wrapText="1"/>
      <protection locked="0"/>
    </xf>
    <xf numFmtId="0" fontId="111" fillId="18" borderId="22" xfId="0" applyFont="1" applyFill="1" applyBorder="1" applyProtection="1"/>
    <xf numFmtId="0" fontId="28" fillId="0" borderId="39" xfId="0" applyFont="1" applyBorder="1" applyAlignment="1" applyProtection="1">
      <protection locked="0"/>
    </xf>
    <xf numFmtId="0" fontId="28" fillId="0" borderId="18" xfId="0" applyFont="1" applyBorder="1" applyAlignment="1" applyProtection="1">
      <protection locked="0"/>
    </xf>
    <xf numFmtId="0" fontId="12" fillId="0" borderId="21" xfId="0" applyFont="1" applyBorder="1" applyAlignment="1" applyProtection="1">
      <alignment vertical="center" wrapText="1"/>
      <protection locked="0"/>
    </xf>
    <xf numFmtId="0" fontId="12" fillId="0" borderId="68" xfId="0" applyFont="1" applyBorder="1" applyAlignment="1" applyProtection="1">
      <alignment vertical="center" wrapText="1"/>
      <protection locked="0"/>
    </xf>
    <xf numFmtId="0" fontId="9" fillId="0" borderId="69" xfId="0" applyFont="1" applyFill="1" applyBorder="1" applyAlignment="1" applyProtection="1">
      <alignment horizontal="center"/>
      <protection locked="0"/>
    </xf>
    <xf numFmtId="2" fontId="9" fillId="0" borderId="23" xfId="0" applyNumberFormat="1" applyFont="1" applyBorder="1" applyAlignment="1" applyProtection="1">
      <alignment horizontal="center"/>
      <protection locked="0"/>
    </xf>
    <xf numFmtId="0" fontId="28" fillId="0" borderId="58" xfId="0" applyFont="1" applyBorder="1" applyAlignment="1" applyProtection="1">
      <protection locked="0"/>
    </xf>
    <xf numFmtId="0" fontId="9" fillId="0" borderId="45" xfId="0" applyFont="1" applyFill="1" applyBorder="1" applyAlignment="1" applyProtection="1">
      <alignment horizontal="center"/>
      <protection locked="0"/>
    </xf>
    <xf numFmtId="2" fontId="9" fillId="0" borderId="62" xfId="0" applyNumberFormat="1" applyFont="1" applyBorder="1" applyAlignment="1" applyProtection="1">
      <alignment horizontal="center"/>
      <protection locked="0"/>
    </xf>
    <xf numFmtId="2" fontId="9" fillId="0" borderId="69" xfId="0" applyNumberFormat="1" applyFont="1" applyBorder="1" applyAlignment="1" applyProtection="1">
      <alignment horizontal="center"/>
      <protection locked="0"/>
    </xf>
    <xf numFmtId="2" fontId="9" fillId="0" borderId="1" xfId="0" applyNumberFormat="1" applyFont="1" applyBorder="1" applyAlignment="1" applyProtection="1">
      <alignment horizontal="center"/>
      <protection locked="0"/>
    </xf>
    <xf numFmtId="2" fontId="9" fillId="3" borderId="26" xfId="0" applyNumberFormat="1" applyFont="1" applyFill="1" applyBorder="1" applyAlignment="1" applyProtection="1">
      <alignment horizontal="center"/>
      <protection locked="0"/>
    </xf>
    <xf numFmtId="2" fontId="9" fillId="0" borderId="40" xfId="0" applyNumberFormat="1" applyFont="1" applyBorder="1" applyAlignment="1" applyProtection="1">
      <alignment horizontal="center"/>
      <protection locked="0"/>
    </xf>
    <xf numFmtId="166" fontId="9" fillId="0" borderId="20" xfId="0" applyNumberFormat="1" applyFont="1" applyBorder="1" applyAlignment="1" applyProtection="1">
      <alignment horizontal="center" vertical="center"/>
      <protection locked="0"/>
    </xf>
    <xf numFmtId="166" fontId="11" fillId="0" borderId="25" xfId="0" applyNumberFormat="1" applyFont="1" applyBorder="1" applyAlignment="1" applyProtection="1">
      <alignment horizontal="center" vertical="center"/>
      <protection locked="0"/>
    </xf>
    <xf numFmtId="166" fontId="9" fillId="0" borderId="27" xfId="0" applyNumberFormat="1" applyFont="1" applyBorder="1" applyAlignment="1" applyProtection="1">
      <alignment horizontal="center" vertical="center"/>
      <protection locked="0"/>
    </xf>
    <xf numFmtId="2" fontId="9" fillId="3" borderId="54" xfId="0" applyNumberFormat="1" applyFont="1" applyFill="1" applyBorder="1" applyAlignment="1" applyProtection="1">
      <alignment horizontal="center" vertical="center" wrapText="1"/>
      <protection locked="0"/>
    </xf>
    <xf numFmtId="2" fontId="9" fillId="3" borderId="48" xfId="0" applyNumberFormat="1" applyFont="1" applyFill="1" applyBorder="1" applyAlignment="1" applyProtection="1">
      <alignment horizontal="center" vertical="center" wrapText="1"/>
      <protection locked="0"/>
    </xf>
    <xf numFmtId="2" fontId="9" fillId="3" borderId="42" xfId="0" applyNumberFormat="1" applyFont="1" applyFill="1" applyBorder="1" applyAlignment="1" applyProtection="1">
      <alignment horizontal="center" vertical="center" wrapText="1"/>
      <protection locked="0"/>
    </xf>
    <xf numFmtId="166" fontId="11" fillId="13" borderId="7" xfId="0" applyNumberFormat="1" applyFont="1" applyFill="1" applyBorder="1" applyAlignment="1" applyProtection="1">
      <alignment horizontal="center" vertical="center"/>
      <protection locked="0"/>
    </xf>
    <xf numFmtId="2" fontId="11" fillId="13" borderId="9" xfId="0" applyNumberFormat="1" applyFont="1" applyFill="1" applyBorder="1" applyAlignment="1" applyProtection="1">
      <alignment horizontal="center" vertical="center"/>
      <protection locked="0"/>
    </xf>
    <xf numFmtId="2" fontId="11" fillId="13" borderId="37" xfId="0" applyNumberFormat="1" applyFont="1" applyFill="1" applyBorder="1" applyAlignment="1" applyProtection="1">
      <alignment horizontal="center"/>
      <protection locked="0"/>
    </xf>
    <xf numFmtId="2" fontId="11" fillId="13" borderId="37" xfId="0" applyNumberFormat="1" applyFont="1" applyFill="1" applyBorder="1" applyAlignment="1" applyProtection="1">
      <alignment horizontal="center" vertical="center"/>
      <protection locked="0"/>
    </xf>
    <xf numFmtId="0" fontId="85" fillId="0" borderId="0" xfId="0" applyFont="1" applyBorder="1" applyAlignment="1" applyProtection="1">
      <protection locked="0"/>
    </xf>
    <xf numFmtId="0" fontId="9" fillId="0" borderId="0" xfId="0" applyFont="1" applyAlignment="1"/>
    <xf numFmtId="0" fontId="11" fillId="0" borderId="0" xfId="0" applyFont="1" applyAlignment="1"/>
    <xf numFmtId="169" fontId="9" fillId="3" borderId="22" xfId="0" applyNumberFormat="1" applyFont="1" applyFill="1" applyBorder="1" applyAlignment="1" applyProtection="1">
      <alignment horizontal="center"/>
      <protection locked="0"/>
    </xf>
    <xf numFmtId="0" fontId="11" fillId="3" borderId="22" xfId="0" applyFont="1" applyFill="1" applyBorder="1" applyAlignment="1" applyProtection="1">
      <alignment horizontal="center"/>
      <protection locked="0"/>
    </xf>
    <xf numFmtId="16" fontId="11" fillId="3" borderId="22" xfId="0" applyNumberFormat="1" applyFont="1" applyFill="1" applyBorder="1" applyAlignment="1" applyProtection="1">
      <alignment horizontal="center"/>
      <protection locked="0"/>
    </xf>
    <xf numFmtId="0" fontId="9" fillId="0" borderId="7" xfId="0" applyFont="1" applyBorder="1"/>
    <xf numFmtId="0" fontId="11" fillId="12" borderId="36" xfId="0" applyFont="1" applyFill="1" applyBorder="1" applyAlignment="1" applyProtection="1">
      <alignment horizontal="center"/>
    </xf>
    <xf numFmtId="0" fontId="11" fillId="12" borderId="35" xfId="0" applyFont="1" applyFill="1" applyBorder="1" applyAlignment="1" applyProtection="1">
      <alignment horizontal="center"/>
    </xf>
    <xf numFmtId="169" fontId="11" fillId="3" borderId="22" xfId="0" applyNumberFormat="1" applyFont="1" applyFill="1" applyBorder="1" applyAlignment="1" applyProtection="1">
      <alignment horizontal="center"/>
      <protection locked="0"/>
    </xf>
    <xf numFmtId="169" fontId="11" fillId="0" borderId="52" xfId="0" applyNumberFormat="1" applyFont="1" applyBorder="1" applyAlignment="1" applyProtection="1">
      <alignment horizontal="center"/>
      <protection locked="0"/>
    </xf>
    <xf numFmtId="166" fontId="9" fillId="0" borderId="52" xfId="0" applyNumberFormat="1" applyFont="1" applyBorder="1" applyAlignment="1" applyProtection="1">
      <alignment horizontal="center"/>
      <protection locked="0"/>
    </xf>
    <xf numFmtId="0" fontId="11" fillId="12" borderId="8" xfId="0" applyFont="1" applyFill="1" applyBorder="1" applyAlignment="1" applyProtection="1">
      <alignment horizontal="center"/>
    </xf>
    <xf numFmtId="0" fontId="50" fillId="5" borderId="22" xfId="0" applyFont="1" applyFill="1" applyBorder="1" applyAlignment="1">
      <alignment horizontal="center" vertical="top" wrapText="1"/>
    </xf>
    <xf numFmtId="0" fontId="9" fillId="0" borderId="22" xfId="0" applyFont="1" applyBorder="1" applyAlignment="1">
      <alignment horizontal="center" vertical="center" wrapText="1"/>
    </xf>
    <xf numFmtId="1" fontId="9" fillId="0" borderId="64" xfId="0" applyNumberFormat="1" applyFont="1" applyBorder="1" applyAlignment="1" applyProtection="1">
      <alignment horizontal="center"/>
      <protection locked="0"/>
    </xf>
    <xf numFmtId="1" fontId="9" fillId="0" borderId="1" xfId="0" applyNumberFormat="1" applyFont="1" applyBorder="1" applyAlignment="1" applyProtection="1">
      <alignment horizontal="center"/>
      <protection locked="0"/>
    </xf>
    <xf numFmtId="0" fontId="9" fillId="12" borderId="40" xfId="0" applyFont="1" applyFill="1" applyBorder="1" applyAlignment="1" applyProtection="1">
      <alignment horizontal="center"/>
    </xf>
    <xf numFmtId="2" fontId="11" fillId="12" borderId="75" xfId="0" applyNumberFormat="1" applyFont="1" applyFill="1" applyBorder="1" applyAlignment="1" applyProtection="1">
      <alignment horizontal="center"/>
    </xf>
    <xf numFmtId="166" fontId="11" fillId="12" borderId="40" xfId="0" applyNumberFormat="1" applyFont="1" applyFill="1" applyBorder="1" applyAlignment="1" applyProtection="1">
      <alignment horizontal="center"/>
    </xf>
    <xf numFmtId="2" fontId="11" fillId="0" borderId="66" xfId="0" applyNumberFormat="1" applyFont="1" applyFill="1" applyBorder="1" applyAlignment="1" applyProtection="1">
      <alignment horizontal="center"/>
    </xf>
    <xf numFmtId="2" fontId="9" fillId="0" borderId="20" xfId="0" applyNumberFormat="1" applyFont="1" applyFill="1" applyBorder="1" applyAlignment="1" applyProtection="1">
      <alignment horizontal="center"/>
      <protection locked="0"/>
    </xf>
    <xf numFmtId="2" fontId="9" fillId="0" borderId="16" xfId="0" applyNumberFormat="1" applyFont="1" applyFill="1" applyBorder="1" applyAlignment="1" applyProtection="1">
      <alignment horizontal="center"/>
      <protection locked="0"/>
    </xf>
    <xf numFmtId="2" fontId="9" fillId="0" borderId="19" xfId="0" applyNumberFormat="1" applyFont="1" applyFill="1" applyBorder="1" applyAlignment="1" applyProtection="1">
      <alignment horizontal="center"/>
      <protection locked="0"/>
    </xf>
    <xf numFmtId="2" fontId="9" fillId="0" borderId="27" xfId="0" applyNumberFormat="1" applyFont="1" applyFill="1" applyBorder="1" applyAlignment="1" applyProtection="1">
      <alignment horizontal="center"/>
      <protection locked="0"/>
    </xf>
    <xf numFmtId="2" fontId="9" fillId="0" borderId="28" xfId="0" applyNumberFormat="1" applyFont="1" applyFill="1" applyBorder="1" applyAlignment="1" applyProtection="1">
      <alignment horizontal="center"/>
      <protection locked="0"/>
    </xf>
    <xf numFmtId="2" fontId="9" fillId="0" borderId="75" xfId="0" applyNumberFormat="1" applyFont="1" applyFill="1" applyBorder="1" applyAlignment="1" applyProtection="1">
      <alignment horizontal="center"/>
      <protection locked="0"/>
    </xf>
    <xf numFmtId="0" fontId="114" fillId="0" borderId="0" xfId="0" applyFont="1" applyAlignment="1">
      <alignment wrapText="1"/>
    </xf>
    <xf numFmtId="0" fontId="115" fillId="0" borderId="0" xfId="0" applyFont="1"/>
    <xf numFmtId="0" fontId="114" fillId="0" borderId="0" xfId="0" applyFont="1" applyAlignment="1">
      <alignment horizontal="center" vertical="center" wrapText="1"/>
    </xf>
    <xf numFmtId="0" fontId="115" fillId="0" borderId="0" xfId="0" applyFont="1" applyAlignment="1">
      <alignment horizontal="center" vertical="center"/>
    </xf>
    <xf numFmtId="0" fontId="42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11" fillId="0" borderId="49" xfId="0" applyFont="1" applyBorder="1" applyAlignment="1" applyProtection="1">
      <alignment horizontal="center"/>
      <protection locked="0"/>
    </xf>
    <xf numFmtId="0" fontId="9" fillId="0" borderId="0" xfId="0" applyFont="1" applyBorder="1" applyAlignment="1" applyProtection="1">
      <alignment horizontal="center"/>
      <protection locked="0"/>
    </xf>
    <xf numFmtId="0" fontId="12" fillId="0" borderId="0" xfId="0" applyFont="1" applyBorder="1" applyAlignment="1" applyProtection="1">
      <alignment horizontal="center"/>
      <protection locked="0"/>
    </xf>
    <xf numFmtId="0" fontId="9" fillId="0" borderId="0" xfId="0" applyFont="1" applyAlignment="1" applyProtection="1">
      <alignment horizontal="center"/>
      <protection locked="0"/>
    </xf>
    <xf numFmtId="166" fontId="9" fillId="0" borderId="52" xfId="0" applyNumberFormat="1" applyFont="1" applyBorder="1" applyAlignment="1" applyProtection="1">
      <alignment horizontal="center" vertical="center"/>
      <protection locked="0"/>
    </xf>
    <xf numFmtId="0" fontId="9" fillId="0" borderId="24" xfId="0" applyFont="1" applyBorder="1" applyAlignment="1" applyProtection="1">
      <alignment horizontal="center" vertical="center"/>
      <protection locked="0"/>
    </xf>
    <xf numFmtId="166" fontId="9" fillId="0" borderId="57" xfId="0" applyNumberFormat="1" applyFont="1" applyBorder="1" applyAlignment="1" applyProtection="1">
      <alignment horizontal="center" vertical="center"/>
      <protection locked="0"/>
    </xf>
    <xf numFmtId="166" fontId="9" fillId="0" borderId="57" xfId="0" applyNumberFormat="1" applyFont="1" applyFill="1" applyBorder="1" applyAlignment="1" applyProtection="1">
      <alignment horizontal="center"/>
      <protection locked="0"/>
    </xf>
    <xf numFmtId="0" fontId="9" fillId="0" borderId="31" xfId="0" applyFont="1" applyBorder="1" applyAlignment="1" applyProtection="1">
      <alignment horizontal="center" vertical="center"/>
      <protection locked="0"/>
    </xf>
    <xf numFmtId="0" fontId="9" fillId="3" borderId="40" xfId="0" applyFont="1" applyFill="1" applyBorder="1" applyAlignment="1" applyProtection="1">
      <alignment horizontal="center" vertical="center"/>
      <protection locked="0"/>
    </xf>
    <xf numFmtId="0" fontId="9" fillId="0" borderId="47" xfId="0" applyFont="1" applyBorder="1" applyAlignment="1" applyProtection="1">
      <alignment horizontal="center"/>
      <protection locked="0"/>
    </xf>
    <xf numFmtId="0" fontId="12" fillId="3" borderId="0" xfId="0" applyFont="1" applyFill="1" applyBorder="1" applyAlignment="1" applyProtection="1">
      <alignment horizontal="center"/>
      <protection locked="0"/>
    </xf>
    <xf numFmtId="166" fontId="11" fillId="12" borderId="30" xfId="0" applyNumberFormat="1" applyFont="1" applyFill="1" applyBorder="1" applyAlignment="1" applyProtection="1">
      <alignment horizontal="center"/>
    </xf>
    <xf numFmtId="0" fontId="11" fillId="0" borderId="35" xfId="0" applyFont="1" applyBorder="1" applyAlignment="1" applyProtection="1">
      <alignment horizontal="center"/>
      <protection locked="0"/>
    </xf>
    <xf numFmtId="0" fontId="15" fillId="0" borderId="0" xfId="0" applyFont="1" applyBorder="1" applyProtection="1"/>
    <xf numFmtId="0" fontId="11" fillId="3" borderId="47" xfId="0" applyFont="1" applyFill="1" applyBorder="1" applyAlignment="1" applyProtection="1">
      <alignment horizontal="center"/>
      <protection locked="0"/>
    </xf>
    <xf numFmtId="0" fontId="11" fillId="3" borderId="26" xfId="0" applyFont="1" applyFill="1" applyBorder="1" applyAlignment="1" applyProtection="1">
      <alignment horizontal="center"/>
      <protection locked="0"/>
    </xf>
    <xf numFmtId="0" fontId="11" fillId="0" borderId="0" xfId="0" applyFont="1" applyBorder="1" applyAlignment="1" applyProtection="1">
      <alignment horizontal="center" wrapText="1"/>
      <protection locked="0"/>
    </xf>
    <xf numFmtId="0" fontId="9" fillId="0" borderId="30" xfId="0" applyFont="1" applyBorder="1" applyAlignment="1" applyProtection="1">
      <alignment horizontal="center"/>
      <protection locked="0"/>
    </xf>
    <xf numFmtId="0" fontId="11" fillId="0" borderId="75" xfId="0" applyFont="1" applyBorder="1" applyAlignment="1" applyProtection="1">
      <alignment horizontal="center"/>
      <protection locked="0"/>
    </xf>
    <xf numFmtId="0" fontId="11" fillId="3" borderId="41" xfId="0" applyFont="1" applyFill="1" applyBorder="1" applyAlignment="1" applyProtection="1">
      <alignment horizontal="center"/>
      <protection locked="0"/>
    </xf>
    <xf numFmtId="0" fontId="11" fillId="3" borderId="75" xfId="0" applyFont="1" applyFill="1" applyBorder="1" applyAlignment="1" applyProtection="1">
      <alignment horizontal="center"/>
      <protection locked="0"/>
    </xf>
    <xf numFmtId="0" fontId="12" fillId="3" borderId="26" xfId="0" applyFont="1" applyFill="1" applyBorder="1" applyAlignment="1" applyProtection="1">
      <alignment horizontal="center"/>
      <protection locked="0"/>
    </xf>
    <xf numFmtId="0" fontId="11" fillId="3" borderId="35" xfId="0" applyFont="1" applyFill="1" applyBorder="1" applyAlignment="1" applyProtection="1">
      <alignment horizontal="center"/>
      <protection locked="0"/>
    </xf>
    <xf numFmtId="0" fontId="11" fillId="3" borderId="19" xfId="0" applyFont="1" applyFill="1" applyBorder="1" applyAlignment="1" applyProtection="1">
      <alignment horizontal="center"/>
      <protection locked="0"/>
    </xf>
    <xf numFmtId="0" fontId="11" fillId="3" borderId="47" xfId="0" applyFont="1" applyFill="1" applyBorder="1" applyAlignment="1" applyProtection="1">
      <alignment horizontal="left"/>
      <protection locked="0"/>
    </xf>
    <xf numFmtId="0" fontId="17" fillId="0" borderId="69" xfId="0" applyFont="1" applyBorder="1" applyAlignment="1" applyProtection="1">
      <alignment horizontal="center"/>
      <protection locked="0"/>
    </xf>
    <xf numFmtId="0" fontId="12" fillId="0" borderId="0" xfId="0" applyFont="1" applyBorder="1" applyAlignment="1" applyProtection="1">
      <alignment horizontal="center" wrapText="1"/>
      <protection locked="0"/>
    </xf>
    <xf numFmtId="166" fontId="9" fillId="0" borderId="25" xfId="0" applyNumberFormat="1" applyFont="1" applyBorder="1" applyAlignment="1" applyProtection="1">
      <alignment horizontal="center" vertical="center"/>
      <protection locked="0"/>
    </xf>
    <xf numFmtId="0" fontId="89" fillId="0" borderId="0" xfId="0" applyFont="1" applyAlignment="1" applyProtection="1">
      <alignment horizontal="center"/>
      <protection locked="0"/>
    </xf>
    <xf numFmtId="0" fontId="99" fillId="0" borderId="0" xfId="0" applyFont="1" applyBorder="1" applyAlignment="1" applyProtection="1">
      <alignment horizontal="center"/>
      <protection locked="0"/>
    </xf>
    <xf numFmtId="0" fontId="11" fillId="0" borderId="0" xfId="0" applyFont="1" applyBorder="1" applyAlignment="1" applyProtection="1">
      <alignment horizontal="center"/>
      <protection locked="0"/>
    </xf>
    <xf numFmtId="0" fontId="31" fillId="3" borderId="35" xfId="0" applyFont="1" applyFill="1" applyBorder="1" applyAlignment="1" applyProtection="1">
      <alignment horizontal="center" vertical="center" wrapText="1"/>
      <protection locked="0"/>
    </xf>
    <xf numFmtId="0" fontId="68" fillId="0" borderId="0" xfId="0" applyFont="1" applyAlignment="1" applyProtection="1">
      <alignment horizontal="center" vertical="center"/>
      <protection locked="0"/>
    </xf>
    <xf numFmtId="0" fontId="71" fillId="0" borderId="0" xfId="0" applyFont="1" applyAlignment="1" applyProtection="1">
      <alignment horizontal="left"/>
      <protection locked="0"/>
    </xf>
    <xf numFmtId="0" fontId="90" fillId="0" borderId="0" xfId="0" applyFont="1" applyAlignment="1" applyProtection="1">
      <alignment horizontal="left"/>
      <protection locked="0"/>
    </xf>
    <xf numFmtId="2" fontId="9" fillId="0" borderId="0" xfId="0" applyNumberFormat="1" applyFont="1" applyBorder="1" applyAlignment="1" applyProtection="1">
      <alignment horizontal="center"/>
      <protection locked="0"/>
    </xf>
    <xf numFmtId="0" fontId="69" fillId="0" borderId="0" xfId="0" applyFont="1" applyAlignment="1" applyProtection="1">
      <alignment horizontal="left"/>
      <protection locked="0"/>
    </xf>
    <xf numFmtId="0" fontId="13" fillId="0" borderId="0" xfId="0" applyFont="1" applyAlignment="1" applyProtection="1">
      <alignment horizontal="center"/>
      <protection locked="0"/>
    </xf>
    <xf numFmtId="0" fontId="9" fillId="0" borderId="0" xfId="0" applyFont="1" applyAlignment="1" applyProtection="1">
      <alignment horizontal="left"/>
      <protection locked="0"/>
    </xf>
    <xf numFmtId="0" fontId="11" fillId="3" borderId="17" xfId="0" applyFont="1" applyFill="1" applyBorder="1" applyAlignment="1" applyProtection="1">
      <alignment horizontal="left"/>
      <protection locked="0"/>
    </xf>
    <xf numFmtId="0" fontId="11" fillId="3" borderId="25" xfId="0" applyFont="1" applyFill="1" applyBorder="1" applyAlignment="1" applyProtection="1">
      <alignment horizontal="left"/>
      <protection locked="0"/>
    </xf>
    <xf numFmtId="0" fontId="11" fillId="3" borderId="48" xfId="0" applyFont="1" applyFill="1" applyBorder="1" applyAlignment="1" applyProtection="1">
      <alignment horizontal="left"/>
      <protection locked="0"/>
    </xf>
    <xf numFmtId="0" fontId="15" fillId="0" borderId="0" xfId="0" applyFont="1" applyBorder="1" applyProtection="1">
      <protection locked="0"/>
    </xf>
    <xf numFmtId="0" fontId="68" fillId="0" borderId="0" xfId="0" applyFont="1" applyBorder="1" applyAlignment="1" applyProtection="1">
      <alignment horizontal="right"/>
      <protection locked="0"/>
    </xf>
    <xf numFmtId="0" fontId="73" fillId="0" borderId="68" xfId="0" applyFont="1" applyBorder="1" applyAlignment="1" applyProtection="1">
      <alignment horizontal="center"/>
      <protection locked="0"/>
    </xf>
    <xf numFmtId="0" fontId="80" fillId="0" borderId="0" xfId="0" applyFont="1" applyAlignment="1" applyProtection="1">
      <alignment horizontal="center" vertical="center"/>
      <protection locked="0"/>
    </xf>
    <xf numFmtId="1" fontId="9" fillId="12" borderId="5" xfId="0" applyNumberFormat="1" applyFont="1" applyFill="1" applyBorder="1" applyAlignment="1" applyProtection="1">
      <alignment horizontal="center"/>
      <protection locked="0"/>
    </xf>
    <xf numFmtId="0" fontId="9" fillId="5" borderId="24" xfId="0" applyFont="1" applyFill="1" applyBorder="1" applyAlignment="1" applyProtection="1">
      <alignment horizontal="center"/>
      <protection locked="0"/>
    </xf>
    <xf numFmtId="0" fontId="9" fillId="5" borderId="22" xfId="0" applyFont="1" applyFill="1" applyBorder="1" applyAlignment="1" applyProtection="1">
      <alignment horizontal="center" vertical="center"/>
      <protection locked="0"/>
    </xf>
    <xf numFmtId="0" fontId="9" fillId="0" borderId="21" xfId="0" applyFont="1" applyBorder="1" applyAlignment="1" applyProtection="1">
      <alignment horizontal="center"/>
      <protection locked="0"/>
    </xf>
    <xf numFmtId="0" fontId="9" fillId="5" borderId="21" xfId="0" applyFont="1" applyFill="1" applyBorder="1" applyAlignment="1" applyProtection="1">
      <alignment horizontal="center"/>
      <protection locked="0"/>
    </xf>
    <xf numFmtId="0" fontId="9" fillId="0" borderId="22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35" xfId="0" applyFont="1" applyBorder="1" applyAlignment="1" applyProtection="1">
      <alignment horizontal="center"/>
      <protection locked="0"/>
    </xf>
    <xf numFmtId="0" fontId="17" fillId="0" borderId="69" xfId="0" applyFont="1" applyBorder="1" applyAlignment="1" applyProtection="1">
      <alignment horizontal="center"/>
      <protection locked="0"/>
    </xf>
    <xf numFmtId="169" fontId="9" fillId="0" borderId="21" xfId="0" applyNumberFormat="1" applyFont="1" applyBorder="1" applyAlignment="1" applyProtection="1">
      <alignment horizontal="center"/>
      <protection locked="0"/>
    </xf>
    <xf numFmtId="169" fontId="9" fillId="0" borderId="47" xfId="0" applyNumberFormat="1" applyFont="1" applyBorder="1" applyAlignment="1" applyProtection="1">
      <alignment horizontal="center"/>
      <protection locked="0"/>
    </xf>
    <xf numFmtId="0" fontId="15" fillId="0" borderId="4" xfId="0" applyFont="1" applyBorder="1" applyAlignment="1">
      <alignment horizontal="center"/>
    </xf>
    <xf numFmtId="49" fontId="9" fillId="0" borderId="21" xfId="0" applyNumberFormat="1" applyFont="1" applyBorder="1" applyAlignment="1" applyProtection="1">
      <alignment horizontal="center"/>
      <protection locked="0"/>
    </xf>
    <xf numFmtId="166" fontId="9" fillId="0" borderId="16" xfId="0" applyNumberFormat="1" applyFont="1" applyFill="1" applyBorder="1" applyAlignment="1" applyProtection="1">
      <alignment horizontal="center"/>
      <protection locked="0"/>
    </xf>
    <xf numFmtId="166" fontId="9" fillId="0" borderId="54" xfId="0" applyNumberFormat="1" applyFont="1" applyFill="1" applyBorder="1" applyAlignment="1" applyProtection="1">
      <alignment horizontal="center"/>
      <protection locked="0"/>
    </xf>
    <xf numFmtId="166" fontId="9" fillId="0" borderId="55" xfId="0" applyNumberFormat="1" applyFont="1" applyFill="1" applyBorder="1" applyAlignment="1" applyProtection="1">
      <alignment horizontal="center"/>
      <protection locked="0"/>
    </xf>
    <xf numFmtId="0" fontId="11" fillId="0" borderId="49" xfId="0" applyFont="1" applyFill="1" applyBorder="1" applyAlignment="1" applyProtection="1">
      <alignment horizontal="left"/>
      <protection locked="0"/>
    </xf>
    <xf numFmtId="0" fontId="15" fillId="0" borderId="4" xfId="0" applyFont="1" applyBorder="1" applyAlignment="1">
      <alignment horizontal="left"/>
    </xf>
    <xf numFmtId="0" fontId="11" fillId="0" borderId="4" xfId="0" applyFont="1" applyFill="1" applyBorder="1" applyAlignment="1" applyProtection="1">
      <alignment horizontal="left"/>
      <protection locked="0"/>
    </xf>
    <xf numFmtId="20" fontId="42" fillId="0" borderId="22" xfId="0" applyNumberFormat="1" applyFont="1" applyBorder="1"/>
    <xf numFmtId="14" fontId="37" fillId="0" borderId="0" xfId="0" applyNumberFormat="1" applyFont="1" applyBorder="1"/>
    <xf numFmtId="20" fontId="37" fillId="0" borderId="49" xfId="0" applyNumberFormat="1" applyFont="1" applyBorder="1" applyAlignment="1">
      <alignment horizontal="center" vertical="center"/>
    </xf>
    <xf numFmtId="0" fontId="37" fillId="0" borderId="22" xfId="0" applyFont="1" applyBorder="1" applyAlignment="1">
      <alignment horizontal="center" vertical="center"/>
    </xf>
    <xf numFmtId="0" fontId="9" fillId="0" borderId="22" xfId="0" applyFont="1" applyBorder="1" applyAlignment="1">
      <alignment horizontal="left" vertical="top" wrapText="1"/>
    </xf>
    <xf numFmtId="2" fontId="9" fillId="5" borderId="4" xfId="0" applyNumberFormat="1" applyFont="1" applyFill="1" applyBorder="1" applyAlignment="1" applyProtection="1">
      <alignment horizontal="center"/>
      <protection locked="0"/>
    </xf>
    <xf numFmtId="0" fontId="15" fillId="3" borderId="9" xfId="0" applyFont="1" applyFill="1" applyBorder="1" applyAlignment="1" applyProtection="1">
      <alignment horizontal="center" vertical="top" wrapText="1"/>
      <protection locked="0"/>
    </xf>
    <xf numFmtId="0" fontId="9" fillId="3" borderId="7" xfId="0" applyFont="1" applyFill="1" applyBorder="1" applyAlignment="1" applyProtection="1">
      <alignment horizontal="center" vertical="top"/>
      <protection locked="0"/>
    </xf>
    <xf numFmtId="0" fontId="26" fillId="3" borderId="37" xfId="0" applyFont="1" applyFill="1" applyBorder="1" applyAlignment="1" applyProtection="1">
      <alignment horizontal="center" vertical="top" wrapText="1"/>
      <protection locked="0"/>
    </xf>
    <xf numFmtId="0" fontId="15" fillId="3" borderId="7" xfId="0" applyFont="1" applyFill="1" applyBorder="1" applyAlignment="1" applyProtection="1">
      <alignment horizontal="center" vertical="top" wrapText="1"/>
      <protection locked="0"/>
    </xf>
    <xf numFmtId="0" fontId="9" fillId="3" borderId="8" xfId="0" applyFont="1" applyFill="1" applyBorder="1" applyAlignment="1" applyProtection="1">
      <alignment horizontal="center" vertical="center"/>
      <protection locked="0"/>
    </xf>
    <xf numFmtId="0" fontId="9" fillId="3" borderId="37" xfId="0" applyFont="1" applyFill="1" applyBorder="1" applyAlignment="1" applyProtection="1">
      <alignment horizontal="center" vertical="center"/>
      <protection locked="0"/>
    </xf>
    <xf numFmtId="166" fontId="11" fillId="13" borderId="13" xfId="0" applyNumberFormat="1" applyFont="1" applyFill="1" applyBorder="1" applyAlignment="1" applyProtection="1">
      <alignment horizontal="center" vertical="center"/>
      <protection locked="0"/>
    </xf>
    <xf numFmtId="166" fontId="11" fillId="13" borderId="11" xfId="0" applyNumberFormat="1" applyFont="1" applyFill="1" applyBorder="1" applyAlignment="1" applyProtection="1">
      <alignment horizontal="center" vertical="center"/>
      <protection locked="0"/>
    </xf>
    <xf numFmtId="166" fontId="11" fillId="0" borderId="2" xfId="0" applyNumberFormat="1" applyFont="1" applyFill="1" applyBorder="1" applyAlignment="1" applyProtection="1">
      <alignment horizontal="center" vertical="center"/>
      <protection locked="0"/>
    </xf>
    <xf numFmtId="0" fontId="19" fillId="0" borderId="14" xfId="0" applyFont="1" applyBorder="1" applyAlignment="1" applyProtection="1">
      <alignment horizontal="center" vertical="center"/>
      <protection locked="0"/>
    </xf>
    <xf numFmtId="0" fontId="21" fillId="3" borderId="1" xfId="0" applyFont="1" applyFill="1" applyBorder="1" applyAlignment="1" applyProtection="1">
      <alignment horizontal="center" vertical="center"/>
      <protection locked="0"/>
    </xf>
    <xf numFmtId="166" fontId="11" fillId="12" borderId="38" xfId="0" applyNumberFormat="1" applyFont="1" applyFill="1" applyBorder="1" applyAlignment="1" applyProtection="1">
      <alignment horizontal="center" vertical="center"/>
    </xf>
    <xf numFmtId="166" fontId="11" fillId="12" borderId="72" xfId="0" applyNumberFormat="1" applyFont="1" applyFill="1" applyBorder="1" applyAlignment="1" applyProtection="1">
      <alignment horizontal="center" vertical="center"/>
    </xf>
    <xf numFmtId="166" fontId="11" fillId="12" borderId="77" xfId="0" applyNumberFormat="1" applyFont="1" applyFill="1" applyBorder="1" applyAlignment="1" applyProtection="1">
      <alignment horizontal="center" vertical="center"/>
    </xf>
    <xf numFmtId="0" fontId="19" fillId="0" borderId="74" xfId="0" applyFont="1" applyBorder="1" applyAlignment="1" applyProtection="1">
      <alignment horizontal="center" vertical="center"/>
      <protection locked="0"/>
    </xf>
    <xf numFmtId="0" fontId="9" fillId="0" borderId="39" xfId="0" applyFont="1" applyBorder="1" applyAlignment="1" applyProtection="1">
      <alignment vertical="center"/>
      <protection locked="0"/>
    </xf>
    <xf numFmtId="1" fontId="9" fillId="12" borderId="52" xfId="0" applyNumberFormat="1" applyFont="1" applyFill="1" applyBorder="1" applyAlignment="1" applyProtection="1">
      <alignment horizontal="center" vertical="center"/>
    </xf>
    <xf numFmtId="166" fontId="21" fillId="0" borderId="2" xfId="0" applyNumberFormat="1" applyFont="1" applyFill="1" applyBorder="1" applyAlignment="1" applyProtection="1">
      <alignment horizontal="center" vertical="center"/>
      <protection locked="0"/>
    </xf>
    <xf numFmtId="0" fontId="19" fillId="0" borderId="52" xfId="0" applyFont="1" applyBorder="1" applyAlignment="1" applyProtection="1">
      <alignment horizontal="center" vertical="center"/>
      <protection locked="0"/>
    </xf>
    <xf numFmtId="166" fontId="11" fillId="12" borderId="58" xfId="0" applyNumberFormat="1" applyFont="1" applyFill="1" applyBorder="1" applyAlignment="1" applyProtection="1">
      <alignment horizontal="center" vertical="center"/>
    </xf>
    <xf numFmtId="0" fontId="19" fillId="0" borderId="60" xfId="0" applyFont="1" applyBorder="1" applyAlignment="1" applyProtection="1">
      <alignment horizontal="center" vertical="center"/>
      <protection locked="0"/>
    </xf>
    <xf numFmtId="166" fontId="11" fillId="12" borderId="4" xfId="0" applyNumberFormat="1" applyFont="1" applyFill="1" applyBorder="1" applyAlignment="1" applyProtection="1">
      <alignment horizontal="center" vertical="center"/>
    </xf>
    <xf numFmtId="0" fontId="15" fillId="0" borderId="5" xfId="0" applyFont="1" applyFill="1" applyBorder="1" applyAlignment="1" applyProtection="1">
      <alignment horizontal="center" vertical="top" wrapText="1"/>
      <protection locked="0"/>
    </xf>
    <xf numFmtId="0" fontId="15" fillId="3" borderId="5" xfId="0" applyFont="1" applyFill="1" applyBorder="1" applyAlignment="1" applyProtection="1">
      <alignment horizontal="center" vertical="center" wrapText="1"/>
      <protection locked="0"/>
    </xf>
    <xf numFmtId="0" fontId="15" fillId="3" borderId="8" xfId="0" applyFont="1" applyFill="1" applyBorder="1" applyAlignment="1" applyProtection="1">
      <alignment horizontal="center" vertical="top" wrapText="1"/>
      <protection locked="0"/>
    </xf>
    <xf numFmtId="0" fontId="9" fillId="0" borderId="45" xfId="0" applyFont="1" applyBorder="1" applyAlignment="1" applyProtection="1">
      <alignment horizontal="center" vertical="center"/>
      <protection locked="0"/>
    </xf>
    <xf numFmtId="0" fontId="15" fillId="3" borderId="37" xfId="0" applyFont="1" applyFill="1" applyBorder="1" applyAlignment="1" applyProtection="1">
      <alignment horizontal="center" vertical="top" wrapText="1"/>
      <protection locked="0"/>
    </xf>
    <xf numFmtId="0" fontId="15" fillId="3" borderId="36" xfId="0" applyFont="1" applyFill="1" applyBorder="1" applyAlignment="1" applyProtection="1">
      <alignment horizontal="center" vertical="top" wrapText="1"/>
      <protection locked="0"/>
    </xf>
    <xf numFmtId="166" fontId="9" fillId="0" borderId="51" xfId="0" applyNumberFormat="1" applyFont="1" applyBorder="1" applyAlignment="1" applyProtection="1">
      <alignment horizontal="center" vertical="center"/>
      <protection locked="0"/>
    </xf>
    <xf numFmtId="166" fontId="9" fillId="0" borderId="61" xfId="0" applyNumberFormat="1" applyFont="1" applyBorder="1" applyAlignment="1" applyProtection="1">
      <alignment horizontal="center" vertical="center"/>
      <protection locked="0"/>
    </xf>
    <xf numFmtId="166" fontId="15" fillId="0" borderId="51" xfId="0" applyNumberFormat="1" applyFont="1" applyBorder="1" applyAlignment="1" applyProtection="1">
      <alignment horizontal="center" vertical="center"/>
      <protection locked="0"/>
    </xf>
    <xf numFmtId="166" fontId="15" fillId="0" borderId="78" xfId="0" applyNumberFormat="1" applyFont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 wrapText="1"/>
      <protection locked="0"/>
    </xf>
    <xf numFmtId="0" fontId="11" fillId="0" borderId="21" xfId="0" applyFont="1" applyBorder="1" applyAlignment="1" applyProtection="1">
      <alignment horizontal="center"/>
      <protection locked="0"/>
    </xf>
    <xf numFmtId="166" fontId="9" fillId="5" borderId="28" xfId="0" applyNumberFormat="1" applyFont="1" applyFill="1" applyBorder="1" applyAlignment="1" applyProtection="1">
      <alignment horizontal="center"/>
      <protection locked="0"/>
    </xf>
    <xf numFmtId="1" fontId="9" fillId="0" borderId="63" xfId="0" applyNumberFormat="1" applyFont="1" applyFill="1" applyBorder="1" applyAlignment="1" applyProtection="1">
      <alignment horizontal="center"/>
      <protection locked="0"/>
    </xf>
    <xf numFmtId="1" fontId="9" fillId="0" borderId="21" xfId="0" applyNumberFormat="1" applyFont="1" applyFill="1" applyBorder="1" applyAlignment="1" applyProtection="1">
      <alignment horizontal="center"/>
      <protection locked="0"/>
    </xf>
    <xf numFmtId="0" fontId="9" fillId="0" borderId="30" xfId="0" applyFont="1" applyFill="1" applyBorder="1" applyAlignment="1" applyProtection="1">
      <alignment horizontal="center" vertical="center"/>
      <protection locked="0"/>
    </xf>
    <xf numFmtId="0" fontId="9" fillId="0" borderId="0" xfId="0" applyFont="1" applyAlignment="1">
      <alignment horizontal="right"/>
    </xf>
    <xf numFmtId="0" fontId="9" fillId="0" borderId="0" xfId="0" applyFont="1" applyBorder="1" applyAlignment="1" applyProtection="1">
      <alignment horizontal="right"/>
      <protection locked="0"/>
    </xf>
    <xf numFmtId="14" fontId="11" fillId="0" borderId="0" xfId="0" applyNumberFormat="1" applyFont="1" applyBorder="1" applyAlignment="1" applyProtection="1">
      <alignment horizontal="center"/>
      <protection locked="0"/>
    </xf>
    <xf numFmtId="0" fontId="11" fillId="0" borderId="0" xfId="0" applyFont="1" applyAlignment="1">
      <alignment horizontal="center"/>
    </xf>
    <xf numFmtId="0" fontId="11" fillId="0" borderId="0" xfId="0" applyFont="1" applyBorder="1" applyAlignment="1" applyProtection="1">
      <alignment horizontal="center"/>
      <protection locked="0"/>
    </xf>
    <xf numFmtId="166" fontId="9" fillId="0" borderId="52" xfId="0" applyNumberFormat="1" applyFont="1" applyFill="1" applyBorder="1" applyAlignment="1" applyProtection="1">
      <alignment horizontal="center"/>
      <protection locked="0"/>
    </xf>
    <xf numFmtId="1" fontId="11" fillId="12" borderId="35" xfId="0" applyNumberFormat="1" applyFont="1" applyFill="1" applyBorder="1" applyAlignment="1" applyProtection="1">
      <alignment horizontal="center"/>
    </xf>
    <xf numFmtId="0" fontId="9" fillId="3" borderId="36" xfId="0" applyFont="1" applyFill="1" applyBorder="1" applyAlignment="1" applyProtection="1">
      <alignment horizontal="center" vertical="top"/>
      <protection locked="0"/>
    </xf>
    <xf numFmtId="1" fontId="17" fillId="0" borderId="43" xfId="0" applyNumberFormat="1" applyFont="1" applyFill="1" applyBorder="1" applyAlignment="1" applyProtection="1">
      <alignment horizontal="center"/>
      <protection locked="0"/>
    </xf>
    <xf numFmtId="1" fontId="17" fillId="0" borderId="63" xfId="0" applyNumberFormat="1" applyFont="1" applyFill="1" applyBorder="1" applyAlignment="1" applyProtection="1">
      <alignment horizontal="center"/>
      <protection locked="0"/>
    </xf>
    <xf numFmtId="0" fontId="19" fillId="0" borderId="22" xfId="0" applyFont="1" applyBorder="1" applyAlignment="1">
      <alignment horizontal="center" wrapText="1"/>
    </xf>
    <xf numFmtId="0" fontId="9" fillId="0" borderId="22" xfId="0" applyFont="1" applyBorder="1" applyAlignment="1">
      <alignment horizontal="center" vertical="center" wrapText="1"/>
    </xf>
    <xf numFmtId="0" fontId="42" fillId="0" borderId="22" xfId="0" applyFont="1" applyBorder="1" applyAlignment="1">
      <alignment horizontal="center"/>
    </xf>
    <xf numFmtId="0" fontId="0" fillId="0" borderId="0" xfId="0" applyAlignment="1">
      <alignment horizontal="center"/>
    </xf>
    <xf numFmtId="0" fontId="42" fillId="0" borderId="22" xfId="0" applyFont="1" applyBorder="1" applyAlignment="1">
      <alignment horizontal="center" vertical="center"/>
    </xf>
    <xf numFmtId="14" fontId="0" fillId="5" borderId="0" xfId="0" applyNumberFormat="1" applyFill="1" applyAlignment="1">
      <alignment vertical="center"/>
    </xf>
    <xf numFmtId="0" fontId="9" fillId="0" borderId="0" xfId="0" applyFont="1" applyAlignment="1">
      <alignment vertical="center"/>
    </xf>
    <xf numFmtId="0" fontId="9" fillId="16" borderId="22" xfId="0" applyFont="1" applyFill="1" applyBorder="1" applyAlignment="1">
      <alignment horizontal="center" vertical="center" wrapText="1"/>
    </xf>
    <xf numFmtId="2" fontId="9" fillId="16" borderId="22" xfId="0" applyNumberFormat="1" applyFont="1" applyFill="1" applyBorder="1" applyAlignment="1">
      <alignment horizontal="center" vertical="center" wrapText="1"/>
    </xf>
    <xf numFmtId="166" fontId="9" fillId="16" borderId="22" xfId="0" applyNumberFormat="1" applyFont="1" applyFill="1" applyBorder="1" applyAlignment="1">
      <alignment horizontal="center" vertical="center" wrapText="1"/>
    </xf>
    <xf numFmtId="167" fontId="9" fillId="16" borderId="22" xfId="0" applyNumberFormat="1" applyFont="1" applyFill="1" applyBorder="1" applyAlignment="1">
      <alignment horizontal="center" vertical="center" wrapText="1"/>
    </xf>
    <xf numFmtId="0" fontId="9" fillId="16" borderId="22" xfId="0" applyFont="1" applyFill="1" applyBorder="1" applyAlignment="1">
      <alignment horizontal="center" vertical="top" wrapText="1"/>
    </xf>
    <xf numFmtId="0" fontId="50" fillId="16" borderId="22" xfId="0" applyFont="1" applyFill="1" applyBorder="1" applyAlignment="1">
      <alignment horizontal="left" vertical="top" wrapText="1"/>
    </xf>
    <xf numFmtId="0" fontId="16" fillId="16" borderId="22" xfId="0" applyFont="1" applyFill="1" applyBorder="1" applyAlignment="1">
      <alignment horizontal="center" vertical="top" wrapText="1"/>
    </xf>
    <xf numFmtId="49" fontId="9" fillId="16" borderId="22" xfId="0" applyNumberFormat="1" applyFont="1" applyFill="1" applyBorder="1" applyAlignment="1">
      <alignment horizontal="center" vertical="center" wrapText="1"/>
    </xf>
    <xf numFmtId="0" fontId="9" fillId="16" borderId="0" xfId="0" applyFont="1" applyFill="1"/>
    <xf numFmtId="0" fontId="9" fillId="16" borderId="0" xfId="0" applyFont="1" applyFill="1" applyAlignment="1">
      <alignment vertical="center"/>
    </xf>
    <xf numFmtId="49" fontId="49" fillId="16" borderId="22" xfId="0" applyNumberFormat="1" applyFont="1" applyFill="1" applyBorder="1" applyAlignment="1">
      <alignment horizontal="center" vertical="center" wrapText="1"/>
    </xf>
    <xf numFmtId="0" fontId="49" fillId="16" borderId="22" xfId="0" applyFont="1" applyFill="1" applyBorder="1" applyAlignment="1">
      <alignment horizontal="center" vertical="center" wrapText="1"/>
    </xf>
    <xf numFmtId="49" fontId="49" fillId="16" borderId="22" xfId="0" applyNumberFormat="1" applyFont="1" applyFill="1" applyBorder="1" applyAlignment="1">
      <alignment horizontal="center" vertical="top" wrapText="1"/>
    </xf>
    <xf numFmtId="0" fontId="49" fillId="16" borderId="22" xfId="0" applyFont="1" applyFill="1" applyBorder="1" applyAlignment="1">
      <alignment horizontal="center" vertical="top" wrapText="1"/>
    </xf>
    <xf numFmtId="0" fontId="49" fillId="16" borderId="22" xfId="0" applyFont="1" applyFill="1" applyBorder="1" applyAlignment="1">
      <alignment horizontal="left" vertical="top" wrapText="1"/>
    </xf>
    <xf numFmtId="0" fontId="50" fillId="16" borderId="22" xfId="0" applyFont="1" applyFill="1" applyBorder="1" applyAlignment="1">
      <alignment horizontal="center" vertical="top" wrapText="1"/>
    </xf>
    <xf numFmtId="166" fontId="50" fillId="16" borderId="22" xfId="0" applyNumberFormat="1" applyFont="1" applyFill="1" applyBorder="1" applyAlignment="1">
      <alignment horizontal="center" vertical="top" wrapText="1"/>
    </xf>
    <xf numFmtId="0" fontId="50" fillId="16" borderId="0" xfId="0" applyFont="1" applyFill="1" applyAlignment="1">
      <alignment vertical="top" wrapText="1"/>
    </xf>
    <xf numFmtId="1" fontId="50" fillId="16" borderId="22" xfId="0" applyNumberFormat="1" applyFont="1" applyFill="1" applyBorder="1" applyAlignment="1">
      <alignment horizontal="center" vertical="top" wrapText="1"/>
    </xf>
    <xf numFmtId="167" fontId="50" fillId="16" borderId="22" xfId="0" applyNumberFormat="1" applyFont="1" applyFill="1" applyBorder="1" applyAlignment="1">
      <alignment horizontal="center" vertical="top" wrapText="1"/>
    </xf>
    <xf numFmtId="2" fontId="50" fillId="16" borderId="22" xfId="0" applyNumberFormat="1" applyFont="1" applyFill="1" applyBorder="1" applyAlignment="1">
      <alignment horizontal="center" vertical="top" wrapText="1"/>
    </xf>
    <xf numFmtId="0" fontId="50" fillId="16" borderId="52" xfId="0" applyFont="1" applyFill="1" applyBorder="1" applyAlignment="1">
      <alignment horizontal="center" vertical="top" wrapText="1"/>
    </xf>
    <xf numFmtId="0" fontId="114" fillId="0" borderId="22" xfId="12" applyFont="1" applyBorder="1" applyAlignment="1">
      <alignment horizontal="center" vertical="top" wrapText="1"/>
    </xf>
    <xf numFmtId="0" fontId="38" fillId="0" borderId="22" xfId="3" applyFont="1" applyBorder="1" applyAlignment="1">
      <alignment horizontal="center" vertical="top" wrapText="1"/>
    </xf>
    <xf numFmtId="0" fontId="42" fillId="0" borderId="4" xfId="0" applyFont="1" applyBorder="1" applyAlignment="1">
      <alignment horizontal="center"/>
    </xf>
    <xf numFmtId="0" fontId="42" fillId="0" borderId="4" xfId="0" applyFont="1" applyFill="1" applyBorder="1" applyAlignment="1">
      <alignment horizontal="center"/>
    </xf>
    <xf numFmtId="0" fontId="42" fillId="0" borderId="22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38" fillId="0" borderId="25" xfId="3" applyFont="1" applyBorder="1" applyAlignment="1">
      <alignment horizontal="center" vertical="top" wrapText="1"/>
    </xf>
    <xf numFmtId="0" fontId="114" fillId="0" borderId="48" xfId="12" applyFont="1" applyBorder="1" applyAlignment="1">
      <alignment horizontal="center" vertical="top" wrapText="1"/>
    </xf>
    <xf numFmtId="0" fontId="42" fillId="0" borderId="24" xfId="0" applyFont="1" applyBorder="1" applyAlignment="1">
      <alignment horizontal="center"/>
    </xf>
    <xf numFmtId="0" fontId="42" fillId="0" borderId="44" xfId="0" applyFont="1" applyBorder="1" applyAlignment="1">
      <alignment horizontal="center"/>
    </xf>
    <xf numFmtId="0" fontId="42" fillId="0" borderId="25" xfId="0" applyFont="1" applyBorder="1" applyAlignment="1">
      <alignment horizontal="center"/>
    </xf>
    <xf numFmtId="0" fontId="42" fillId="0" borderId="48" xfId="0" applyFont="1" applyBorder="1" applyAlignment="1">
      <alignment horizontal="center"/>
    </xf>
    <xf numFmtId="0" fontId="42" fillId="0" borderId="42" xfId="0" applyFont="1" applyFill="1" applyBorder="1" applyAlignment="1">
      <alignment horizontal="center"/>
    </xf>
    <xf numFmtId="0" fontId="42" fillId="0" borderId="60" xfId="0" applyFont="1" applyBorder="1" applyAlignment="1">
      <alignment horizontal="center"/>
    </xf>
    <xf numFmtId="0" fontId="42" fillId="0" borderId="57" xfId="0" applyFont="1" applyBorder="1" applyAlignment="1">
      <alignment horizontal="center"/>
    </xf>
    <xf numFmtId="0" fontId="42" fillId="0" borderId="7" xfId="0" applyFont="1" applyFill="1" applyBorder="1" applyAlignment="1">
      <alignment horizontal="center"/>
    </xf>
    <xf numFmtId="0" fontId="42" fillId="0" borderId="44" xfId="0" applyFont="1" applyFill="1" applyBorder="1" applyAlignment="1">
      <alignment horizontal="center" wrapText="1"/>
    </xf>
    <xf numFmtId="0" fontId="42" fillId="0" borderId="48" xfId="0" applyFont="1" applyFill="1" applyBorder="1" applyAlignment="1">
      <alignment horizontal="center" wrapText="1"/>
    </xf>
    <xf numFmtId="0" fontId="42" fillId="0" borderId="24" xfId="0" applyFont="1" applyFill="1" applyBorder="1" applyAlignment="1">
      <alignment horizontal="center"/>
    </xf>
    <xf numFmtId="0" fontId="42" fillId="0" borderId="44" xfId="0" applyFont="1" applyFill="1" applyBorder="1" applyAlignment="1">
      <alignment horizontal="center"/>
    </xf>
    <xf numFmtId="0" fontId="42" fillId="0" borderId="25" xfId="0" applyFont="1" applyFill="1" applyBorder="1" applyAlignment="1">
      <alignment horizontal="center"/>
    </xf>
    <xf numFmtId="0" fontId="42" fillId="0" borderId="48" xfId="0" applyFont="1" applyFill="1" applyBorder="1" applyAlignment="1">
      <alignment horizontal="center"/>
    </xf>
    <xf numFmtId="0" fontId="42" fillId="0" borderId="52" xfId="0" applyFont="1" applyBorder="1" applyAlignment="1">
      <alignment horizontal="center"/>
    </xf>
    <xf numFmtId="0" fontId="42" fillId="0" borderId="57" xfId="0" applyFont="1" applyFill="1" applyBorder="1" applyAlignment="1">
      <alignment horizontal="center" wrapText="1"/>
    </xf>
    <xf numFmtId="0" fontId="42" fillId="0" borderId="60" xfId="0" applyFont="1" applyFill="1" applyBorder="1" applyAlignment="1">
      <alignment horizontal="center"/>
    </xf>
    <xf numFmtId="0" fontId="42" fillId="0" borderId="52" xfId="0" applyFont="1" applyFill="1" applyBorder="1" applyAlignment="1">
      <alignment horizontal="center"/>
    </xf>
    <xf numFmtId="0" fontId="42" fillId="0" borderId="57" xfId="0" applyFont="1" applyFill="1" applyBorder="1" applyAlignment="1">
      <alignment horizontal="center"/>
    </xf>
    <xf numFmtId="0" fontId="26" fillId="0" borderId="22" xfId="11" applyFont="1" applyBorder="1" applyAlignment="1" applyProtection="1">
      <alignment horizontal="center" vertical="center" wrapText="1"/>
    </xf>
    <xf numFmtId="0" fontId="31" fillId="0" borderId="22" xfId="11" applyFont="1" applyBorder="1" applyAlignment="1" applyProtection="1">
      <alignment horizontal="center" vertical="center" wrapText="1"/>
    </xf>
    <xf numFmtId="0" fontId="26" fillId="0" borderId="22" xfId="11" applyFont="1" applyFill="1" applyBorder="1" applyAlignment="1" applyProtection="1">
      <alignment horizontal="center" vertical="center" wrapText="1"/>
    </xf>
    <xf numFmtId="0" fontId="26" fillId="14" borderId="22" xfId="11" applyFont="1" applyFill="1" applyBorder="1" applyAlignment="1" applyProtection="1">
      <alignment horizontal="center" vertical="center" wrapText="1"/>
    </xf>
    <xf numFmtId="2" fontId="26" fillId="0" borderId="22" xfId="11" applyNumberFormat="1" applyFont="1" applyBorder="1"/>
    <xf numFmtId="0" fontId="26" fillId="0" borderId="22" xfId="11" applyFont="1" applyBorder="1"/>
    <xf numFmtId="0" fontId="26" fillId="0" borderId="22" xfId="11" applyFont="1" applyBorder="1" applyProtection="1">
      <protection locked="0"/>
    </xf>
    <xf numFmtId="2" fontId="26" fillId="0" borderId="22" xfId="11" applyNumberFormat="1" applyFont="1" applyFill="1" applyBorder="1" applyProtection="1">
      <protection locked="0"/>
    </xf>
    <xf numFmtId="166" fontId="26" fillId="0" borderId="22" xfId="11" applyNumberFormat="1" applyFont="1" applyBorder="1"/>
    <xf numFmtId="0" fontId="26" fillId="0" borderId="22" xfId="11" applyFont="1" applyBorder="1" applyAlignment="1">
      <alignment horizontal="right"/>
    </xf>
    <xf numFmtId="2" fontId="26" fillId="0" borderId="22" xfId="11" applyNumberFormat="1" applyFont="1" applyBorder="1" applyProtection="1">
      <protection locked="0"/>
    </xf>
    <xf numFmtId="1" fontId="26" fillId="0" borderId="22" xfId="11" applyNumberFormat="1" applyFont="1" applyBorder="1"/>
    <xf numFmtId="0" fontId="26" fillId="3" borderId="22" xfId="11" applyFont="1" applyFill="1" applyBorder="1"/>
    <xf numFmtId="166" fontId="26" fillId="3" borderId="22" xfId="11" applyNumberFormat="1" applyFont="1" applyFill="1" applyBorder="1"/>
    <xf numFmtId="166" fontId="26" fillId="0" borderId="22" xfId="11" applyNumberFormat="1" applyFont="1" applyBorder="1" applyProtection="1">
      <protection locked="0"/>
    </xf>
    <xf numFmtId="0" fontId="121" fillId="0" borderId="22" xfId="11" applyFont="1" applyBorder="1" applyAlignment="1" applyProtection="1">
      <alignment horizontal="center"/>
      <protection locked="0"/>
    </xf>
    <xf numFmtId="0" fontId="108" fillId="0" borderId="22" xfId="11" applyFont="1" applyBorder="1" applyAlignment="1" applyProtection="1">
      <alignment horizontal="center"/>
      <protection locked="0"/>
    </xf>
    <xf numFmtId="0" fontId="15" fillId="0" borderId="0" xfId="0" applyFont="1"/>
    <xf numFmtId="166" fontId="15" fillId="20" borderId="0" xfId="0" applyNumberFormat="1" applyFont="1" applyFill="1" applyAlignment="1">
      <alignment horizontal="center"/>
    </xf>
    <xf numFmtId="0" fontId="15" fillId="20" borderId="0" xfId="0" applyFont="1" applyFill="1" applyAlignment="1">
      <alignment horizontal="center"/>
    </xf>
    <xf numFmtId="0" fontId="15" fillId="0" borderId="0" xfId="0" applyFont="1" applyAlignment="1">
      <alignment wrapText="1"/>
    </xf>
    <xf numFmtId="0" fontId="42" fillId="0" borderId="31" xfId="0" applyFont="1" applyBorder="1" applyAlignment="1"/>
    <xf numFmtId="0" fontId="40" fillId="12" borderId="9" xfId="0" applyFont="1" applyFill="1" applyBorder="1" applyAlignment="1">
      <alignment horizontal="center"/>
    </xf>
    <xf numFmtId="0" fontId="40" fillId="0" borderId="7" xfId="0" applyFont="1" applyFill="1" applyBorder="1" applyAlignment="1">
      <alignment horizontal="center"/>
    </xf>
    <xf numFmtId="0" fontId="40" fillId="12" borderId="8" xfId="0" applyFont="1" applyFill="1" applyBorder="1" applyAlignment="1">
      <alignment horizontal="center"/>
    </xf>
    <xf numFmtId="0" fontId="40" fillId="0" borderId="8" xfId="0" applyFont="1" applyFill="1" applyBorder="1" applyAlignment="1">
      <alignment horizontal="center"/>
    </xf>
    <xf numFmtId="166" fontId="40" fillId="12" borderId="9" xfId="0" applyNumberFormat="1" applyFont="1" applyFill="1" applyBorder="1" applyAlignment="1">
      <alignment horizontal="center"/>
    </xf>
    <xf numFmtId="0" fontId="42" fillId="0" borderId="22" xfId="0" applyFont="1" applyBorder="1" applyAlignment="1"/>
    <xf numFmtId="0" fontId="9" fillId="0" borderId="0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Protection="1">
      <protection locked="0"/>
    </xf>
    <xf numFmtId="0" fontId="17" fillId="0" borderId="0" xfId="0" applyFont="1" applyAlignment="1" applyProtection="1">
      <alignment horizontal="center"/>
      <protection locked="0"/>
    </xf>
    <xf numFmtId="0" fontId="9" fillId="0" borderId="22" xfId="0" applyFont="1" applyBorder="1" applyAlignment="1" applyProtection="1">
      <alignment horizontal="center" vertical="center"/>
    </xf>
    <xf numFmtId="0" fontId="9" fillId="0" borderId="22" xfId="0" applyFont="1" applyFill="1" applyBorder="1" applyAlignment="1" applyProtection="1">
      <alignment horizontal="center" vertical="center"/>
    </xf>
    <xf numFmtId="0" fontId="9" fillId="0" borderId="0" xfId="0" applyFont="1" applyFill="1" applyProtection="1"/>
    <xf numFmtId="0" fontId="17" fillId="0" borderId="0" xfId="0" applyFont="1" applyBorder="1" applyAlignment="1" applyProtection="1">
      <alignment vertical="center" wrapText="1"/>
    </xf>
    <xf numFmtId="0" fontId="17" fillId="0" borderId="0" xfId="0" applyFont="1" applyBorder="1" applyAlignment="1" applyProtection="1">
      <alignment horizontal="center" vertical="center" wrapText="1"/>
    </xf>
    <xf numFmtId="0" fontId="9" fillId="0" borderId="3" xfId="0" applyFont="1" applyBorder="1" applyAlignment="1" applyProtection="1">
      <alignment vertical="center"/>
    </xf>
    <xf numFmtId="166" fontId="11" fillId="0" borderId="22" xfId="0" applyNumberFormat="1" applyFont="1" applyBorder="1" applyAlignment="1" applyProtection="1">
      <alignment horizontal="center" vertical="center"/>
    </xf>
    <xf numFmtId="2" fontId="11" fillId="0" borderId="22" xfId="0" applyNumberFormat="1" applyFont="1" applyBorder="1" applyAlignment="1" applyProtection="1">
      <alignment horizontal="center" vertical="center"/>
    </xf>
    <xf numFmtId="0" fontId="26" fillId="0" borderId="0" xfId="0" applyFont="1" applyBorder="1" applyAlignment="1" applyProtection="1">
      <alignment wrapText="1"/>
    </xf>
    <xf numFmtId="0" fontId="9" fillId="0" borderId="0" xfId="0" applyFont="1" applyBorder="1" applyProtection="1"/>
    <xf numFmtId="166" fontId="11" fillId="5" borderId="22" xfId="0" applyNumberFormat="1" applyFont="1" applyFill="1" applyBorder="1" applyAlignment="1" applyProtection="1">
      <alignment horizontal="center" vertical="center" wrapText="1"/>
    </xf>
    <xf numFmtId="166" fontId="11" fillId="0" borderId="22" xfId="0" applyNumberFormat="1" applyFont="1" applyBorder="1" applyAlignment="1" applyProtection="1">
      <alignment horizontal="center" vertical="center" wrapText="1"/>
    </xf>
    <xf numFmtId="0" fontId="15" fillId="0" borderId="22" xfId="0" applyFont="1" applyBorder="1" applyAlignment="1" applyProtection="1">
      <alignment horizontal="center" vertical="center" wrapText="1"/>
    </xf>
    <xf numFmtId="0" fontId="15" fillId="0" borderId="52" xfId="0" applyFont="1" applyBorder="1" applyAlignment="1" applyProtection="1">
      <alignment horizontal="center" vertical="center" wrapText="1"/>
    </xf>
    <xf numFmtId="0" fontId="17" fillId="0" borderId="22" xfId="0" applyFont="1" applyFill="1" applyBorder="1" applyAlignment="1" applyProtection="1">
      <alignment horizontal="center" vertical="center" wrapText="1"/>
    </xf>
    <xf numFmtId="0" fontId="12" fillId="0" borderId="22" xfId="0" applyFont="1" applyBorder="1" applyAlignment="1" applyProtection="1">
      <alignment horizontal="center" vertical="center"/>
    </xf>
    <xf numFmtId="167" fontId="9" fillId="0" borderId="22" xfId="0" applyNumberFormat="1" applyFont="1" applyBorder="1" applyAlignment="1" applyProtection="1">
      <alignment horizontal="center" vertical="center"/>
    </xf>
    <xf numFmtId="0" fontId="28" fillId="0" borderId="22" xfId="0" applyFont="1" applyBorder="1" applyAlignment="1" applyProtection="1">
      <alignment horizontal="center" vertical="center"/>
    </xf>
    <xf numFmtId="0" fontId="17" fillId="0" borderId="22" xfId="0" applyFont="1" applyBorder="1" applyAlignment="1" applyProtection="1">
      <alignment horizontal="center" vertical="center"/>
    </xf>
    <xf numFmtId="0" fontId="37" fillId="0" borderId="22" xfId="0" applyFont="1" applyBorder="1" applyAlignment="1" applyProtection="1">
      <alignment horizontal="center" vertical="center"/>
    </xf>
    <xf numFmtId="0" fontId="38" fillId="0" borderId="22" xfId="0" applyFont="1" applyBorder="1" applyAlignment="1" applyProtection="1">
      <alignment horizontal="center" vertical="center"/>
    </xf>
    <xf numFmtId="0" fontId="18" fillId="0" borderId="0" xfId="0" applyFont="1" applyBorder="1" applyAlignment="1" applyProtection="1">
      <alignment horizontal="center" vertical="center"/>
    </xf>
    <xf numFmtId="0" fontId="12" fillId="0" borderId="69" xfId="0" applyFont="1" applyBorder="1" applyAlignment="1" applyProtection="1">
      <alignment horizontal="center" vertical="center"/>
    </xf>
    <xf numFmtId="2" fontId="37" fillId="0" borderId="22" xfId="0" applyNumberFormat="1" applyFont="1" applyBorder="1" applyAlignment="1" applyProtection="1">
      <alignment horizontal="center" vertical="center"/>
    </xf>
    <xf numFmtId="168" fontId="37" fillId="0" borderId="22" xfId="0" applyNumberFormat="1" applyFont="1" applyBorder="1" applyAlignment="1" applyProtection="1">
      <alignment horizontal="center" vertical="center"/>
    </xf>
    <xf numFmtId="168" fontId="15" fillId="0" borderId="22" xfId="0" applyNumberFormat="1" applyFont="1" applyBorder="1" applyAlignment="1" applyProtection="1">
      <alignment horizontal="center" vertical="center"/>
    </xf>
    <xf numFmtId="168" fontId="15" fillId="0" borderId="69" xfId="0" applyNumberFormat="1" applyFont="1" applyBorder="1" applyAlignment="1" applyProtection="1">
      <alignment horizontal="center" vertical="center"/>
    </xf>
    <xf numFmtId="166" fontId="11" fillId="0" borderId="22" xfId="0" applyNumberFormat="1" applyFont="1" applyFill="1" applyBorder="1" applyAlignment="1" applyProtection="1">
      <alignment vertical="center"/>
    </xf>
    <xf numFmtId="166" fontId="11" fillId="0" borderId="22" xfId="0" applyNumberFormat="1" applyFont="1" applyFill="1" applyBorder="1" applyAlignment="1" applyProtection="1">
      <alignment horizontal="center" vertical="center"/>
    </xf>
    <xf numFmtId="0" fontId="9" fillId="0" borderId="22" xfId="0" applyFont="1" applyBorder="1" applyAlignment="1" applyProtection="1">
      <alignment vertical="center"/>
    </xf>
    <xf numFmtId="166" fontId="11" fillId="3" borderId="22" xfId="0" applyNumberFormat="1" applyFont="1" applyFill="1" applyBorder="1" applyAlignment="1" applyProtection="1">
      <alignment vertical="center"/>
    </xf>
    <xf numFmtId="0" fontId="48" fillId="0" borderId="22" xfId="0" applyFont="1" applyBorder="1" applyAlignment="1" applyProtection="1">
      <alignment horizontal="center" vertical="center"/>
    </xf>
    <xf numFmtId="166" fontId="43" fillId="7" borderId="22" xfId="0" applyNumberFormat="1" applyFont="1" applyFill="1" applyBorder="1" applyAlignment="1" applyProtection="1">
      <alignment horizontal="center" vertical="center"/>
    </xf>
    <xf numFmtId="0" fontId="15" fillId="13" borderId="22" xfId="0" applyFont="1" applyFill="1" applyBorder="1" applyAlignment="1" applyProtection="1">
      <alignment horizontal="center" vertical="center"/>
    </xf>
    <xf numFmtId="0" fontId="17" fillId="12" borderId="22" xfId="0" applyFont="1" applyFill="1" applyBorder="1" applyAlignment="1" applyProtection="1">
      <alignment horizontal="center" vertical="center"/>
    </xf>
    <xf numFmtId="0" fontId="17" fillId="7" borderId="22" xfId="0" applyFont="1" applyFill="1" applyBorder="1" applyAlignment="1" applyProtection="1">
      <alignment horizontal="center" vertical="center"/>
    </xf>
    <xf numFmtId="0" fontId="17" fillId="7" borderId="22" xfId="0" applyNumberFormat="1" applyFont="1" applyFill="1" applyBorder="1" applyAlignment="1" applyProtection="1">
      <alignment horizontal="center" vertical="center"/>
    </xf>
    <xf numFmtId="0" fontId="15" fillId="0" borderId="22" xfId="0" applyFont="1" applyBorder="1" applyAlignment="1" applyProtection="1">
      <alignment horizontal="center" vertical="center"/>
      <protection locked="0"/>
    </xf>
    <xf numFmtId="166" fontId="15" fillId="0" borderId="22" xfId="0" applyNumberFormat="1" applyFont="1" applyBorder="1" applyAlignment="1" applyProtection="1">
      <alignment horizontal="center" vertical="center"/>
      <protection locked="0"/>
    </xf>
    <xf numFmtId="9" fontId="41" fillId="19" borderId="22" xfId="0" applyNumberFormat="1" applyFont="1" applyFill="1" applyBorder="1" applyAlignment="1" applyProtection="1">
      <alignment horizontal="center" vertical="center" wrapText="1"/>
      <protection locked="0"/>
    </xf>
    <xf numFmtId="9" fontId="11" fillId="19" borderId="22" xfId="0" applyNumberFormat="1" applyFont="1" applyFill="1" applyBorder="1" applyAlignment="1" applyProtection="1">
      <alignment horizontal="center" vertical="center" wrapText="1"/>
      <protection locked="0"/>
    </xf>
    <xf numFmtId="0" fontId="41" fillId="20" borderId="22" xfId="0" applyFont="1" applyFill="1" applyBorder="1" applyAlignment="1" applyProtection="1">
      <alignment horizontal="center" vertical="center" wrapText="1"/>
      <protection locked="0"/>
    </xf>
    <xf numFmtId="0" fontId="11" fillId="22" borderId="22" xfId="0" applyFont="1" applyFill="1" applyBorder="1" applyAlignment="1" applyProtection="1">
      <alignment horizontal="center" vertical="center"/>
      <protection locked="0"/>
    </xf>
    <xf numFmtId="0" fontId="11" fillId="19" borderId="22" xfId="0" applyFont="1" applyFill="1" applyBorder="1" applyAlignment="1" applyProtection="1">
      <alignment horizontal="center" vertical="center"/>
      <protection locked="0"/>
    </xf>
    <xf numFmtId="2" fontId="11" fillId="22" borderId="22" xfId="0" applyNumberFormat="1" applyFont="1" applyFill="1" applyBorder="1" applyAlignment="1" applyProtection="1">
      <alignment horizontal="center" vertical="center"/>
      <protection locked="0"/>
    </xf>
    <xf numFmtId="1" fontId="11" fillId="22" borderId="22" xfId="0" applyNumberFormat="1" applyFont="1" applyFill="1" applyBorder="1" applyAlignment="1" applyProtection="1">
      <alignment horizontal="center" vertical="center"/>
      <protection locked="0"/>
    </xf>
    <xf numFmtId="0" fontId="11" fillId="22" borderId="22" xfId="0" applyFont="1" applyFill="1" applyBorder="1" applyAlignment="1" applyProtection="1">
      <alignment horizontal="center" vertical="center" wrapText="1"/>
      <protection locked="0"/>
    </xf>
    <xf numFmtId="0" fontId="39" fillId="0" borderId="22" xfId="0" applyFont="1" applyBorder="1" applyAlignment="1" applyProtection="1">
      <alignment horizontal="center" vertical="center"/>
      <protection locked="0"/>
    </xf>
    <xf numFmtId="1" fontId="39" fillId="0" borderId="22" xfId="0" applyNumberFormat="1" applyFont="1" applyBorder="1" applyAlignment="1" applyProtection="1">
      <alignment horizontal="center" vertical="center"/>
      <protection locked="0"/>
    </xf>
    <xf numFmtId="166" fontId="39" fillId="0" borderId="22" xfId="0" applyNumberFormat="1" applyFont="1" applyBorder="1" applyAlignment="1" applyProtection="1">
      <alignment horizontal="center" vertical="center"/>
      <protection locked="0"/>
    </xf>
    <xf numFmtId="0" fontId="15" fillId="13" borderId="49" xfId="0" applyFont="1" applyFill="1" applyBorder="1" applyAlignment="1" applyProtection="1">
      <alignment horizontal="center"/>
    </xf>
    <xf numFmtId="164" fontId="23" fillId="0" borderId="22" xfId="1" applyFont="1" applyFill="1" applyBorder="1" applyAlignment="1" applyProtection="1">
      <alignment horizontal="center" vertical="center"/>
    </xf>
    <xf numFmtId="164" fontId="29" fillId="0" borderId="22" xfId="1" applyFont="1" applyFill="1" applyBorder="1" applyAlignment="1" applyProtection="1">
      <alignment horizontal="center" vertical="center" wrapText="1"/>
    </xf>
    <xf numFmtId="166" fontId="23" fillId="0" borderId="22" xfId="1" applyNumberFormat="1" applyFont="1" applyFill="1" applyBorder="1" applyAlignment="1" applyProtection="1">
      <alignment horizontal="center" vertical="center"/>
    </xf>
    <xf numFmtId="164" fontId="29" fillId="0" borderId="22" xfId="1" applyFont="1" applyFill="1" applyBorder="1" applyAlignment="1" applyProtection="1">
      <alignment horizontal="center" vertical="center"/>
    </xf>
    <xf numFmtId="0" fontId="12" fillId="0" borderId="22" xfId="0" applyFont="1" applyFill="1" applyBorder="1" applyAlignment="1" applyProtection="1">
      <alignment horizontal="center" vertical="center"/>
    </xf>
    <xf numFmtId="2" fontId="12" fillId="0" borderId="22" xfId="0" applyNumberFormat="1" applyFont="1" applyFill="1" applyBorder="1" applyAlignment="1" applyProtection="1">
      <alignment horizontal="center" vertical="center"/>
    </xf>
    <xf numFmtId="0" fontId="12" fillId="3" borderId="22" xfId="0" applyFont="1" applyFill="1" applyBorder="1" applyAlignment="1" applyProtection="1">
      <alignment horizontal="center" vertical="center"/>
    </xf>
    <xf numFmtId="2" fontId="12" fillId="3" borderId="22" xfId="0" applyNumberFormat="1" applyFont="1" applyFill="1" applyBorder="1" applyAlignment="1" applyProtection="1">
      <alignment horizontal="center" vertical="center"/>
    </xf>
    <xf numFmtId="0" fontId="15" fillId="11" borderId="22" xfId="0" applyFont="1" applyFill="1" applyBorder="1" applyAlignment="1" applyProtection="1">
      <alignment horizontal="center" vertical="center"/>
      <protection locked="0"/>
    </xf>
    <xf numFmtId="2" fontId="17" fillId="0" borderId="22" xfId="0" applyNumberFormat="1" applyFont="1" applyBorder="1" applyAlignment="1" applyProtection="1">
      <alignment horizontal="center" vertical="center"/>
      <protection locked="0"/>
    </xf>
    <xf numFmtId="166" fontId="17" fillId="0" borderId="22" xfId="0" applyNumberFormat="1" applyFont="1" applyBorder="1" applyAlignment="1" applyProtection="1">
      <alignment horizontal="center" vertical="center"/>
      <protection locked="0"/>
    </xf>
    <xf numFmtId="166" fontId="17" fillId="3" borderId="22" xfId="0" applyNumberFormat="1" applyFont="1" applyFill="1" applyBorder="1" applyAlignment="1" applyProtection="1">
      <alignment horizontal="center" vertical="center"/>
      <protection locked="0"/>
    </xf>
    <xf numFmtId="2" fontId="17" fillId="3" borderId="22" xfId="0" applyNumberFormat="1" applyFont="1" applyFill="1" applyBorder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/>
      <protection locked="0"/>
    </xf>
    <xf numFmtId="2" fontId="17" fillId="0" borderId="78" xfId="0" applyNumberFormat="1" applyFont="1" applyBorder="1" applyAlignment="1" applyProtection="1">
      <alignment horizontal="center" vertical="center"/>
      <protection locked="0"/>
    </xf>
    <xf numFmtId="166" fontId="17" fillId="0" borderId="78" xfId="0" applyNumberFormat="1" applyFont="1" applyBorder="1" applyAlignment="1" applyProtection="1">
      <alignment horizontal="center" vertical="center"/>
      <protection locked="0"/>
    </xf>
    <xf numFmtId="0" fontId="17" fillId="0" borderId="78" xfId="0" applyFont="1" applyBorder="1" applyAlignment="1" applyProtection="1">
      <alignment horizontal="center" vertical="center"/>
      <protection locked="0"/>
    </xf>
    <xf numFmtId="0" fontId="17" fillId="0" borderId="69" xfId="0" applyFont="1" applyBorder="1" applyAlignment="1" applyProtection="1">
      <alignment horizontal="center" vertical="center"/>
      <protection locked="0"/>
    </xf>
    <xf numFmtId="166" fontId="17" fillId="0" borderId="46" xfId="0" applyNumberFormat="1" applyFont="1" applyBorder="1" applyAlignment="1" applyProtection="1">
      <alignment horizontal="center" vertical="center"/>
      <protection locked="0"/>
    </xf>
    <xf numFmtId="166" fontId="17" fillId="0" borderId="0" xfId="0" applyNumberFormat="1" applyFont="1" applyBorder="1" applyAlignment="1" applyProtection="1">
      <alignment horizontal="center" vertical="center"/>
      <protection locked="0"/>
    </xf>
    <xf numFmtId="2" fontId="17" fillId="0" borderId="0" xfId="0" applyNumberFormat="1" applyFont="1" applyBorder="1" applyAlignment="1" applyProtection="1">
      <alignment horizontal="center" vertical="center"/>
      <protection locked="0"/>
    </xf>
    <xf numFmtId="2" fontId="17" fillId="0" borderId="22" xfId="0" applyNumberFormat="1" applyFont="1" applyFill="1" applyBorder="1" applyAlignment="1" applyProtection="1">
      <alignment horizontal="center" vertical="center"/>
      <protection locked="0"/>
    </xf>
    <xf numFmtId="168" fontId="17" fillId="0" borderId="69" xfId="0" applyNumberFormat="1" applyFont="1" applyFill="1" applyBorder="1" applyAlignment="1" applyProtection="1">
      <alignment horizontal="center" vertical="center"/>
      <protection locked="0"/>
    </xf>
    <xf numFmtId="166" fontId="17" fillId="9" borderId="22" xfId="0" applyNumberFormat="1" applyFont="1" applyFill="1" applyBorder="1" applyAlignment="1" applyProtection="1">
      <alignment horizontal="center" vertical="center"/>
      <protection locked="0"/>
    </xf>
    <xf numFmtId="1" fontId="17" fillId="9" borderId="22" xfId="0" applyNumberFormat="1" applyFont="1" applyFill="1" applyBorder="1" applyAlignment="1" applyProtection="1">
      <alignment horizontal="center" vertical="center"/>
      <protection locked="0"/>
    </xf>
    <xf numFmtId="2" fontId="17" fillId="9" borderId="22" xfId="0" applyNumberFormat="1" applyFont="1" applyFill="1" applyBorder="1" applyAlignment="1" applyProtection="1">
      <alignment horizontal="center" vertical="center"/>
      <protection locked="0"/>
    </xf>
    <xf numFmtId="1" fontId="17" fillId="0" borderId="22" xfId="0" applyNumberFormat="1" applyFont="1" applyBorder="1" applyAlignment="1" applyProtection="1">
      <alignment horizontal="center" vertical="center"/>
      <protection locked="0"/>
    </xf>
    <xf numFmtId="0" fontId="17" fillId="17" borderId="22" xfId="0" applyFont="1" applyFill="1" applyBorder="1" applyAlignment="1" applyProtection="1">
      <alignment horizontal="center" vertical="center"/>
      <protection locked="0"/>
    </xf>
    <xf numFmtId="166" fontId="17" fillId="17" borderId="22" xfId="0" applyNumberFormat="1" applyFont="1" applyFill="1" applyBorder="1" applyAlignment="1" applyProtection="1">
      <alignment horizontal="center" vertical="center"/>
      <protection locked="0"/>
    </xf>
    <xf numFmtId="1" fontId="17" fillId="17" borderId="22" xfId="0" applyNumberFormat="1" applyFont="1" applyFill="1" applyBorder="1" applyAlignment="1" applyProtection="1">
      <alignment horizontal="center" vertical="center"/>
      <protection locked="0"/>
    </xf>
    <xf numFmtId="0" fontId="66" fillId="0" borderId="22" xfId="0" applyFont="1" applyBorder="1" applyAlignment="1" applyProtection="1">
      <alignment horizontal="center" vertical="center"/>
      <protection locked="0"/>
    </xf>
    <xf numFmtId="1" fontId="66" fillId="0" borderId="22" xfId="0" applyNumberFormat="1" applyFont="1" applyBorder="1" applyAlignment="1" applyProtection="1">
      <alignment horizontal="center" vertical="center"/>
      <protection locked="0"/>
    </xf>
    <xf numFmtId="2" fontId="17" fillId="0" borderId="52" xfId="0" applyNumberFormat="1" applyFont="1" applyFill="1" applyBorder="1" applyAlignment="1" applyProtection="1">
      <alignment horizontal="center" vertical="center"/>
      <protection locked="0"/>
    </xf>
    <xf numFmtId="168" fontId="17" fillId="0" borderId="1" xfId="0" applyNumberFormat="1" applyFont="1" applyFill="1" applyBorder="1" applyAlignment="1" applyProtection="1">
      <alignment horizontal="center" vertical="center"/>
      <protection locked="0"/>
    </xf>
    <xf numFmtId="0" fontId="17" fillId="0" borderId="0" xfId="0" applyNumberFormat="1" applyFont="1" applyBorder="1" applyAlignment="1" applyProtection="1">
      <alignment horizontal="center" vertical="center"/>
      <protection locked="0"/>
    </xf>
    <xf numFmtId="0" fontId="17" fillId="0" borderId="70" xfId="0" applyFont="1" applyBorder="1" applyAlignment="1" applyProtection="1">
      <alignment horizontal="center" vertical="center"/>
      <protection locked="0"/>
    </xf>
    <xf numFmtId="0" fontId="17" fillId="0" borderId="49" xfId="0" applyFont="1" applyBorder="1" applyAlignment="1" applyProtection="1">
      <alignment horizontal="center" vertical="center"/>
      <protection locked="0"/>
    </xf>
    <xf numFmtId="166" fontId="15" fillId="0" borderId="0" xfId="7" applyNumberFormat="1" applyFont="1" applyBorder="1" applyAlignment="1" applyProtection="1">
      <alignment horizontal="center" vertical="center"/>
      <protection locked="0"/>
    </xf>
    <xf numFmtId="0" fontId="17" fillId="0" borderId="22" xfId="0" applyFont="1" applyFill="1" applyBorder="1" applyAlignment="1" applyProtection="1">
      <alignment horizontal="center" vertical="center"/>
      <protection locked="0"/>
    </xf>
    <xf numFmtId="0" fontId="15" fillId="11" borderId="52" xfId="0" applyFont="1" applyFill="1" applyBorder="1" applyAlignment="1" applyProtection="1">
      <alignment horizontal="center" vertical="center"/>
      <protection locked="0"/>
    </xf>
    <xf numFmtId="0" fontId="17" fillId="0" borderId="52" xfId="0" applyFont="1" applyBorder="1" applyAlignment="1" applyProtection="1">
      <alignment horizontal="center" vertical="center"/>
      <protection locked="0"/>
    </xf>
    <xf numFmtId="166" fontId="17" fillId="0" borderId="52" xfId="0" applyNumberFormat="1" applyFont="1" applyBorder="1" applyAlignment="1" applyProtection="1">
      <alignment horizontal="center" vertical="center"/>
      <protection locked="0"/>
    </xf>
    <xf numFmtId="0" fontId="17" fillId="0" borderId="52" xfId="0" applyFont="1" applyFill="1" applyBorder="1" applyAlignment="1" applyProtection="1">
      <alignment horizontal="center" vertical="center"/>
      <protection locked="0"/>
    </xf>
    <xf numFmtId="0" fontId="17" fillId="0" borderId="1" xfId="0" applyFont="1" applyBorder="1" applyAlignment="1" applyProtection="1">
      <alignment horizontal="center" vertical="center"/>
      <protection locked="0"/>
    </xf>
    <xf numFmtId="0" fontId="17" fillId="0" borderId="78" xfId="0" applyFont="1" applyFill="1" applyBorder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166" fontId="17" fillId="0" borderId="22" xfId="0" applyNumberFormat="1" applyFont="1" applyFill="1" applyBorder="1" applyAlignment="1" applyProtection="1">
      <alignment horizontal="center" vertical="center"/>
      <protection locked="0"/>
    </xf>
    <xf numFmtId="166" fontId="17" fillId="0" borderId="52" xfId="0" applyNumberFormat="1" applyFont="1" applyFill="1" applyBorder="1" applyAlignment="1" applyProtection="1">
      <alignment horizontal="center" vertical="center"/>
      <protection locked="0"/>
    </xf>
    <xf numFmtId="166" fontId="17" fillId="0" borderId="78" xfId="0" applyNumberFormat="1" applyFont="1" applyFill="1" applyBorder="1" applyAlignment="1" applyProtection="1">
      <alignment horizontal="center" vertical="center"/>
      <protection locked="0"/>
    </xf>
    <xf numFmtId="0" fontId="28" fillId="3" borderId="46" xfId="0" applyFont="1" applyFill="1" applyBorder="1" applyAlignment="1" applyProtection="1">
      <alignment horizontal="center" vertical="center"/>
      <protection locked="0"/>
    </xf>
    <xf numFmtId="0" fontId="28" fillId="3" borderId="0" xfId="0" applyFont="1" applyFill="1" applyBorder="1" applyAlignment="1" applyProtection="1">
      <alignment horizontal="center" vertical="center"/>
      <protection locked="0"/>
    </xf>
    <xf numFmtId="0" fontId="17" fillId="0" borderId="46" xfId="0" applyFont="1" applyBorder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/>
      <protection locked="0"/>
    </xf>
    <xf numFmtId="0" fontId="17" fillId="24" borderId="52" xfId="0" applyFont="1" applyFill="1" applyBorder="1" applyAlignment="1" applyProtection="1">
      <alignment horizontal="center" vertical="center"/>
      <protection locked="0"/>
    </xf>
    <xf numFmtId="0" fontId="19" fillId="24" borderId="52" xfId="0" applyFont="1" applyFill="1" applyBorder="1" applyAlignment="1" applyProtection="1">
      <alignment horizontal="center" vertical="center"/>
    </xf>
    <xf numFmtId="14" fontId="15" fillId="0" borderId="0" xfId="0" applyNumberFormat="1" applyFont="1" applyFill="1" applyAlignment="1" applyProtection="1">
      <alignment horizontal="center" vertical="center"/>
      <protection locked="0"/>
    </xf>
    <xf numFmtId="0" fontId="15" fillId="0" borderId="78" xfId="0" applyFont="1" applyFill="1" applyBorder="1" applyAlignment="1" applyProtection="1">
      <alignment horizontal="center" vertical="center"/>
      <protection locked="0"/>
    </xf>
    <xf numFmtId="0" fontId="15" fillId="0" borderId="0" xfId="0" applyFont="1" applyFill="1" applyBorder="1" applyAlignment="1" applyProtection="1">
      <alignment horizontal="center" vertical="center"/>
      <protection locked="0"/>
    </xf>
    <xf numFmtId="0" fontId="15" fillId="0" borderId="22" xfId="7" applyFont="1" applyFill="1" applyBorder="1" applyAlignment="1" applyProtection="1">
      <alignment horizontal="center" vertical="center"/>
    </xf>
    <xf numFmtId="0" fontId="17" fillId="24" borderId="22" xfId="0" applyFont="1" applyFill="1" applyBorder="1" applyAlignment="1" applyProtection="1">
      <alignment horizontal="center" vertical="center"/>
      <protection locked="0"/>
    </xf>
    <xf numFmtId="0" fontId="17" fillId="24" borderId="22" xfId="0" applyFont="1" applyFill="1" applyBorder="1" applyAlignment="1" applyProtection="1">
      <alignment horizontal="center" vertical="center"/>
    </xf>
    <xf numFmtId="0" fontId="12" fillId="0" borderId="0" xfId="7" applyFont="1" applyFill="1" applyBorder="1" applyAlignment="1" applyProtection="1">
      <alignment horizontal="center" vertical="center"/>
    </xf>
    <xf numFmtId="0" fontId="28" fillId="11" borderId="22" xfId="0" applyFont="1" applyFill="1" applyBorder="1" applyAlignment="1" applyProtection="1">
      <alignment horizontal="center" vertical="center"/>
      <protection locked="0"/>
    </xf>
    <xf numFmtId="0" fontId="17" fillId="11" borderId="22" xfId="0" applyFont="1" applyFill="1" applyBorder="1" applyAlignment="1" applyProtection="1">
      <alignment horizontal="center" vertical="center"/>
      <protection locked="0"/>
    </xf>
    <xf numFmtId="0" fontId="17" fillId="11" borderId="69" xfId="0" applyFont="1" applyFill="1" applyBorder="1" applyAlignment="1" applyProtection="1">
      <alignment horizontal="center" vertical="center"/>
      <protection locked="0"/>
    </xf>
    <xf numFmtId="0" fontId="17" fillId="11" borderId="70" xfId="0" applyFont="1" applyFill="1" applyBorder="1" applyAlignment="1" applyProtection="1">
      <alignment horizontal="center" vertical="center"/>
      <protection locked="0"/>
    </xf>
    <xf numFmtId="0" fontId="28" fillId="11" borderId="70" xfId="0" applyFont="1" applyFill="1" applyBorder="1" applyAlignment="1" applyProtection="1">
      <alignment horizontal="center" vertical="center"/>
      <protection locked="0"/>
    </xf>
    <xf numFmtId="0" fontId="17" fillId="11" borderId="49" xfId="0" applyFont="1" applyFill="1" applyBorder="1" applyAlignment="1" applyProtection="1">
      <alignment horizontal="center" vertical="center"/>
      <protection locked="0"/>
    </xf>
    <xf numFmtId="0" fontId="17" fillId="24" borderId="69" xfId="0" applyFont="1" applyFill="1" applyBorder="1" applyAlignment="1" applyProtection="1">
      <alignment horizontal="center" vertical="center"/>
      <protection locked="0"/>
    </xf>
    <xf numFmtId="0" fontId="17" fillId="24" borderId="49" xfId="0" applyFont="1" applyFill="1" applyBorder="1" applyAlignment="1" applyProtection="1">
      <alignment horizontal="center" vertical="center"/>
      <protection locked="0"/>
    </xf>
    <xf numFmtId="0" fontId="17" fillId="24" borderId="22" xfId="0" applyFont="1" applyFill="1" applyBorder="1" applyAlignment="1" applyProtection="1">
      <alignment horizontal="left" vertical="center" wrapText="1"/>
      <protection locked="0"/>
    </xf>
    <xf numFmtId="0" fontId="17" fillId="24" borderId="4" xfId="0" applyFont="1" applyFill="1" applyBorder="1" applyAlignment="1" applyProtection="1">
      <alignment horizontal="center" vertical="center" wrapText="1"/>
      <protection locked="0"/>
    </xf>
    <xf numFmtId="0" fontId="17" fillId="24" borderId="62" xfId="0" applyFont="1" applyFill="1" applyBorder="1" applyAlignment="1" applyProtection="1">
      <alignment horizontal="center" vertical="center" wrapText="1"/>
      <protection locked="0"/>
    </xf>
    <xf numFmtId="0" fontId="17" fillId="24" borderId="22" xfId="0" applyFont="1" applyFill="1" applyBorder="1" applyAlignment="1" applyProtection="1">
      <alignment horizontal="center" vertical="center" wrapText="1"/>
      <protection locked="0"/>
    </xf>
    <xf numFmtId="14" fontId="15" fillId="0" borderId="0" xfId="0" applyNumberFormat="1" applyFont="1" applyFill="1" applyBorder="1" applyAlignment="1" applyProtection="1">
      <alignment horizontal="center" vertical="center"/>
      <protection locked="0"/>
    </xf>
    <xf numFmtId="1" fontId="17" fillId="7" borderId="22" xfId="7" applyNumberFormat="1" applyFont="1" applyFill="1" applyBorder="1" applyAlignment="1" applyProtection="1">
      <alignment horizontal="center" vertical="center"/>
    </xf>
    <xf numFmtId="166" fontId="17" fillId="7" borderId="22" xfId="7" applyNumberFormat="1" applyFont="1" applyFill="1" applyBorder="1" applyAlignment="1" applyProtection="1">
      <alignment vertical="center"/>
    </xf>
    <xf numFmtId="1" fontId="17" fillId="7" borderId="22" xfId="7" applyNumberFormat="1" applyFont="1" applyFill="1" applyBorder="1" applyAlignment="1" applyProtection="1">
      <alignment vertical="center"/>
    </xf>
    <xf numFmtId="2" fontId="17" fillId="7" borderId="22" xfId="7" applyNumberFormat="1" applyFont="1" applyFill="1" applyBorder="1" applyAlignment="1" applyProtection="1">
      <alignment vertical="center"/>
    </xf>
    <xf numFmtId="0" fontId="17" fillId="7" borderId="22" xfId="0" applyFont="1" applyFill="1" applyBorder="1" applyAlignment="1" applyProtection="1">
      <alignment vertical="center"/>
    </xf>
    <xf numFmtId="0" fontId="17" fillId="0" borderId="22" xfId="0" applyFont="1" applyFill="1" applyBorder="1" applyAlignment="1" applyProtection="1">
      <alignment horizontal="center" vertical="center"/>
    </xf>
    <xf numFmtId="164" fontId="17" fillId="12" borderId="22" xfId="1" applyFont="1" applyFill="1" applyBorder="1" applyAlignment="1" applyProtection="1">
      <alignment horizontal="center" vertical="center"/>
    </xf>
    <xf numFmtId="0" fontId="17" fillId="12" borderId="69" xfId="0" applyFont="1" applyFill="1" applyBorder="1" applyAlignment="1" applyProtection="1">
      <alignment horizontal="center" vertical="center"/>
    </xf>
    <xf numFmtId="0" fontId="17" fillId="12" borderId="4" xfId="7" applyFont="1" applyFill="1" applyBorder="1" applyAlignment="1" applyProtection="1">
      <alignment horizontal="center" vertical="center"/>
    </xf>
    <xf numFmtId="166" fontId="122" fillId="12" borderId="22" xfId="7" applyNumberFormat="1" applyFont="1" applyFill="1" applyBorder="1" applyAlignment="1" applyProtection="1">
      <alignment horizontal="center" vertical="center"/>
    </xf>
    <xf numFmtId="0" fontId="17" fillId="12" borderId="22" xfId="0" applyFont="1" applyFill="1" applyBorder="1" applyAlignment="1" applyProtection="1">
      <alignment horizontal="center" vertical="center"/>
      <protection locked="0"/>
    </xf>
    <xf numFmtId="1" fontId="17" fillId="18" borderId="22" xfId="0" applyNumberFormat="1" applyFont="1" applyFill="1" applyBorder="1" applyAlignment="1" applyProtection="1">
      <alignment horizontal="center" vertical="center"/>
    </xf>
    <xf numFmtId="0" fontId="17" fillId="18" borderId="22" xfId="0" applyFont="1" applyFill="1" applyBorder="1" applyAlignment="1" applyProtection="1">
      <alignment horizontal="center" vertical="center"/>
    </xf>
    <xf numFmtId="1" fontId="17" fillId="18" borderId="22" xfId="0" applyNumberFormat="1" applyFont="1" applyFill="1" applyBorder="1" applyAlignment="1" applyProtection="1">
      <alignment horizontal="center" vertical="center"/>
      <protection locked="0"/>
    </xf>
    <xf numFmtId="0" fontId="17" fillId="18" borderId="22" xfId="0" applyFont="1" applyFill="1" applyBorder="1" applyAlignment="1" applyProtection="1">
      <alignment horizontal="center" vertical="center"/>
      <protection locked="0"/>
    </xf>
    <xf numFmtId="164" fontId="17" fillId="0" borderId="22" xfId="1" applyFont="1" applyFill="1" applyBorder="1" applyAlignment="1" applyProtection="1">
      <alignment horizontal="center" vertical="center"/>
    </xf>
    <xf numFmtId="0" fontId="17" fillId="0" borderId="0" xfId="0" applyFont="1" applyAlignment="1" applyProtection="1">
      <alignment horizontal="center" vertical="center"/>
    </xf>
    <xf numFmtId="0" fontId="110" fillId="7" borderId="22" xfId="0" applyFont="1" applyFill="1" applyBorder="1" applyAlignment="1" applyProtection="1">
      <alignment horizontal="center" vertical="center" wrapText="1"/>
      <protection locked="0"/>
    </xf>
    <xf numFmtId="0" fontId="17" fillId="7" borderId="22" xfId="0" applyFont="1" applyFill="1" applyBorder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vertical="center" wrapText="1"/>
    </xf>
    <xf numFmtId="0" fontId="124" fillId="10" borderId="49" xfId="0" applyFont="1" applyFill="1" applyBorder="1" applyAlignment="1" applyProtection="1">
      <alignment horizontal="center" vertical="center" wrapText="1"/>
      <protection locked="0"/>
    </xf>
    <xf numFmtId="1" fontId="28" fillId="10" borderId="22" xfId="0" applyNumberFormat="1" applyFont="1" applyFill="1" applyBorder="1" applyAlignment="1" applyProtection="1">
      <alignment horizontal="center" vertical="center" wrapText="1"/>
      <protection locked="0"/>
    </xf>
    <xf numFmtId="0" fontId="28" fillId="10" borderId="22" xfId="0" applyFont="1" applyFill="1" applyBorder="1" applyAlignment="1" applyProtection="1">
      <alignment horizontal="center" vertical="center" wrapText="1"/>
      <protection locked="0"/>
    </xf>
    <xf numFmtId="0" fontId="28" fillId="10" borderId="22" xfId="0" applyFont="1" applyFill="1" applyBorder="1" applyAlignment="1" applyProtection="1">
      <alignment horizontal="center" vertical="center" wrapText="1"/>
    </xf>
    <xf numFmtId="166" fontId="11" fillId="12" borderId="22" xfId="0" applyNumberFormat="1" applyFont="1" applyFill="1" applyBorder="1" applyAlignment="1" applyProtection="1">
      <alignment horizontal="center" vertical="center"/>
      <protection locked="0"/>
    </xf>
    <xf numFmtId="2" fontId="9" fillId="12" borderId="22" xfId="0" applyNumberFormat="1" applyFont="1" applyFill="1" applyBorder="1" applyAlignment="1" applyProtection="1">
      <alignment horizontal="center" vertical="center"/>
    </xf>
    <xf numFmtId="166" fontId="9" fillId="12" borderId="22" xfId="0" applyNumberFormat="1" applyFont="1" applyFill="1" applyBorder="1" applyAlignment="1" applyProtection="1">
      <alignment horizontal="center" vertical="center"/>
    </xf>
    <xf numFmtId="1" fontId="9" fillId="12" borderId="22" xfId="0" applyNumberFormat="1" applyFont="1" applyFill="1" applyBorder="1" applyAlignment="1" applyProtection="1">
      <alignment horizontal="center" vertical="center"/>
    </xf>
    <xf numFmtId="0" fontId="9" fillId="12" borderId="22" xfId="0" applyFont="1" applyFill="1" applyBorder="1" applyAlignment="1" applyProtection="1">
      <alignment horizontal="center" vertical="center"/>
    </xf>
    <xf numFmtId="0" fontId="9" fillId="12" borderId="0" xfId="0" applyFont="1" applyFill="1" applyAlignment="1" applyProtection="1">
      <alignment horizontal="center" vertical="center"/>
      <protection locked="0"/>
    </xf>
    <xf numFmtId="0" fontId="11" fillId="16" borderId="22" xfId="0" applyFont="1" applyFill="1" applyBorder="1" applyAlignment="1" applyProtection="1">
      <alignment horizontal="center" vertical="center"/>
      <protection locked="0"/>
    </xf>
    <xf numFmtId="0" fontId="9" fillId="16" borderId="0" xfId="0" applyFont="1" applyFill="1" applyAlignment="1" applyProtection="1">
      <alignment horizontal="center" vertical="center"/>
      <protection locked="0"/>
    </xf>
    <xf numFmtId="0" fontId="11" fillId="0" borderId="0" xfId="0" applyFont="1" applyFill="1" applyBorder="1" applyAlignment="1" applyProtection="1">
      <alignment horizontal="center" vertical="center"/>
      <protection locked="0"/>
    </xf>
    <xf numFmtId="1" fontId="17" fillId="7" borderId="22" xfId="0" applyNumberFormat="1" applyFont="1" applyFill="1" applyBorder="1" applyAlignment="1" applyProtection="1">
      <alignment horizontal="center" vertical="center" wrapText="1"/>
      <protection locked="0"/>
    </xf>
    <xf numFmtId="1" fontId="17" fillId="7" borderId="22" xfId="7" applyNumberFormat="1" applyFont="1" applyFill="1" applyBorder="1" applyAlignment="1" applyProtection="1">
      <alignment horizontal="center" vertical="center" wrapText="1"/>
      <protection locked="0"/>
    </xf>
    <xf numFmtId="0" fontId="17" fillId="12" borderId="22" xfId="7" applyFont="1" applyFill="1" applyBorder="1" applyAlignment="1" applyProtection="1">
      <alignment horizontal="center" vertical="center"/>
    </xf>
    <xf numFmtId="0" fontId="17" fillId="3" borderId="22" xfId="0" applyFont="1" applyFill="1" applyBorder="1" applyAlignment="1" applyProtection="1">
      <alignment horizontal="center" vertical="center" wrapText="1"/>
      <protection locked="0"/>
    </xf>
    <xf numFmtId="164" fontId="17" fillId="12" borderId="4" xfId="1" applyFont="1" applyFill="1" applyBorder="1" applyAlignment="1" applyProtection="1">
      <alignment horizontal="center" vertical="center"/>
    </xf>
    <xf numFmtId="0" fontId="17" fillId="12" borderId="4" xfId="0" applyFont="1" applyFill="1" applyBorder="1" applyAlignment="1" applyProtection="1">
      <alignment horizontal="center" vertical="center"/>
    </xf>
    <xf numFmtId="0" fontId="17" fillId="12" borderId="4" xfId="0" applyFont="1" applyFill="1" applyBorder="1" applyAlignment="1" applyProtection="1">
      <alignment horizontal="center" vertical="center"/>
      <protection locked="0"/>
    </xf>
    <xf numFmtId="0" fontId="17" fillId="0" borderId="69" xfId="0" applyFont="1" applyBorder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/>
      <protection locked="0"/>
    </xf>
    <xf numFmtId="0" fontId="11" fillId="12" borderId="22" xfId="0" applyFont="1" applyFill="1" applyBorder="1" applyAlignment="1" applyProtection="1">
      <alignment horizontal="center" vertical="center"/>
    </xf>
    <xf numFmtId="0" fontId="17" fillId="7" borderId="0" xfId="0" applyFont="1" applyFill="1" applyAlignment="1" applyProtection="1">
      <alignment horizontal="center" vertical="center"/>
    </xf>
    <xf numFmtId="0" fontId="17" fillId="7" borderId="69" xfId="0" applyFont="1" applyFill="1" applyBorder="1" applyAlignment="1" applyProtection="1">
      <alignment horizontal="center" vertical="center"/>
    </xf>
    <xf numFmtId="1" fontId="17" fillId="12" borderId="22" xfId="0" applyNumberFormat="1" applyFont="1" applyFill="1" applyBorder="1" applyAlignment="1" applyProtection="1">
      <alignment horizontal="center" vertical="center" wrapText="1"/>
      <protection locked="0"/>
    </xf>
    <xf numFmtId="1" fontId="17" fillId="12" borderId="22" xfId="7" applyNumberFormat="1" applyFont="1" applyFill="1" applyBorder="1" applyAlignment="1" applyProtection="1">
      <alignment horizontal="center" vertical="center" wrapText="1"/>
      <protection locked="0"/>
    </xf>
    <xf numFmtId="0" fontId="17" fillId="12" borderId="22" xfId="0" applyFont="1" applyFill="1" applyBorder="1" applyAlignment="1" applyProtection="1">
      <alignment horizontal="center" vertical="center" wrapText="1"/>
      <protection locked="0"/>
    </xf>
    <xf numFmtId="0" fontId="19" fillId="12" borderId="22" xfId="0" applyFont="1" applyFill="1" applyBorder="1" applyAlignment="1" applyProtection="1">
      <alignment horizontal="center" vertical="center" wrapText="1"/>
      <protection locked="0"/>
    </xf>
    <xf numFmtId="0" fontId="17" fillId="12" borderId="22" xfId="0" applyFont="1" applyFill="1" applyBorder="1" applyAlignment="1" applyProtection="1">
      <alignment vertical="center" wrapText="1"/>
      <protection locked="0"/>
    </xf>
    <xf numFmtId="1" fontId="17" fillId="12" borderId="4" xfId="0" applyNumberFormat="1" applyFont="1" applyFill="1" applyBorder="1" applyAlignment="1" applyProtection="1">
      <alignment horizontal="center" vertical="center" wrapText="1"/>
      <protection locked="0"/>
    </xf>
    <xf numFmtId="1" fontId="19" fillId="12" borderId="22" xfId="0" applyNumberFormat="1" applyFont="1" applyFill="1" applyBorder="1" applyAlignment="1" applyProtection="1">
      <alignment horizontal="center" vertical="center" wrapText="1"/>
      <protection locked="0"/>
    </xf>
    <xf numFmtId="0" fontId="17" fillId="7" borderId="22" xfId="0" applyFont="1" applyFill="1" applyBorder="1" applyAlignment="1" applyProtection="1">
      <alignment horizontal="center" vertical="center" wrapText="1"/>
    </xf>
    <xf numFmtId="0" fontId="17" fillId="0" borderId="0" xfId="0" applyFont="1" applyBorder="1" applyAlignment="1" applyProtection="1">
      <alignment horizontal="left" vertical="center"/>
      <protection locked="0"/>
    </xf>
    <xf numFmtId="0" fontId="17" fillId="3" borderId="22" xfId="0" applyFont="1" applyFill="1" applyBorder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 wrapText="1"/>
      <protection locked="0"/>
    </xf>
    <xf numFmtId="16" fontId="17" fillId="3" borderId="22" xfId="0" applyNumberFormat="1" applyFont="1" applyFill="1" applyBorder="1" applyAlignment="1" applyProtection="1">
      <alignment horizontal="center" vertical="center"/>
      <protection locked="0"/>
    </xf>
    <xf numFmtId="0" fontId="17" fillId="12" borderId="22" xfId="1" applyNumberFormat="1" applyFont="1" applyFill="1" applyBorder="1" applyAlignment="1" applyProtection="1">
      <alignment horizontal="center" vertical="center"/>
    </xf>
    <xf numFmtId="0" fontId="17" fillId="12" borderId="22" xfId="0" applyNumberFormat="1" applyFont="1" applyFill="1" applyBorder="1" applyAlignment="1" applyProtection="1">
      <alignment horizontal="center" vertical="center"/>
    </xf>
    <xf numFmtId="0" fontId="17" fillId="12" borderId="22" xfId="7" applyNumberFormat="1" applyFont="1" applyFill="1" applyBorder="1" applyAlignment="1" applyProtection="1">
      <alignment horizontal="center" vertical="center"/>
    </xf>
    <xf numFmtId="0" fontId="17" fillId="24" borderId="22" xfId="0" applyNumberFormat="1" applyFont="1" applyFill="1" applyBorder="1" applyAlignment="1" applyProtection="1">
      <alignment horizontal="center" vertical="center"/>
    </xf>
    <xf numFmtId="0" fontId="17" fillId="24" borderId="22" xfId="0" applyNumberFormat="1" applyFont="1" applyFill="1" applyBorder="1" applyAlignment="1" applyProtection="1">
      <alignment horizontal="center" vertical="center"/>
      <protection locked="0"/>
    </xf>
    <xf numFmtId="0" fontId="17" fillId="0" borderId="22" xfId="0" applyNumberFormat="1" applyFont="1" applyBorder="1" applyAlignment="1" applyProtection="1">
      <alignment horizontal="center" vertical="center"/>
      <protection locked="0"/>
    </xf>
    <xf numFmtId="0" fontId="17" fillId="0" borderId="0" xfId="0" applyNumberFormat="1" applyFont="1" applyAlignment="1" applyProtection="1">
      <alignment horizontal="center" vertical="center"/>
      <protection locked="0"/>
    </xf>
    <xf numFmtId="0" fontId="17" fillId="24" borderId="69" xfId="0" applyNumberFormat="1" applyFont="1" applyFill="1" applyBorder="1" applyAlignment="1" applyProtection="1">
      <alignment horizontal="center" vertical="center"/>
      <protection locked="0"/>
    </xf>
    <xf numFmtId="166" fontId="9" fillId="12" borderId="69" xfId="0" applyNumberFormat="1" applyFont="1" applyFill="1" applyBorder="1" applyAlignment="1" applyProtection="1">
      <alignment vertical="center"/>
    </xf>
    <xf numFmtId="0" fontId="11" fillId="16" borderId="22" xfId="0" applyFont="1" applyFill="1" applyBorder="1" applyAlignment="1" applyProtection="1">
      <alignment horizontal="center" vertical="center"/>
    </xf>
    <xf numFmtId="167" fontId="11" fillId="12" borderId="22" xfId="0" applyNumberFormat="1" applyFont="1" applyFill="1" applyBorder="1" applyAlignment="1" applyProtection="1">
      <alignment horizontal="center" vertical="center"/>
    </xf>
    <xf numFmtId="166" fontId="11" fillId="12" borderId="22" xfId="0" applyNumberFormat="1" applyFont="1" applyFill="1" applyBorder="1" applyAlignment="1" applyProtection="1">
      <alignment horizontal="center" vertical="center"/>
    </xf>
    <xf numFmtId="0" fontId="17" fillId="16" borderId="22" xfId="0" applyFont="1" applyFill="1" applyBorder="1" applyAlignment="1" applyProtection="1">
      <alignment horizontal="center" vertical="center"/>
    </xf>
    <xf numFmtId="164" fontId="17" fillId="16" borderId="22" xfId="1" applyFont="1" applyFill="1" applyBorder="1" applyAlignment="1" applyProtection="1">
      <alignment horizontal="center" vertical="center"/>
    </xf>
    <xf numFmtId="0" fontId="17" fillId="16" borderId="22" xfId="7" applyFont="1" applyFill="1" applyBorder="1" applyAlignment="1" applyProtection="1">
      <alignment horizontal="center" vertical="center"/>
    </xf>
    <xf numFmtId="2" fontId="17" fillId="16" borderId="22" xfId="0" applyNumberFormat="1" applyFont="1" applyFill="1" applyBorder="1" applyAlignment="1" applyProtection="1">
      <alignment horizontal="center" vertical="center"/>
    </xf>
    <xf numFmtId="166" fontId="17" fillId="16" borderId="22" xfId="0" applyNumberFormat="1" applyFont="1" applyFill="1" applyBorder="1" applyAlignment="1" applyProtection="1">
      <alignment horizontal="center" vertical="center"/>
    </xf>
    <xf numFmtId="168" fontId="17" fillId="16" borderId="4" xfId="0" applyNumberFormat="1" applyFont="1" applyFill="1" applyBorder="1" applyAlignment="1" applyProtection="1">
      <alignment horizontal="center" vertical="center"/>
    </xf>
    <xf numFmtId="1" fontId="17" fillId="16" borderId="22" xfId="0" applyNumberFormat="1" applyFont="1" applyFill="1" applyBorder="1" applyAlignment="1" applyProtection="1">
      <alignment horizontal="center" vertical="center"/>
    </xf>
    <xf numFmtId="168" fontId="17" fillId="16" borderId="22" xfId="0" applyNumberFormat="1" applyFont="1" applyFill="1" applyBorder="1" applyAlignment="1" applyProtection="1">
      <alignment horizontal="center" vertical="center"/>
    </xf>
    <xf numFmtId="0" fontId="28" fillId="16" borderId="22" xfId="7" applyFont="1" applyFill="1" applyBorder="1" applyAlignment="1" applyProtection="1">
      <alignment horizontal="center" vertical="center"/>
    </xf>
    <xf numFmtId="0" fontId="28" fillId="16" borderId="52" xfId="7" applyFont="1" applyFill="1" applyBorder="1" applyAlignment="1" applyProtection="1">
      <alignment horizontal="center" vertical="center"/>
    </xf>
    <xf numFmtId="0" fontId="28" fillId="16" borderId="69" xfId="7" applyFont="1" applyFill="1" applyBorder="1" applyAlignment="1" applyProtection="1">
      <alignment horizontal="center" vertical="center"/>
    </xf>
    <xf numFmtId="0" fontId="28" fillId="16" borderId="69" xfId="7" applyFont="1" applyFill="1" applyBorder="1" applyAlignment="1" applyProtection="1">
      <alignment vertical="center"/>
    </xf>
    <xf numFmtId="0" fontId="28" fillId="16" borderId="22" xfId="7" applyFont="1" applyFill="1" applyBorder="1" applyAlignment="1" applyProtection="1">
      <alignment horizontal="center" vertical="center" wrapText="1"/>
    </xf>
    <xf numFmtId="0" fontId="28" fillId="16" borderId="52" xfId="0" applyFont="1" applyFill="1" applyBorder="1" applyAlignment="1" applyProtection="1">
      <alignment horizontal="center" vertical="center" wrapText="1"/>
    </xf>
    <xf numFmtId="0" fontId="28" fillId="16" borderId="22" xfId="0" applyFont="1" applyFill="1" applyBorder="1" applyAlignment="1" applyProtection="1">
      <alignment horizontal="center" vertical="center" wrapText="1"/>
    </xf>
    <xf numFmtId="0" fontId="17" fillId="16" borderId="4" xfId="7" applyFont="1" applyFill="1" applyBorder="1" applyAlignment="1" applyProtection="1">
      <alignment horizontal="center" vertical="center"/>
    </xf>
    <xf numFmtId="0" fontId="17" fillId="16" borderId="52" xfId="0" applyFont="1" applyFill="1" applyBorder="1" applyAlignment="1" applyProtection="1">
      <alignment horizontal="center" vertical="center"/>
      <protection locked="0"/>
    </xf>
    <xf numFmtId="2" fontId="17" fillId="16" borderId="22" xfId="7" applyNumberFormat="1" applyFont="1" applyFill="1" applyBorder="1" applyAlignment="1" applyProtection="1">
      <alignment horizontal="center" vertical="center"/>
    </xf>
    <xf numFmtId="0" fontId="17" fillId="16" borderId="4" xfId="0" applyFont="1" applyFill="1" applyBorder="1" applyAlignment="1" applyProtection="1">
      <alignment vertical="center" wrapText="1"/>
    </xf>
    <xf numFmtId="166" fontId="122" fillId="16" borderId="22" xfId="7" applyNumberFormat="1" applyFont="1" applyFill="1" applyBorder="1" applyAlignment="1" applyProtection="1">
      <alignment horizontal="center" vertical="center"/>
    </xf>
    <xf numFmtId="0" fontId="17" fillId="16" borderId="22" xfId="0" applyFont="1" applyFill="1" applyBorder="1" applyAlignment="1" applyProtection="1">
      <alignment horizontal="center" vertical="center"/>
      <protection locked="0"/>
    </xf>
    <xf numFmtId="0" fontId="19" fillId="16" borderId="22" xfId="0" applyFont="1" applyFill="1" applyBorder="1" applyAlignment="1" applyProtection="1">
      <alignment horizontal="center" vertical="center"/>
    </xf>
    <xf numFmtId="166" fontId="17" fillId="16" borderId="70" xfId="7" applyNumberFormat="1" applyFont="1" applyFill="1" applyBorder="1" applyAlignment="1" applyProtection="1">
      <alignment horizontal="center" vertical="center"/>
    </xf>
    <xf numFmtId="1" fontId="17" fillId="16" borderId="22" xfId="7" applyNumberFormat="1" applyFont="1" applyFill="1" applyBorder="1" applyAlignment="1" applyProtection="1">
      <alignment horizontal="center" vertical="center"/>
    </xf>
    <xf numFmtId="166" fontId="17" fillId="16" borderId="22" xfId="7" applyNumberFormat="1" applyFont="1" applyFill="1" applyBorder="1" applyAlignment="1" applyProtection="1">
      <alignment horizontal="center" vertical="center"/>
    </xf>
    <xf numFmtId="166" fontId="17" fillId="16" borderId="4" xfId="7" applyNumberFormat="1" applyFont="1" applyFill="1" applyBorder="1" applyAlignment="1" applyProtection="1">
      <alignment horizontal="center" vertical="center"/>
    </xf>
    <xf numFmtId="1" fontId="28" fillId="16" borderId="22" xfId="7" applyNumberFormat="1" applyFont="1" applyFill="1" applyBorder="1" applyAlignment="1" applyProtection="1">
      <alignment horizontal="center" vertical="center" wrapText="1"/>
    </xf>
    <xf numFmtId="2" fontId="28" fillId="16" borderId="22" xfId="7" applyNumberFormat="1" applyFont="1" applyFill="1" applyBorder="1" applyAlignment="1" applyProtection="1">
      <alignment horizontal="center" vertical="center"/>
    </xf>
    <xf numFmtId="166" fontId="17" fillId="16" borderId="22" xfId="0" applyNumberFormat="1" applyFont="1" applyFill="1" applyBorder="1" applyAlignment="1" applyProtection="1">
      <alignment horizontal="center" vertical="center"/>
      <protection locked="0"/>
    </xf>
    <xf numFmtId="2" fontId="17" fillId="16" borderId="22" xfId="0" applyNumberFormat="1" applyFont="1" applyFill="1" applyBorder="1" applyAlignment="1" applyProtection="1">
      <alignment horizontal="center" vertical="center"/>
      <protection locked="0"/>
    </xf>
    <xf numFmtId="2" fontId="17" fillId="5" borderId="69" xfId="0" applyNumberFormat="1" applyFont="1" applyFill="1" applyBorder="1" applyAlignment="1" applyProtection="1">
      <alignment horizontal="right" vertical="center"/>
      <protection locked="0"/>
    </xf>
    <xf numFmtId="0" fontId="17" fillId="5" borderId="22" xfId="0" applyFont="1" applyFill="1" applyBorder="1" applyAlignment="1" applyProtection="1">
      <alignment horizontal="right"/>
      <protection locked="0"/>
    </xf>
    <xf numFmtId="166" fontId="17" fillId="15" borderId="22" xfId="0" applyNumberFormat="1" applyFont="1" applyFill="1" applyBorder="1" applyProtection="1">
      <protection locked="0"/>
    </xf>
    <xf numFmtId="0" fontId="17" fillId="15" borderId="22" xfId="0" applyFont="1" applyFill="1" applyBorder="1" applyAlignment="1" applyProtection="1">
      <alignment horizontal="center" vertical="center"/>
      <protection locked="0"/>
    </xf>
    <xf numFmtId="166" fontId="68" fillId="8" borderId="22" xfId="0" applyNumberFormat="1" applyFont="1" applyFill="1" applyBorder="1" applyAlignment="1" applyProtection="1">
      <alignment vertical="center"/>
    </xf>
    <xf numFmtId="0" fontId="11" fillId="14" borderId="14" xfId="0" applyFont="1" applyFill="1" applyBorder="1" applyAlignment="1" applyProtection="1">
      <alignment horizontal="center" vertical="center"/>
    </xf>
    <xf numFmtId="0" fontId="11" fillId="14" borderId="15" xfId="0" applyFont="1" applyFill="1" applyBorder="1" applyAlignment="1" applyProtection="1">
      <alignment horizontal="center"/>
    </xf>
    <xf numFmtId="166" fontId="9" fillId="12" borderId="24" xfId="0" applyNumberFormat="1" applyFont="1" applyFill="1" applyBorder="1" applyAlignment="1" applyProtection="1">
      <alignment horizontal="center" vertical="center"/>
    </xf>
    <xf numFmtId="166" fontId="9" fillId="12" borderId="25" xfId="0" applyNumberFormat="1" applyFont="1" applyFill="1" applyBorder="1" applyAlignment="1" applyProtection="1">
      <alignment horizontal="center" vertical="center"/>
    </xf>
    <xf numFmtId="0" fontId="19" fillId="16" borderId="22" xfId="0" applyFont="1" applyFill="1" applyBorder="1" applyAlignment="1">
      <alignment horizontal="center" vertical="center" wrapText="1"/>
    </xf>
    <xf numFmtId="0" fontId="15" fillId="16" borderId="22" xfId="0" applyFont="1" applyFill="1" applyBorder="1" applyAlignment="1" applyProtection="1">
      <alignment horizontal="center" vertical="center"/>
    </xf>
    <xf numFmtId="166" fontId="15" fillId="7" borderId="22" xfId="7" applyNumberFormat="1" applyFont="1" applyFill="1" applyBorder="1" applyProtection="1"/>
    <xf numFmtId="0" fontId="15" fillId="7" borderId="22" xfId="0" applyFont="1" applyFill="1" applyBorder="1" applyProtection="1"/>
    <xf numFmtId="0" fontId="9" fillId="7" borderId="22" xfId="0" applyFont="1" applyFill="1" applyBorder="1" applyProtection="1"/>
    <xf numFmtId="0" fontId="15" fillId="7" borderId="22" xfId="0" applyFont="1" applyFill="1" applyBorder="1" applyAlignment="1" applyProtection="1">
      <alignment horizontal="center" vertical="center"/>
    </xf>
    <xf numFmtId="1" fontId="9" fillId="0" borderId="60" xfId="0" applyNumberFormat="1" applyFont="1" applyBorder="1" applyAlignment="1" applyProtection="1">
      <alignment horizontal="center"/>
      <protection locked="0"/>
    </xf>
    <xf numFmtId="1" fontId="9" fillId="0" borderId="69" xfId="0" applyNumberFormat="1" applyFont="1" applyBorder="1" applyAlignment="1" applyProtection="1">
      <alignment horizontal="center"/>
      <protection locked="0"/>
    </xf>
    <xf numFmtId="0" fontId="28" fillId="0" borderId="22" xfId="0" applyFont="1" applyBorder="1" applyAlignment="1" applyProtection="1">
      <alignment horizontal="center" vertical="center" wrapText="1"/>
      <protection locked="0"/>
    </xf>
    <xf numFmtId="0" fontId="12" fillId="3" borderId="22" xfId="0" applyFont="1" applyFill="1" applyBorder="1" applyAlignment="1" applyProtection="1">
      <alignment horizontal="center" vertical="center" wrapText="1"/>
      <protection locked="0"/>
    </xf>
    <xf numFmtId="0" fontId="110" fillId="10" borderId="22" xfId="0" applyFont="1" applyFill="1" applyBorder="1" applyAlignment="1" applyProtection="1">
      <alignment horizontal="center" wrapText="1"/>
      <protection locked="0"/>
    </xf>
    <xf numFmtId="0" fontId="17" fillId="0" borderId="22" xfId="0" applyFont="1" applyBorder="1" applyAlignment="1" applyProtection="1">
      <alignment wrapText="1"/>
      <protection locked="0"/>
    </xf>
    <xf numFmtId="0" fontId="17" fillId="0" borderId="22" xfId="0" applyFont="1" applyBorder="1" applyAlignment="1" applyProtection="1">
      <alignment horizontal="center" wrapText="1"/>
      <protection locked="0"/>
    </xf>
    <xf numFmtId="0" fontId="17" fillId="0" borderId="4" xfId="0" applyFont="1" applyBorder="1" applyAlignment="1" applyProtection="1">
      <alignment horizontal="center"/>
      <protection locked="0"/>
    </xf>
    <xf numFmtId="1" fontId="17" fillId="10" borderId="22" xfId="0" applyNumberFormat="1" applyFont="1" applyFill="1" applyBorder="1" applyAlignment="1" applyProtection="1">
      <alignment horizontal="center" wrapText="1"/>
      <protection locked="0"/>
    </xf>
    <xf numFmtId="0" fontId="17" fillId="10" borderId="22" xfId="0" applyFont="1" applyFill="1" applyBorder="1" applyAlignment="1" applyProtection="1">
      <alignment horizontal="center" wrapText="1"/>
      <protection locked="0"/>
    </xf>
    <xf numFmtId="0" fontId="21" fillId="0" borderId="69" xfId="0" applyFont="1" applyBorder="1" applyAlignment="1" applyProtection="1">
      <alignment horizontal="center" vertical="center" wrapText="1"/>
      <protection locked="0"/>
    </xf>
    <xf numFmtId="0" fontId="21" fillId="0" borderId="22" xfId="0" applyFont="1" applyBorder="1" applyAlignment="1" applyProtection="1">
      <alignment horizontal="center" vertical="center"/>
      <protection locked="0"/>
    </xf>
    <xf numFmtId="1" fontId="28" fillId="0" borderId="22" xfId="0" applyNumberFormat="1" applyFont="1" applyFill="1" applyBorder="1" applyAlignment="1" applyProtection="1">
      <alignment horizontal="center" wrapText="1"/>
      <protection locked="0"/>
    </xf>
    <xf numFmtId="0" fontId="12" fillId="0" borderId="78" xfId="0" applyFont="1" applyFill="1" applyBorder="1" applyAlignment="1" applyProtection="1">
      <alignment vertical="center" wrapText="1"/>
      <protection locked="0"/>
    </xf>
    <xf numFmtId="1" fontId="28" fillId="0" borderId="69" xfId="0" applyNumberFormat="1" applyFont="1" applyFill="1" applyBorder="1" applyAlignment="1" applyProtection="1">
      <alignment horizontal="center" wrapText="1"/>
      <protection locked="0"/>
    </xf>
    <xf numFmtId="0" fontId="11" fillId="0" borderId="22" xfId="0" applyFont="1" applyFill="1" applyBorder="1" applyAlignment="1" applyProtection="1">
      <alignment horizontal="center" wrapText="1"/>
      <protection locked="0"/>
    </xf>
    <xf numFmtId="1" fontId="17" fillId="0" borderId="22" xfId="0" applyNumberFormat="1" applyFont="1" applyFill="1" applyBorder="1" applyAlignment="1" applyProtection="1">
      <alignment horizontal="center" wrapText="1"/>
      <protection locked="0"/>
    </xf>
    <xf numFmtId="1" fontId="17" fillId="0" borderId="4" xfId="0" applyNumberFormat="1" applyFont="1" applyFill="1" applyBorder="1" applyAlignment="1" applyProtection="1">
      <alignment horizontal="center" wrapText="1"/>
      <protection locked="0"/>
    </xf>
    <xf numFmtId="0" fontId="110" fillId="7" borderId="22" xfId="0" applyFont="1" applyFill="1" applyBorder="1" applyAlignment="1" applyProtection="1">
      <alignment horizontal="center" wrapText="1"/>
      <protection locked="0"/>
    </xf>
    <xf numFmtId="0" fontId="17" fillId="7" borderId="22" xfId="0" applyFont="1" applyFill="1" applyBorder="1" applyAlignment="1" applyProtection="1">
      <alignment horizontal="center" wrapText="1"/>
      <protection locked="0"/>
    </xf>
    <xf numFmtId="1" fontId="17" fillId="18" borderId="22" xfId="0" applyNumberFormat="1" applyFont="1" applyFill="1" applyBorder="1" applyAlignment="1" applyProtection="1"/>
    <xf numFmtId="1" fontId="17" fillId="18" borderId="22" xfId="0" applyNumberFormat="1" applyFont="1" applyFill="1" applyBorder="1" applyAlignment="1" applyProtection="1">
      <protection locked="0"/>
    </xf>
    <xf numFmtId="0" fontId="17" fillId="18" borderId="22" xfId="0" applyFont="1" applyFill="1" applyBorder="1" applyAlignment="1" applyProtection="1"/>
    <xf numFmtId="0" fontId="17" fillId="18" borderId="22" xfId="0" applyFont="1" applyFill="1" applyBorder="1" applyAlignment="1" applyProtection="1">
      <protection locked="0"/>
    </xf>
    <xf numFmtId="2" fontId="9" fillId="0" borderId="60" xfId="0" applyNumberFormat="1" applyFont="1" applyBorder="1" applyAlignment="1" applyProtection="1">
      <alignment horizontal="center" vertical="center"/>
      <protection locked="0"/>
    </xf>
    <xf numFmtId="166" fontId="9" fillId="0" borderId="52" xfId="0" applyNumberFormat="1" applyFont="1" applyFill="1" applyBorder="1" applyAlignment="1" applyProtection="1">
      <alignment horizontal="center"/>
      <protection locked="0"/>
    </xf>
    <xf numFmtId="166" fontId="9" fillId="5" borderId="42" xfId="0" applyNumberFormat="1" applyFont="1" applyFill="1" applyBorder="1" applyAlignment="1" applyProtection="1">
      <alignment horizontal="center"/>
      <protection locked="0"/>
    </xf>
    <xf numFmtId="0" fontId="11" fillId="0" borderId="53" xfId="0" applyFont="1" applyBorder="1" applyAlignment="1" applyProtection="1">
      <alignment horizontal="center"/>
      <protection locked="0"/>
    </xf>
    <xf numFmtId="0" fontId="11" fillId="5" borderId="20" xfId="0" applyFont="1" applyFill="1" applyBorder="1" applyAlignment="1" applyProtection="1">
      <alignment horizontal="center" wrapText="1"/>
      <protection locked="0"/>
    </xf>
    <xf numFmtId="0" fontId="11" fillId="5" borderId="19" xfId="0" applyFont="1" applyFill="1" applyBorder="1" applyAlignment="1" applyProtection="1">
      <alignment horizontal="center" wrapText="1"/>
      <protection locked="0"/>
    </xf>
    <xf numFmtId="166" fontId="11" fillId="5" borderId="47" xfId="0" applyNumberFormat="1" applyFont="1" applyFill="1" applyBorder="1" applyAlignment="1" applyProtection="1">
      <alignment horizontal="center" vertical="center"/>
      <protection locked="0"/>
    </xf>
    <xf numFmtId="166" fontId="11" fillId="5" borderId="69" xfId="0" applyNumberFormat="1" applyFont="1" applyFill="1" applyBorder="1" applyAlignment="1" applyProtection="1">
      <alignment horizontal="center" vertical="center"/>
      <protection locked="0"/>
    </xf>
    <xf numFmtId="166" fontId="11" fillId="5" borderId="48" xfId="0" applyNumberFormat="1" applyFont="1" applyFill="1" applyBorder="1" applyAlignment="1" applyProtection="1">
      <alignment horizontal="center" vertical="center"/>
      <protection locked="0"/>
    </xf>
    <xf numFmtId="0" fontId="11" fillId="5" borderId="16" xfId="0" applyFont="1" applyFill="1" applyBorder="1" applyAlignment="1" applyProtection="1">
      <alignment horizontal="center" vertical="center" wrapText="1"/>
      <protection locked="0"/>
    </xf>
    <xf numFmtId="0" fontId="15" fillId="10" borderId="5" xfId="0" applyFont="1" applyFill="1" applyBorder="1" applyProtection="1"/>
    <xf numFmtId="0" fontId="43" fillId="0" borderId="22" xfId="0" applyFont="1" applyBorder="1" applyAlignment="1">
      <alignment vertical="center" wrapText="1"/>
    </xf>
    <xf numFmtId="20" fontId="37" fillId="0" borderId="0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50" fillId="16" borderId="52" xfId="0" applyFont="1" applyFill="1" applyBorder="1" applyAlignment="1">
      <alignment horizontal="center" vertical="top" wrapText="1"/>
    </xf>
    <xf numFmtId="0" fontId="50" fillId="16" borderId="4" xfId="0" applyFont="1" applyFill="1" applyBorder="1" applyAlignment="1">
      <alignment horizontal="center" vertical="top" wrapText="1"/>
    </xf>
    <xf numFmtId="0" fontId="17" fillId="0" borderId="0" xfId="0" applyFont="1" applyBorder="1" applyAlignment="1">
      <alignment vertical="top" wrapText="1"/>
    </xf>
    <xf numFmtId="0" fontId="36" fillId="0" borderId="0" xfId="0" applyFont="1" applyBorder="1" applyAlignment="1">
      <alignment vertical="top" wrapText="1"/>
    </xf>
    <xf numFmtId="0" fontId="50" fillId="16" borderId="22" xfId="0" applyFont="1" applyFill="1" applyBorder="1" applyAlignment="1">
      <alignment horizontal="center" vertical="top" wrapText="1"/>
    </xf>
    <xf numFmtId="166" fontId="15" fillId="0" borderId="42" xfId="0" applyNumberFormat="1" applyFont="1" applyBorder="1" applyProtection="1"/>
    <xf numFmtId="0" fontId="50" fillId="16" borderId="22" xfId="0" applyFont="1" applyFill="1" applyBorder="1" applyAlignment="1">
      <alignment vertical="top" wrapText="1"/>
    </xf>
    <xf numFmtId="0" fontId="50" fillId="16" borderId="69" xfId="0" applyFont="1" applyFill="1" applyBorder="1" applyAlignment="1">
      <alignment horizontal="left" vertical="top" wrapText="1"/>
    </xf>
    <xf numFmtId="0" fontId="50" fillId="16" borderId="49" xfId="0" applyFont="1" applyFill="1" applyBorder="1" applyAlignment="1">
      <alignment horizontal="center" vertical="top" wrapText="1"/>
    </xf>
    <xf numFmtId="0" fontId="16" fillId="16" borderId="52" xfId="0" applyFont="1" applyFill="1" applyBorder="1" applyAlignment="1">
      <alignment horizontal="center" vertical="top" wrapText="1"/>
    </xf>
    <xf numFmtId="0" fontId="126" fillId="0" borderId="0" xfId="0" applyFont="1" applyAlignment="1">
      <alignment vertical="center"/>
    </xf>
    <xf numFmtId="0" fontId="50" fillId="16" borderId="22" xfId="0" applyFont="1" applyFill="1" applyBorder="1" applyAlignment="1">
      <alignment horizontal="center" vertical="top" wrapText="1"/>
    </xf>
    <xf numFmtId="0" fontId="50" fillId="16" borderId="22" xfId="0" applyFont="1" applyFill="1" applyBorder="1" applyAlignment="1">
      <alignment horizontal="center" vertical="top" wrapText="1"/>
    </xf>
    <xf numFmtId="166" fontId="9" fillId="0" borderId="52" xfId="0" applyNumberFormat="1" applyFont="1" applyFill="1" applyBorder="1" applyAlignment="1" applyProtection="1">
      <alignment horizontal="center"/>
      <protection locked="0"/>
    </xf>
    <xf numFmtId="166" fontId="9" fillId="0" borderId="57" xfId="0" applyNumberFormat="1" applyFont="1" applyFill="1" applyBorder="1" applyAlignment="1" applyProtection="1">
      <alignment horizontal="center"/>
      <protection locked="0"/>
    </xf>
    <xf numFmtId="0" fontId="11" fillId="0" borderId="5" xfId="0" applyFont="1" applyFill="1" applyBorder="1" applyAlignment="1" applyProtection="1">
      <alignment horizontal="center"/>
      <protection locked="0"/>
    </xf>
    <xf numFmtId="0" fontId="12" fillId="0" borderId="22" xfId="0" applyFont="1" applyFill="1" applyBorder="1" applyAlignment="1" applyProtection="1">
      <alignment horizontal="center"/>
      <protection locked="0"/>
    </xf>
    <xf numFmtId="0" fontId="17" fillId="0" borderId="22" xfId="0" applyFont="1" applyFill="1" applyBorder="1" applyAlignment="1" applyProtection="1">
      <alignment horizontal="center"/>
      <protection locked="0"/>
    </xf>
    <xf numFmtId="169" fontId="9" fillId="0" borderId="51" xfId="0" applyNumberFormat="1" applyFont="1" applyBorder="1" applyAlignment="1" applyProtection="1">
      <alignment horizontal="center"/>
      <protection locked="0"/>
    </xf>
    <xf numFmtId="0" fontId="11" fillId="0" borderId="4" xfId="0" applyFont="1" applyFill="1" applyBorder="1" applyAlignment="1" applyProtection="1">
      <alignment horizontal="center"/>
      <protection locked="0"/>
    </xf>
    <xf numFmtId="166" fontId="11" fillId="0" borderId="4" xfId="0" applyNumberFormat="1" applyFont="1" applyFill="1" applyBorder="1" applyAlignment="1" applyProtection="1">
      <alignment horizontal="center"/>
    </xf>
    <xf numFmtId="0" fontId="50" fillId="16" borderId="22" xfId="0" applyFont="1" applyFill="1" applyBorder="1" applyAlignment="1">
      <alignment horizontal="center" vertical="top" wrapText="1"/>
    </xf>
    <xf numFmtId="166" fontId="11" fillId="12" borderId="36" xfId="0" applyNumberFormat="1" applyFont="1" applyFill="1" applyBorder="1" applyAlignment="1" applyProtection="1">
      <alignment horizontal="center"/>
    </xf>
    <xf numFmtId="166" fontId="11" fillId="12" borderId="8" xfId="0" applyNumberFormat="1" applyFont="1" applyFill="1" applyBorder="1" applyAlignment="1" applyProtection="1">
      <alignment horizontal="center"/>
    </xf>
    <xf numFmtId="166" fontId="9" fillId="0" borderId="57" xfId="0" applyNumberFormat="1" applyFont="1" applyFill="1" applyBorder="1" applyAlignment="1" applyProtection="1">
      <alignment horizontal="center"/>
      <protection locked="0"/>
    </xf>
    <xf numFmtId="0" fontId="15" fillId="0" borderId="53" xfId="0" applyFont="1" applyBorder="1" applyAlignment="1" applyProtection="1">
      <alignment horizontal="center" vertical="center" wrapText="1"/>
      <protection locked="0"/>
    </xf>
    <xf numFmtId="0" fontId="15" fillId="0" borderId="65" xfId="0" applyFont="1" applyBorder="1" applyAlignment="1" applyProtection="1">
      <alignment horizontal="center" vertical="center" wrapText="1"/>
      <protection locked="0"/>
    </xf>
    <xf numFmtId="169" fontId="9" fillId="0" borderId="63" xfId="0" applyNumberFormat="1" applyFont="1" applyBorder="1" applyAlignment="1" applyProtection="1">
      <alignment horizontal="center" vertical="center" wrapText="1"/>
      <protection locked="0"/>
    </xf>
    <xf numFmtId="169" fontId="9" fillId="0" borderId="25" xfId="0" applyNumberFormat="1" applyFont="1" applyBorder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left" vertical="center"/>
      <protection locked="0"/>
    </xf>
    <xf numFmtId="0" fontId="11" fillId="0" borderId="0" xfId="0" applyFont="1" applyAlignment="1" applyProtection="1">
      <alignment vertical="center"/>
      <protection locked="0"/>
    </xf>
    <xf numFmtId="0" fontId="11" fillId="0" borderId="0" xfId="0" applyFont="1" applyAlignment="1" applyProtection="1">
      <alignment horizontal="right" vertical="center"/>
      <protection locked="0"/>
    </xf>
    <xf numFmtId="0" fontId="9" fillId="0" borderId="0" xfId="0" applyFont="1" applyAlignment="1" applyProtection="1">
      <alignment horizontal="right"/>
      <protection locked="0"/>
    </xf>
    <xf numFmtId="0" fontId="9" fillId="0" borderId="0" xfId="0" applyFont="1" applyBorder="1" applyAlignment="1" applyProtection="1">
      <alignment horizontal="right" vertical="center"/>
      <protection locked="0"/>
    </xf>
    <xf numFmtId="0" fontId="71" fillId="0" borderId="58" xfId="0" applyFont="1" applyBorder="1" applyAlignment="1" applyProtection="1">
      <protection locked="0"/>
    </xf>
    <xf numFmtId="1" fontId="9" fillId="0" borderId="65" xfId="0" applyNumberFormat="1" applyFont="1" applyBorder="1" applyAlignment="1" applyProtection="1">
      <alignment horizontal="center" vertical="center" wrapText="1"/>
      <protection locked="0"/>
    </xf>
    <xf numFmtId="0" fontId="9" fillId="16" borderId="22" xfId="0" applyFont="1" applyFill="1" applyBorder="1" applyAlignment="1">
      <alignment horizontal="center" vertical="center" wrapText="1"/>
    </xf>
    <xf numFmtId="0" fontId="9" fillId="16" borderId="22" xfId="0" applyFont="1" applyFill="1" applyBorder="1" applyAlignment="1">
      <alignment horizontal="center" vertical="top" wrapText="1"/>
    </xf>
    <xf numFmtId="0" fontId="9" fillId="0" borderId="38" xfId="0" applyFont="1" applyBorder="1" applyAlignment="1">
      <alignment horizontal="center" vertical="center" wrapText="1"/>
    </xf>
    <xf numFmtId="0" fontId="9" fillId="0" borderId="72" xfId="0" applyFont="1" applyBorder="1" applyAlignment="1">
      <alignment horizontal="center" vertical="center" wrapText="1"/>
    </xf>
    <xf numFmtId="0" fontId="9" fillId="0" borderId="52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 wrapText="1"/>
    </xf>
    <xf numFmtId="0" fontId="9" fillId="16" borderId="4" xfId="0" applyFont="1" applyFill="1" applyBorder="1" applyAlignment="1">
      <alignment horizontal="center" vertical="center" wrapText="1"/>
    </xf>
    <xf numFmtId="0" fontId="45" fillId="16" borderId="22" xfId="0" applyFont="1" applyFill="1" applyBorder="1" applyAlignment="1">
      <alignment horizontal="center" vertical="top" wrapText="1"/>
    </xf>
    <xf numFmtId="0" fontId="9" fillId="16" borderId="22" xfId="0" applyFont="1" applyFill="1" applyBorder="1" applyAlignment="1">
      <alignment horizontal="center" wrapText="1"/>
    </xf>
    <xf numFmtId="0" fontId="50" fillId="16" borderId="22" xfId="0" applyFont="1" applyFill="1" applyBorder="1" applyAlignment="1">
      <alignment horizontal="center" vertical="center" wrapText="1"/>
    </xf>
    <xf numFmtId="0" fontId="9" fillId="16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5" fillId="16" borderId="0" xfId="0" applyFont="1" applyFill="1" applyAlignment="1">
      <alignment vertical="center"/>
    </xf>
    <xf numFmtId="0" fontId="9" fillId="0" borderId="22" xfId="0" applyFont="1" applyBorder="1" applyAlignment="1">
      <alignment vertical="center"/>
    </xf>
    <xf numFmtId="166" fontId="26" fillId="0" borderId="22" xfId="11" applyNumberFormat="1" applyFont="1" applyBorder="1" applyAlignment="1">
      <alignment horizontal="center"/>
    </xf>
    <xf numFmtId="0" fontId="15" fillId="0" borderId="53" xfId="0" applyFont="1" applyBorder="1" applyAlignment="1" applyProtection="1">
      <alignment horizontal="center" vertical="center" wrapText="1"/>
      <protection locked="0"/>
    </xf>
    <xf numFmtId="0" fontId="15" fillId="0" borderId="65" xfId="0" applyFont="1" applyBorder="1" applyAlignment="1" applyProtection="1">
      <alignment horizontal="center" vertical="center" wrapText="1"/>
      <protection locked="0"/>
    </xf>
    <xf numFmtId="0" fontId="61" fillId="0" borderId="49" xfId="11" applyFont="1" applyBorder="1" applyAlignment="1">
      <alignment horizontal="center" vertical="center" wrapText="1"/>
    </xf>
    <xf numFmtId="0" fontId="61" fillId="0" borderId="69" xfId="11" applyFont="1" applyBorder="1" applyAlignment="1">
      <alignment horizontal="center" vertical="center" wrapText="1"/>
    </xf>
    <xf numFmtId="1" fontId="9" fillId="5" borderId="43" xfId="0" applyNumberFormat="1" applyFont="1" applyFill="1" applyBorder="1" applyAlignment="1" applyProtection="1">
      <alignment horizontal="center"/>
      <protection locked="0"/>
    </xf>
    <xf numFmtId="1" fontId="9" fillId="5" borderId="47" xfId="0" applyNumberFormat="1" applyFont="1" applyFill="1" applyBorder="1" applyAlignment="1" applyProtection="1">
      <alignment horizontal="center"/>
      <protection locked="0"/>
    </xf>
    <xf numFmtId="2" fontId="9" fillId="5" borderId="20" xfId="0" applyNumberFormat="1" applyFont="1" applyFill="1" applyBorder="1" applyAlignment="1" applyProtection="1">
      <alignment horizontal="center"/>
      <protection locked="0"/>
    </xf>
    <xf numFmtId="2" fontId="9" fillId="5" borderId="16" xfId="0" applyNumberFormat="1" applyFont="1" applyFill="1" applyBorder="1" applyAlignment="1" applyProtection="1">
      <alignment horizontal="center"/>
      <protection locked="0"/>
    </xf>
    <xf numFmtId="2" fontId="9" fillId="5" borderId="19" xfId="0" applyNumberFormat="1" applyFont="1" applyFill="1" applyBorder="1" applyAlignment="1" applyProtection="1">
      <alignment horizontal="center"/>
      <protection locked="0"/>
    </xf>
    <xf numFmtId="2" fontId="9" fillId="5" borderId="23" xfId="0" applyNumberFormat="1" applyFont="1" applyFill="1" applyBorder="1" applyAlignment="1" applyProtection="1">
      <alignment horizontal="center"/>
      <protection locked="0"/>
    </xf>
    <xf numFmtId="20" fontId="9" fillId="0" borderId="22" xfId="0" applyNumberFormat="1" applyFont="1" applyFill="1" applyBorder="1" applyAlignment="1" applyProtection="1">
      <alignment horizontal="center"/>
      <protection locked="0"/>
    </xf>
    <xf numFmtId="166" fontId="9" fillId="0" borderId="22" xfId="0" applyNumberFormat="1" applyFont="1" applyFill="1" applyBorder="1" applyAlignment="1" applyProtection="1">
      <protection locked="0"/>
    </xf>
    <xf numFmtId="166" fontId="9" fillId="0" borderId="57" xfId="0" applyNumberFormat="1" applyFont="1" applyFill="1" applyBorder="1" applyAlignment="1" applyProtection="1">
      <alignment horizontal="center"/>
      <protection locked="0"/>
    </xf>
    <xf numFmtId="1" fontId="9" fillId="0" borderId="16" xfId="0" applyNumberFormat="1" applyFont="1" applyFill="1" applyBorder="1" applyAlignment="1" applyProtection="1">
      <alignment horizontal="center" vertical="center"/>
      <protection locked="0"/>
    </xf>
    <xf numFmtId="1" fontId="9" fillId="0" borderId="4" xfId="0" applyNumberFormat="1" applyFont="1" applyFill="1" applyBorder="1" applyAlignment="1" applyProtection="1">
      <alignment horizontal="center" vertical="center"/>
      <protection locked="0"/>
    </xf>
    <xf numFmtId="1" fontId="9" fillId="0" borderId="33" xfId="0" applyNumberFormat="1" applyFont="1" applyFill="1" applyBorder="1" applyAlignment="1" applyProtection="1">
      <alignment horizontal="center" vertical="center"/>
      <protection locked="0"/>
    </xf>
    <xf numFmtId="1" fontId="9" fillId="0" borderId="22" xfId="0" applyNumberFormat="1" applyFont="1" applyFill="1" applyBorder="1" applyAlignment="1" applyProtection="1">
      <alignment horizontal="center" vertical="center"/>
      <protection locked="0"/>
    </xf>
    <xf numFmtId="1" fontId="9" fillId="0" borderId="45" xfId="0" applyNumberFormat="1" applyFont="1" applyFill="1" applyBorder="1" applyAlignment="1" applyProtection="1">
      <alignment horizontal="center"/>
      <protection locked="0"/>
    </xf>
    <xf numFmtId="1" fontId="9" fillId="0" borderId="4" xfId="0" applyNumberFormat="1" applyFont="1" applyFill="1" applyBorder="1" applyAlignment="1" applyProtection="1">
      <alignment horizontal="center"/>
      <protection locked="0"/>
    </xf>
    <xf numFmtId="2" fontId="9" fillId="0" borderId="4" xfId="0" applyNumberFormat="1" applyFont="1" applyFill="1" applyBorder="1" applyAlignment="1" applyProtection="1">
      <alignment horizontal="center"/>
      <protection locked="0"/>
    </xf>
    <xf numFmtId="1" fontId="9" fillId="0" borderId="44" xfId="0" applyNumberFormat="1" applyFont="1" applyFill="1" applyBorder="1" applyAlignment="1" applyProtection="1">
      <alignment horizontal="center"/>
      <protection locked="0"/>
    </xf>
    <xf numFmtId="1" fontId="9" fillId="0" borderId="49" xfId="0" applyNumberFormat="1" applyFont="1" applyFill="1" applyBorder="1" applyAlignment="1" applyProtection="1">
      <alignment horizontal="center"/>
      <protection locked="0"/>
    </xf>
    <xf numFmtId="1" fontId="9" fillId="0" borderId="22" xfId="0" applyNumberFormat="1" applyFont="1" applyFill="1" applyBorder="1" applyAlignment="1" applyProtection="1">
      <alignment horizontal="center"/>
      <protection locked="0"/>
    </xf>
    <xf numFmtId="1" fontId="9" fillId="0" borderId="48" xfId="0" applyNumberFormat="1" applyFont="1" applyFill="1" applyBorder="1" applyAlignment="1" applyProtection="1">
      <alignment horizontal="center"/>
      <protection locked="0"/>
    </xf>
    <xf numFmtId="166" fontId="9" fillId="0" borderId="25" xfId="0" applyNumberFormat="1" applyFont="1" applyFill="1" applyBorder="1" applyAlignment="1" applyProtection="1">
      <alignment horizontal="center" vertical="center"/>
      <protection locked="0"/>
    </xf>
    <xf numFmtId="166" fontId="9" fillId="0" borderId="22" xfId="0" applyNumberFormat="1" applyFont="1" applyFill="1" applyBorder="1" applyAlignment="1" applyProtection="1">
      <alignment horizontal="center" vertical="center"/>
      <protection locked="0"/>
    </xf>
    <xf numFmtId="166" fontId="9" fillId="0" borderId="48" xfId="0" applyNumberFormat="1" applyFont="1" applyFill="1" applyBorder="1" applyAlignment="1" applyProtection="1">
      <alignment horizontal="center" vertical="center"/>
      <protection locked="0"/>
    </xf>
    <xf numFmtId="166" fontId="9" fillId="0" borderId="28" xfId="0" applyNumberFormat="1" applyFont="1" applyFill="1" applyBorder="1" applyAlignment="1" applyProtection="1">
      <alignment horizontal="center" vertical="center"/>
      <protection locked="0"/>
    </xf>
    <xf numFmtId="166" fontId="9" fillId="0" borderId="24" xfId="0" applyNumberFormat="1" applyFont="1" applyFill="1" applyBorder="1" applyAlignment="1" applyProtection="1">
      <alignment horizontal="center"/>
      <protection locked="0"/>
    </xf>
    <xf numFmtId="0" fontId="9" fillId="0" borderId="44" xfId="0" applyFont="1" applyFill="1" applyBorder="1" applyAlignment="1" applyProtection="1">
      <alignment horizontal="center"/>
      <protection locked="0"/>
    </xf>
    <xf numFmtId="0" fontId="9" fillId="0" borderId="68" xfId="0" applyFont="1" applyFill="1" applyBorder="1" applyAlignment="1" applyProtection="1">
      <alignment horizontal="center"/>
      <protection locked="0"/>
    </xf>
    <xf numFmtId="166" fontId="9" fillId="0" borderId="63" xfId="0" applyNumberFormat="1" applyFont="1" applyFill="1" applyBorder="1" applyAlignment="1" applyProtection="1">
      <alignment horizontal="center"/>
      <protection locked="0"/>
    </xf>
    <xf numFmtId="2" fontId="9" fillId="0" borderId="24" xfId="0" applyNumberFormat="1" applyFont="1" applyFill="1" applyBorder="1" applyAlignment="1" applyProtection="1">
      <alignment horizontal="center"/>
      <protection locked="0"/>
    </xf>
    <xf numFmtId="0" fontId="9" fillId="0" borderId="48" xfId="0" applyFont="1" applyFill="1" applyBorder="1" applyAlignment="1" applyProtection="1">
      <alignment horizontal="center"/>
      <protection locked="0"/>
    </xf>
    <xf numFmtId="0" fontId="9" fillId="0" borderId="70" xfId="0" applyFont="1" applyFill="1" applyBorder="1" applyAlignment="1" applyProtection="1">
      <alignment horizontal="center"/>
      <protection locked="0"/>
    </xf>
    <xf numFmtId="166" fontId="9" fillId="0" borderId="43" xfId="0" applyNumberFormat="1" applyFont="1" applyFill="1" applyBorder="1" applyAlignment="1" applyProtection="1">
      <alignment horizontal="center"/>
      <protection locked="0"/>
    </xf>
    <xf numFmtId="0" fontId="9" fillId="0" borderId="25" xfId="0" applyFont="1" applyFill="1" applyBorder="1" applyAlignment="1" applyProtection="1">
      <alignment horizontal="center"/>
      <protection locked="0"/>
    </xf>
    <xf numFmtId="0" fontId="9" fillId="0" borderId="60" xfId="0" applyFont="1" applyFill="1" applyBorder="1" applyAlignment="1" applyProtection="1">
      <alignment horizontal="center"/>
      <protection locked="0"/>
    </xf>
    <xf numFmtId="0" fontId="9" fillId="0" borderId="52" xfId="0" applyFont="1" applyFill="1" applyBorder="1" applyAlignment="1" applyProtection="1">
      <alignment horizontal="center"/>
      <protection locked="0"/>
    </xf>
    <xf numFmtId="0" fontId="9" fillId="0" borderId="57" xfId="0" applyFont="1" applyFill="1" applyBorder="1" applyAlignment="1" applyProtection="1">
      <alignment horizontal="center"/>
      <protection locked="0"/>
    </xf>
    <xf numFmtId="0" fontId="9" fillId="0" borderId="78" xfId="0" applyFont="1" applyFill="1" applyBorder="1" applyAlignment="1" applyProtection="1">
      <alignment horizontal="center"/>
      <protection locked="0"/>
    </xf>
    <xf numFmtId="166" fontId="9" fillId="0" borderId="50" xfId="0" applyNumberFormat="1" applyFont="1" applyFill="1" applyBorder="1" applyAlignment="1" applyProtection="1">
      <alignment horizontal="center"/>
      <protection locked="0"/>
    </xf>
    <xf numFmtId="2" fontId="9" fillId="0" borderId="60" xfId="0" applyNumberFormat="1" applyFont="1" applyFill="1" applyBorder="1" applyAlignment="1" applyProtection="1">
      <alignment horizontal="center"/>
      <protection locked="0"/>
    </xf>
    <xf numFmtId="168" fontId="9" fillId="0" borderId="62" xfId="0" applyNumberFormat="1" applyFont="1" applyFill="1" applyBorder="1" applyAlignment="1" applyProtection="1">
      <alignment horizontal="center"/>
      <protection locked="0"/>
    </xf>
    <xf numFmtId="168" fontId="9" fillId="0" borderId="69" xfId="0" applyNumberFormat="1" applyFont="1" applyFill="1" applyBorder="1" applyAlignment="1" applyProtection="1">
      <alignment horizontal="center"/>
      <protection locked="0"/>
    </xf>
    <xf numFmtId="168" fontId="9" fillId="0" borderId="1" xfId="0" applyNumberFormat="1" applyFont="1" applyFill="1" applyBorder="1" applyAlignment="1" applyProtection="1">
      <alignment horizontal="center"/>
      <protection locked="0"/>
    </xf>
    <xf numFmtId="2" fontId="9" fillId="0" borderId="52" xfId="0" applyNumberFormat="1" applyFont="1" applyFill="1" applyBorder="1" applyAlignment="1" applyProtection="1">
      <alignment horizontal="center"/>
      <protection locked="0"/>
    </xf>
    <xf numFmtId="168" fontId="9" fillId="0" borderId="57" xfId="0" applyNumberFormat="1" applyFont="1" applyFill="1" applyBorder="1" applyAlignment="1" applyProtection="1">
      <alignment horizontal="center"/>
      <protection locked="0"/>
    </xf>
    <xf numFmtId="0" fontId="9" fillId="0" borderId="32" xfId="0" applyFont="1" applyFill="1" applyBorder="1" applyAlignment="1" applyProtection="1">
      <alignment horizontal="center"/>
      <protection locked="0"/>
    </xf>
    <xf numFmtId="0" fontId="9" fillId="0" borderId="33" xfId="0" applyFont="1" applyFill="1" applyBorder="1" applyAlignment="1" applyProtection="1">
      <alignment horizontal="center"/>
      <protection locked="0"/>
    </xf>
    <xf numFmtId="1" fontId="11" fillId="12" borderId="43" xfId="0" applyNumberFormat="1" applyFont="1" applyFill="1" applyBorder="1" applyAlignment="1" applyProtection="1">
      <alignment horizontal="center" vertical="center"/>
      <protection locked="0"/>
    </xf>
    <xf numFmtId="1" fontId="11" fillId="12" borderId="43" xfId="0" applyNumberFormat="1" applyFont="1" applyFill="1" applyBorder="1" applyAlignment="1" applyProtection="1">
      <alignment horizontal="center" vertical="center"/>
    </xf>
    <xf numFmtId="1" fontId="15" fillId="0" borderId="22" xfId="0" applyNumberFormat="1" applyFont="1" applyBorder="1" applyAlignment="1" applyProtection="1">
      <alignment horizontal="center" vertical="center"/>
      <protection locked="0"/>
    </xf>
    <xf numFmtId="0" fontId="60" fillId="0" borderId="0" xfId="16" applyFont="1" applyAlignment="1">
      <alignment vertical="top" wrapText="1"/>
    </xf>
    <xf numFmtId="0" fontId="61" fillId="0" borderId="22" xfId="16" applyFont="1" applyBorder="1" applyAlignment="1">
      <alignment horizontal="center" vertical="center" wrapText="1"/>
    </xf>
    <xf numFmtId="0" fontId="58" fillId="0" borderId="0" xfId="16" applyFont="1" applyAlignment="1">
      <alignment vertical="top"/>
    </xf>
    <xf numFmtId="0" fontId="58" fillId="0" borderId="22" xfId="16" applyFont="1" applyBorder="1" applyAlignment="1">
      <alignment horizontal="center" vertical="center" wrapText="1"/>
    </xf>
    <xf numFmtId="0" fontId="58" fillId="0" borderId="49" xfId="16" applyFont="1" applyBorder="1" applyAlignment="1">
      <alignment horizontal="center" vertical="center" wrapText="1"/>
    </xf>
    <xf numFmtId="0" fontId="58" fillId="0" borderId="69" xfId="16" applyFont="1" applyBorder="1" applyAlignment="1">
      <alignment horizontal="center" vertical="center" wrapText="1"/>
    </xf>
    <xf numFmtId="0" fontId="64" fillId="0" borderId="22" xfId="16" applyFont="1" applyBorder="1" applyAlignment="1">
      <alignment horizontal="center" vertical="center" wrapText="1"/>
    </xf>
    <xf numFmtId="0" fontId="64" fillId="0" borderId="22" xfId="0" applyFont="1" applyBorder="1" applyAlignment="1">
      <alignment horizontal="center" vertical="center"/>
    </xf>
    <xf numFmtId="0" fontId="64" fillId="0" borderId="49" xfId="16" applyFont="1" applyBorder="1" applyAlignment="1">
      <alignment horizontal="center" vertical="center" wrapText="1"/>
    </xf>
    <xf numFmtId="0" fontId="58" fillId="5" borderId="22" xfId="16" applyFont="1" applyFill="1" applyBorder="1" applyAlignment="1">
      <alignment horizontal="center" vertical="center" wrapText="1"/>
    </xf>
    <xf numFmtId="0" fontId="58" fillId="0" borderId="49" xfId="16" applyFont="1" applyBorder="1" applyAlignment="1">
      <alignment horizontal="center" vertical="top" wrapText="1"/>
    </xf>
    <xf numFmtId="0" fontId="64" fillId="0" borderId="49" xfId="16" applyFont="1" applyBorder="1" applyAlignment="1">
      <alignment horizontal="center" vertical="top" wrapText="1"/>
    </xf>
    <xf numFmtId="0" fontId="64" fillId="0" borderId="22" xfId="16" applyFont="1" applyBorder="1" applyAlignment="1">
      <alignment horizontal="center" vertical="top" wrapText="1"/>
    </xf>
    <xf numFmtId="0" fontId="58" fillId="0" borderId="22" xfId="16" applyFont="1" applyBorder="1" applyAlignment="1">
      <alignment horizontal="center" wrapText="1"/>
    </xf>
    <xf numFmtId="0" fontId="58" fillId="0" borderId="52" xfId="16" applyFont="1" applyBorder="1" applyAlignment="1">
      <alignment horizontal="center" vertical="center" wrapText="1"/>
    </xf>
    <xf numFmtId="49" fontId="58" fillId="0" borderId="22" xfId="16" applyNumberFormat="1" applyFont="1" applyBorder="1" applyAlignment="1">
      <alignment horizontal="center" vertical="center" wrapText="1"/>
    </xf>
    <xf numFmtId="0" fontId="58" fillId="0" borderId="22" xfId="16" applyFont="1" applyFill="1" applyBorder="1" applyAlignment="1">
      <alignment horizontal="center" vertical="center" wrapText="1"/>
    </xf>
    <xf numFmtId="0" fontId="64" fillId="0" borderId="69" xfId="16" applyFont="1" applyBorder="1" applyAlignment="1">
      <alignment horizontal="center" vertical="center" wrapText="1"/>
    </xf>
    <xf numFmtId="0" fontId="58" fillId="0" borderId="0" xfId="16" applyFont="1" applyAlignment="1">
      <alignment horizontal="center" vertical="center" wrapText="1"/>
    </xf>
    <xf numFmtId="0" fontId="60" fillId="0" borderId="0" xfId="16" applyFont="1" applyAlignment="1">
      <alignment horizontal="center" vertical="center" wrapText="1"/>
    </xf>
    <xf numFmtId="0" fontId="58" fillId="0" borderId="0" xfId="16" applyFont="1" applyAlignment="1">
      <alignment horizontal="center" vertical="center"/>
    </xf>
    <xf numFmtId="0" fontId="9" fillId="12" borderId="31" xfId="0" applyFont="1" applyFill="1" applyBorder="1" applyAlignment="1" applyProtection="1">
      <alignment horizontal="center"/>
    </xf>
    <xf numFmtId="0" fontId="9" fillId="0" borderId="4" xfId="0" applyNumberFormat="1" applyFont="1" applyBorder="1" applyAlignment="1" applyProtection="1">
      <alignment horizontal="center"/>
      <protection locked="0"/>
    </xf>
    <xf numFmtId="0" fontId="9" fillId="0" borderId="44" xfId="0" applyNumberFormat="1" applyFont="1" applyBorder="1" applyAlignment="1" applyProtection="1">
      <alignment horizontal="center"/>
      <protection locked="0"/>
    </xf>
    <xf numFmtId="0" fontId="9" fillId="0" borderId="22" xfId="0" applyNumberFormat="1" applyFont="1" applyBorder="1" applyAlignment="1" applyProtection="1">
      <alignment horizontal="center"/>
      <protection locked="0"/>
    </xf>
    <xf numFmtId="0" fontId="9" fillId="0" borderId="48" xfId="0" applyNumberFormat="1" applyFont="1" applyBorder="1" applyAlignment="1" applyProtection="1">
      <alignment horizontal="center"/>
      <protection locked="0"/>
    </xf>
    <xf numFmtId="0" fontId="9" fillId="0" borderId="28" xfId="0" applyNumberFormat="1" applyFont="1" applyBorder="1" applyAlignment="1" applyProtection="1">
      <protection locked="0"/>
    </xf>
    <xf numFmtId="0" fontId="9" fillId="0" borderId="4" xfId="0" applyNumberFormat="1" applyFont="1" applyFill="1" applyBorder="1" applyAlignment="1" applyProtection="1">
      <alignment horizontal="center"/>
      <protection locked="0"/>
    </xf>
    <xf numFmtId="0" fontId="9" fillId="0" borderId="44" xfId="0" applyNumberFormat="1" applyFont="1" applyFill="1" applyBorder="1" applyProtection="1">
      <protection locked="0"/>
    </xf>
    <xf numFmtId="0" fontId="9" fillId="0" borderId="22" xfId="0" applyNumberFormat="1" applyFont="1" applyFill="1" applyBorder="1" applyAlignment="1" applyProtection="1">
      <alignment horizontal="center"/>
      <protection locked="0"/>
    </xf>
    <xf numFmtId="0" fontId="9" fillId="0" borderId="0" xfId="0" applyNumberFormat="1" applyFont="1" applyFill="1" applyAlignment="1" applyProtection="1">
      <alignment horizontal="center"/>
      <protection locked="0"/>
    </xf>
    <xf numFmtId="0" fontId="9" fillId="0" borderId="48" xfId="0" applyNumberFormat="1" applyFont="1" applyFill="1" applyBorder="1" applyAlignment="1" applyProtection="1">
      <alignment horizontal="center"/>
      <protection locked="0"/>
    </xf>
    <xf numFmtId="0" fontId="9" fillId="0" borderId="49" xfId="0" applyNumberFormat="1" applyFont="1" applyFill="1" applyBorder="1" applyAlignment="1" applyProtection="1">
      <alignment horizontal="center"/>
      <protection locked="0"/>
    </xf>
    <xf numFmtId="0" fontId="9" fillId="0" borderId="56" xfId="0" applyNumberFormat="1" applyFont="1" applyFill="1" applyBorder="1" applyAlignment="1" applyProtection="1">
      <protection locked="0"/>
    </xf>
    <xf numFmtId="0" fontId="9" fillId="0" borderId="56" xfId="0" applyNumberFormat="1" applyFont="1" applyFill="1" applyBorder="1" applyAlignment="1" applyProtection="1">
      <alignment horizontal="center"/>
      <protection locked="0"/>
    </xf>
    <xf numFmtId="0" fontId="9" fillId="0" borderId="28" xfId="0" applyNumberFormat="1" applyFont="1" applyFill="1" applyBorder="1" applyAlignment="1" applyProtection="1">
      <alignment horizontal="center"/>
      <protection locked="0"/>
    </xf>
    <xf numFmtId="0" fontId="9" fillId="0" borderId="42" xfId="0" applyNumberFormat="1" applyFont="1" applyFill="1" applyBorder="1" applyAlignment="1" applyProtection="1">
      <alignment horizontal="center"/>
      <protection locked="0"/>
    </xf>
    <xf numFmtId="0" fontId="11" fillId="16" borderId="49" xfId="0" applyFont="1" applyFill="1" applyBorder="1" applyAlignment="1" applyProtection="1">
      <alignment horizontal="center" vertical="center"/>
      <protection locked="0"/>
    </xf>
    <xf numFmtId="0" fontId="11" fillId="16" borderId="22" xfId="0" applyFont="1" applyFill="1" applyBorder="1" applyAlignment="1" applyProtection="1">
      <alignment horizontal="left" vertical="center"/>
      <protection locked="0"/>
    </xf>
    <xf numFmtId="164" fontId="17" fillId="16" borderId="22" xfId="17" applyFont="1" applyFill="1" applyBorder="1" applyAlignment="1" applyProtection="1">
      <alignment horizontal="center" vertical="center"/>
      <protection locked="0"/>
    </xf>
    <xf numFmtId="0" fontId="17" fillId="16" borderId="22" xfId="18" applyFont="1" applyFill="1" applyBorder="1" applyAlignment="1" applyProtection="1">
      <alignment horizontal="center" vertical="center"/>
      <protection locked="0"/>
    </xf>
    <xf numFmtId="0" fontId="17" fillId="16" borderId="49" xfId="0" applyFont="1" applyFill="1" applyBorder="1" applyAlignment="1" applyProtection="1">
      <alignment vertical="center"/>
      <protection locked="0"/>
    </xf>
    <xf numFmtId="0" fontId="17" fillId="0" borderId="0" xfId="18" applyFont="1" applyFill="1" applyBorder="1" applyAlignment="1" applyProtection="1">
      <alignment horizontal="center" vertical="center"/>
      <protection locked="0"/>
    </xf>
    <xf numFmtId="164" fontId="17" fillId="0" borderId="0" xfId="17" applyFont="1" applyFill="1" applyBorder="1" applyAlignment="1" applyProtection="1">
      <alignment horizontal="center" vertical="center"/>
      <protection locked="0"/>
    </xf>
    <xf numFmtId="0" fontId="17" fillId="16" borderId="14" xfId="18" applyFont="1" applyFill="1" applyBorder="1" applyAlignment="1" applyProtection="1">
      <alignment horizontal="center" vertical="center"/>
      <protection locked="0"/>
    </xf>
    <xf numFmtId="164" fontId="17" fillId="16" borderId="4" xfId="17" applyFont="1" applyFill="1" applyBorder="1" applyAlignment="1" applyProtection="1">
      <alignment horizontal="center" vertical="center"/>
      <protection locked="0"/>
    </xf>
    <xf numFmtId="164" fontId="17" fillId="16" borderId="62" xfId="17" applyFont="1" applyFill="1" applyBorder="1" applyAlignment="1" applyProtection="1">
      <alignment horizontal="center" vertical="center"/>
      <protection locked="0"/>
    </xf>
    <xf numFmtId="16" fontId="17" fillId="16" borderId="22" xfId="0" applyNumberFormat="1" applyFont="1" applyFill="1" applyBorder="1" applyAlignment="1" applyProtection="1">
      <alignment horizontal="center" vertical="center"/>
      <protection locked="0"/>
    </xf>
    <xf numFmtId="0" fontId="15" fillId="7" borderId="22" xfId="0" applyFont="1" applyFill="1" applyBorder="1" applyAlignment="1" applyProtection="1">
      <alignment horizontal="center" vertical="center"/>
      <protection locked="0"/>
    </xf>
    <xf numFmtId="0" fontId="15" fillId="7" borderId="52" xfId="0" applyFont="1" applyFill="1" applyBorder="1" applyAlignment="1" applyProtection="1">
      <alignment horizontal="center" vertical="center"/>
      <protection locked="0"/>
    </xf>
    <xf numFmtId="2" fontId="15" fillId="12" borderId="22" xfId="0" applyNumberFormat="1" applyFont="1" applyFill="1" applyBorder="1" applyAlignment="1" applyProtection="1">
      <alignment horizontal="center" vertical="center"/>
    </xf>
    <xf numFmtId="0" fontId="15" fillId="12" borderId="22" xfId="0" applyFont="1" applyFill="1" applyBorder="1" applyAlignment="1" applyProtection="1">
      <alignment horizontal="center" vertical="center"/>
    </xf>
    <xf numFmtId="166" fontId="15" fillId="12" borderId="22" xfId="0" applyNumberFormat="1" applyFont="1" applyFill="1" applyBorder="1" applyAlignment="1" applyProtection="1">
      <alignment horizontal="center" vertical="center"/>
    </xf>
    <xf numFmtId="0" fontId="12" fillId="0" borderId="0" xfId="0" applyFont="1" applyAlignment="1" applyProtection="1">
      <alignment horizontal="center" vertical="center"/>
      <protection locked="0"/>
    </xf>
    <xf numFmtId="0" fontId="17" fillId="16" borderId="49" xfId="0" applyFont="1" applyFill="1" applyBorder="1" applyAlignment="1" applyProtection="1">
      <alignment horizontal="center" vertical="center"/>
      <protection locked="0"/>
    </xf>
    <xf numFmtId="168" fontId="15" fillId="12" borderId="22" xfId="0" applyNumberFormat="1" applyFont="1" applyFill="1" applyBorder="1" applyAlignment="1" applyProtection="1">
      <alignment horizontal="center" vertical="center"/>
    </xf>
    <xf numFmtId="1" fontId="15" fillId="12" borderId="22" xfId="0" applyNumberFormat="1" applyFont="1" applyFill="1" applyBorder="1" applyAlignment="1" applyProtection="1">
      <alignment horizontal="center" vertical="center"/>
    </xf>
    <xf numFmtId="166" fontId="9" fillId="10" borderId="16" xfId="0" applyNumberFormat="1" applyFont="1" applyFill="1" applyBorder="1" applyAlignment="1" applyProtection="1">
      <alignment horizontal="center"/>
      <protection locked="0"/>
    </xf>
    <xf numFmtId="166" fontId="9" fillId="10" borderId="54" xfId="0" applyNumberFormat="1" applyFont="1" applyFill="1" applyBorder="1" applyAlignment="1" applyProtection="1">
      <alignment horizontal="center"/>
      <protection locked="0"/>
    </xf>
    <xf numFmtId="166" fontId="9" fillId="10" borderId="22" xfId="0" applyNumberFormat="1" applyFont="1" applyFill="1" applyBorder="1" applyAlignment="1" applyProtection="1">
      <alignment horizontal="center"/>
      <protection locked="0"/>
    </xf>
    <xf numFmtId="166" fontId="9" fillId="10" borderId="48" xfId="0" applyNumberFormat="1" applyFont="1" applyFill="1" applyBorder="1" applyAlignment="1" applyProtection="1">
      <alignment horizontal="center"/>
      <protection locked="0"/>
    </xf>
    <xf numFmtId="166" fontId="9" fillId="10" borderId="22" xfId="0" applyNumberFormat="1" applyFont="1" applyFill="1" applyBorder="1" applyAlignment="1" applyProtection="1">
      <alignment horizontal="center" vertical="center"/>
      <protection locked="0"/>
    </xf>
    <xf numFmtId="166" fontId="9" fillId="10" borderId="48" xfId="0" applyNumberFormat="1" applyFont="1" applyFill="1" applyBorder="1" applyAlignment="1" applyProtection="1">
      <alignment horizontal="center" vertical="center"/>
      <protection locked="0"/>
    </xf>
    <xf numFmtId="166" fontId="9" fillId="10" borderId="45" xfId="0" applyNumberFormat="1" applyFont="1" applyFill="1" applyBorder="1" applyAlignment="1" applyProtection="1">
      <alignment horizontal="center"/>
      <protection locked="0"/>
    </xf>
    <xf numFmtId="166" fontId="9" fillId="10" borderId="4" xfId="0" applyNumberFormat="1" applyFont="1" applyFill="1" applyBorder="1" applyAlignment="1" applyProtection="1">
      <alignment horizontal="center"/>
      <protection locked="0"/>
    </xf>
    <xf numFmtId="166" fontId="9" fillId="10" borderId="44" xfId="0" applyNumberFormat="1" applyFont="1" applyFill="1" applyBorder="1" applyAlignment="1" applyProtection="1">
      <alignment horizontal="center"/>
      <protection locked="0"/>
    </xf>
    <xf numFmtId="166" fontId="9" fillId="10" borderId="49" xfId="0" applyNumberFormat="1" applyFont="1" applyFill="1" applyBorder="1" applyAlignment="1" applyProtection="1">
      <alignment horizontal="center"/>
      <protection locked="0"/>
    </xf>
    <xf numFmtId="2" fontId="9" fillId="7" borderId="54" xfId="0" applyNumberFormat="1" applyFont="1" applyFill="1" applyBorder="1" applyAlignment="1" applyProtection="1">
      <alignment horizontal="center"/>
      <protection locked="0"/>
    </xf>
    <xf numFmtId="166" fontId="9" fillId="7" borderId="16" xfId="0" applyNumberFormat="1" applyFont="1" applyFill="1" applyBorder="1" applyAlignment="1" applyProtection="1">
      <alignment horizontal="center"/>
      <protection locked="0"/>
    </xf>
    <xf numFmtId="166" fontId="9" fillId="7" borderId="4" xfId="0" applyNumberFormat="1" applyFont="1" applyFill="1" applyBorder="1" applyAlignment="1" applyProtection="1">
      <alignment horizontal="center"/>
      <protection locked="0"/>
    </xf>
    <xf numFmtId="166" fontId="9" fillId="7" borderId="43" xfId="0" applyNumberFormat="1" applyFont="1" applyFill="1" applyBorder="1" applyAlignment="1" applyProtection="1">
      <alignment horizontal="center"/>
      <protection locked="0"/>
    </xf>
    <xf numFmtId="166" fontId="9" fillId="7" borderId="20" xfId="0" applyNumberFormat="1" applyFont="1" applyFill="1" applyBorder="1" applyAlignment="1" applyProtection="1">
      <alignment horizontal="center"/>
      <protection locked="0"/>
    </xf>
    <xf numFmtId="166" fontId="9" fillId="7" borderId="54" xfId="0" applyNumberFormat="1" applyFont="1" applyFill="1" applyBorder="1" applyAlignment="1" applyProtection="1">
      <alignment horizontal="center"/>
      <protection locked="0"/>
    </xf>
    <xf numFmtId="1" fontId="9" fillId="7" borderId="7" xfId="0" applyNumberFormat="1" applyFont="1" applyFill="1" applyBorder="1" applyAlignment="1" applyProtection="1">
      <alignment horizontal="center" vertical="center"/>
      <protection locked="0"/>
    </xf>
    <xf numFmtId="1" fontId="9" fillId="7" borderId="16" xfId="0" applyNumberFormat="1" applyFont="1" applyFill="1" applyBorder="1" applyAlignment="1" applyProtection="1">
      <alignment horizontal="center" vertical="center"/>
      <protection locked="0"/>
    </xf>
    <xf numFmtId="1" fontId="9" fillId="7" borderId="4" xfId="0" applyNumberFormat="1" applyFont="1" applyFill="1" applyBorder="1" applyAlignment="1" applyProtection="1">
      <alignment horizontal="center" vertical="center"/>
      <protection locked="0"/>
    </xf>
    <xf numFmtId="1" fontId="9" fillId="7" borderId="33" xfId="0" applyNumberFormat="1" applyFont="1" applyFill="1" applyBorder="1" applyAlignment="1" applyProtection="1">
      <alignment horizontal="center" vertical="center"/>
      <protection locked="0"/>
    </xf>
    <xf numFmtId="1" fontId="9" fillId="7" borderId="22" xfId="0" applyNumberFormat="1" applyFont="1" applyFill="1" applyBorder="1" applyAlignment="1" applyProtection="1">
      <alignment horizontal="center"/>
      <protection locked="0"/>
    </xf>
    <xf numFmtId="0" fontId="9" fillId="7" borderId="32" xfId="0" applyFont="1" applyFill="1" applyBorder="1" applyAlignment="1" applyProtection="1">
      <alignment horizontal="center"/>
      <protection locked="0"/>
    </xf>
    <xf numFmtId="0" fontId="9" fillId="7" borderId="33" xfId="0" applyFont="1" applyFill="1" applyBorder="1" applyAlignment="1" applyProtection="1">
      <alignment horizontal="center"/>
      <protection locked="0"/>
    </xf>
    <xf numFmtId="1" fontId="9" fillId="7" borderId="28" xfId="0" applyNumberFormat="1" applyFont="1" applyFill="1" applyBorder="1" applyAlignment="1" applyProtection="1">
      <alignment horizontal="center"/>
      <protection locked="0"/>
    </xf>
    <xf numFmtId="1" fontId="9" fillId="7" borderId="3" xfId="0" applyNumberFormat="1" applyFont="1" applyFill="1" applyBorder="1" applyAlignment="1" applyProtection="1">
      <alignment horizontal="center"/>
      <protection locked="0"/>
    </xf>
    <xf numFmtId="166" fontId="9" fillId="7" borderId="25" xfId="0" applyNumberFormat="1" applyFont="1" applyFill="1" applyBorder="1" applyAlignment="1" applyProtection="1">
      <alignment horizontal="center"/>
      <protection locked="0"/>
    </xf>
    <xf numFmtId="166" fontId="9" fillId="7" borderId="22" xfId="0" applyNumberFormat="1" applyFont="1" applyFill="1" applyBorder="1" applyAlignment="1" applyProtection="1">
      <alignment horizontal="center"/>
      <protection locked="0"/>
    </xf>
    <xf numFmtId="0" fontId="9" fillId="7" borderId="43" xfId="0" applyFont="1" applyFill="1" applyBorder="1" applyAlignment="1" applyProtection="1">
      <alignment horizontal="center"/>
      <protection locked="0"/>
    </xf>
    <xf numFmtId="0" fontId="9" fillId="7" borderId="70" xfId="0" applyFont="1" applyFill="1" applyBorder="1" applyAlignment="1" applyProtection="1">
      <alignment horizontal="center"/>
      <protection locked="0"/>
    </xf>
    <xf numFmtId="166" fontId="9" fillId="7" borderId="48" xfId="0" applyNumberFormat="1" applyFont="1" applyFill="1" applyBorder="1" applyAlignment="1" applyProtection="1">
      <alignment horizontal="center"/>
      <protection locked="0"/>
    </xf>
    <xf numFmtId="166" fontId="9" fillId="7" borderId="25" xfId="0" applyNumberFormat="1" applyFont="1" applyFill="1" applyBorder="1" applyAlignment="1" applyProtection="1">
      <alignment horizontal="center" vertical="center"/>
      <protection locked="0"/>
    </xf>
    <xf numFmtId="166" fontId="9" fillId="7" borderId="22" xfId="0" applyNumberFormat="1" applyFont="1" applyFill="1" applyBorder="1" applyAlignment="1" applyProtection="1">
      <alignment horizontal="center" vertical="center"/>
      <protection locked="0"/>
    </xf>
    <xf numFmtId="166" fontId="9" fillId="7" borderId="48" xfId="0" applyNumberFormat="1" applyFont="1" applyFill="1" applyBorder="1" applyAlignment="1" applyProtection="1">
      <alignment horizontal="center" vertical="center"/>
      <protection locked="0"/>
    </xf>
    <xf numFmtId="1" fontId="9" fillId="7" borderId="22" xfId="0" applyNumberFormat="1" applyFont="1" applyFill="1" applyBorder="1" applyAlignment="1" applyProtection="1">
      <alignment horizontal="center" vertical="center"/>
      <protection locked="0"/>
    </xf>
    <xf numFmtId="1" fontId="9" fillId="7" borderId="49" xfId="0" applyNumberFormat="1" applyFont="1" applyFill="1" applyBorder="1" applyAlignment="1" applyProtection="1">
      <alignment horizontal="center"/>
      <protection locked="0"/>
    </xf>
    <xf numFmtId="49" fontId="9" fillId="0" borderId="24" xfId="0" applyNumberFormat="1" applyFont="1" applyBorder="1" applyAlignment="1" applyProtection="1">
      <alignment horizontal="center"/>
      <protection locked="0"/>
    </xf>
    <xf numFmtId="2" fontId="9" fillId="7" borderId="4" xfId="0" applyNumberFormat="1" applyFont="1" applyFill="1" applyBorder="1" applyAlignment="1" applyProtection="1">
      <alignment horizontal="center"/>
      <protection locked="0"/>
    </xf>
    <xf numFmtId="0" fontId="131" fillId="0" borderId="68" xfId="0" applyNumberFormat="1" applyFont="1" applyFill="1" applyBorder="1" applyAlignment="1" applyProtection="1">
      <alignment horizontal="left"/>
      <protection locked="0"/>
    </xf>
    <xf numFmtId="2" fontId="9" fillId="7" borderId="49" xfId="0" applyNumberFormat="1" applyFont="1" applyFill="1" applyBorder="1" applyAlignment="1" applyProtection="1">
      <alignment horizontal="center"/>
      <protection locked="0"/>
    </xf>
    <xf numFmtId="0" fontId="11" fillId="0" borderId="49" xfId="0" applyNumberFormat="1" applyFont="1" applyFill="1" applyBorder="1" applyAlignment="1" applyProtection="1">
      <alignment horizontal="center"/>
      <protection locked="0"/>
    </xf>
    <xf numFmtId="0" fontId="11" fillId="0" borderId="70" xfId="0" applyNumberFormat="1" applyFont="1" applyFill="1" applyBorder="1" applyAlignment="1" applyProtection="1">
      <alignment horizontal="center"/>
      <protection locked="0"/>
    </xf>
    <xf numFmtId="2" fontId="9" fillId="25" borderId="4" xfId="0" applyNumberFormat="1" applyFont="1" applyFill="1" applyBorder="1" applyAlignment="1" applyProtection="1">
      <alignment horizontal="center"/>
      <protection locked="0"/>
    </xf>
    <xf numFmtId="166" fontId="71" fillId="0" borderId="5" xfId="0" applyNumberFormat="1" applyFont="1" applyBorder="1" applyAlignment="1" applyProtection="1">
      <protection locked="0"/>
    </xf>
    <xf numFmtId="0" fontId="9" fillId="0" borderId="22" xfId="0" applyNumberFormat="1" applyFont="1" applyBorder="1" applyAlignment="1" applyProtection="1">
      <protection locked="0"/>
    </xf>
    <xf numFmtId="20" fontId="9" fillId="0" borderId="22" xfId="0" applyNumberFormat="1" applyFont="1" applyBorder="1" applyAlignment="1" applyProtection="1">
      <alignment horizontal="center"/>
      <protection locked="0"/>
    </xf>
    <xf numFmtId="0" fontId="9" fillId="0" borderId="28" xfId="0" applyNumberFormat="1" applyFont="1" applyBorder="1" applyAlignment="1" applyProtection="1">
      <alignment horizontal="center"/>
      <protection locked="0"/>
    </xf>
    <xf numFmtId="1" fontId="9" fillId="7" borderId="64" xfId="0" applyNumberFormat="1" applyFont="1" applyFill="1" applyBorder="1" applyAlignment="1" applyProtection="1">
      <alignment horizontal="center"/>
      <protection locked="0"/>
    </xf>
    <xf numFmtId="20" fontId="9" fillId="0" borderId="4" xfId="0" applyNumberFormat="1" applyFont="1" applyBorder="1" applyAlignment="1" applyProtection="1">
      <alignment horizontal="center"/>
      <protection locked="0"/>
    </xf>
    <xf numFmtId="166" fontId="9" fillId="10" borderId="20" xfId="0" applyNumberFormat="1" applyFont="1" applyFill="1" applyBorder="1" applyAlignment="1" applyProtection="1">
      <alignment horizontal="center"/>
      <protection locked="0"/>
    </xf>
    <xf numFmtId="166" fontId="9" fillId="10" borderId="25" xfId="0" applyNumberFormat="1" applyFont="1" applyFill="1" applyBorder="1" applyAlignment="1" applyProtection="1">
      <alignment horizontal="center"/>
      <protection locked="0"/>
    </xf>
    <xf numFmtId="166" fontId="9" fillId="10" borderId="25" xfId="0" applyNumberFormat="1" applyFont="1" applyFill="1" applyBorder="1" applyAlignment="1" applyProtection="1">
      <alignment horizontal="center" vertical="center"/>
      <protection locked="0"/>
    </xf>
    <xf numFmtId="1" fontId="9" fillId="0" borderId="25" xfId="0" applyNumberFormat="1" applyFont="1" applyBorder="1" applyAlignment="1" applyProtection="1">
      <alignment horizontal="center"/>
      <protection locked="0"/>
    </xf>
    <xf numFmtId="0" fontId="9" fillId="0" borderId="42" xfId="0" applyNumberFormat="1" applyFont="1" applyBorder="1" applyAlignment="1" applyProtection="1">
      <alignment horizontal="center"/>
      <protection locked="0"/>
    </xf>
    <xf numFmtId="20" fontId="11" fillId="0" borderId="4" xfId="0" applyNumberFormat="1" applyFont="1" applyFill="1" applyBorder="1" applyAlignment="1" applyProtection="1">
      <alignment horizontal="center"/>
      <protection locked="0"/>
    </xf>
    <xf numFmtId="1" fontId="9" fillId="7" borderId="1" xfId="0" applyNumberFormat="1" applyFont="1" applyFill="1" applyBorder="1" applyAlignment="1" applyProtection="1">
      <alignment horizontal="center"/>
      <protection locked="0"/>
    </xf>
    <xf numFmtId="166" fontId="9" fillId="7" borderId="49" xfId="0" applyNumberFormat="1" applyFont="1" applyFill="1" applyBorder="1" applyAlignment="1" applyProtection="1">
      <alignment horizontal="center"/>
      <protection locked="0"/>
    </xf>
    <xf numFmtId="2" fontId="15" fillId="0" borderId="17" xfId="0" applyNumberFormat="1" applyFont="1" applyBorder="1" applyAlignment="1" applyProtection="1">
      <alignment horizontal="center"/>
      <protection locked="0"/>
    </xf>
    <xf numFmtId="2" fontId="15" fillId="0" borderId="71" xfId="0" applyNumberFormat="1" applyFont="1" applyBorder="1" applyAlignment="1" applyProtection="1">
      <alignment horizontal="center"/>
      <protection locked="0"/>
    </xf>
    <xf numFmtId="2" fontId="15" fillId="0" borderId="19" xfId="0" applyNumberFormat="1" applyFont="1" applyBorder="1" applyAlignment="1" applyProtection="1">
      <alignment horizontal="center"/>
      <protection locked="0"/>
    </xf>
    <xf numFmtId="0" fontId="11" fillId="0" borderId="0" xfId="0" applyFont="1" applyFill="1" applyBorder="1" applyAlignment="1" applyProtection="1">
      <alignment horizontal="center" vertical="center"/>
      <protection locked="0"/>
    </xf>
    <xf numFmtId="0" fontId="11" fillId="16" borderId="69" xfId="0" applyFont="1" applyFill="1" applyBorder="1" applyAlignment="1" applyProtection="1">
      <alignment horizontal="center" vertical="center"/>
      <protection locked="0"/>
    </xf>
    <xf numFmtId="0" fontId="11" fillId="16" borderId="49" xfId="0" applyFont="1" applyFill="1" applyBorder="1" applyAlignment="1" applyProtection="1">
      <alignment horizontal="center" vertical="center"/>
      <protection locked="0"/>
    </xf>
    <xf numFmtId="0" fontId="11" fillId="16" borderId="22" xfId="0" applyFont="1" applyFill="1" applyBorder="1" applyAlignment="1" applyProtection="1">
      <alignment horizontal="center" vertical="center"/>
      <protection locked="0"/>
    </xf>
    <xf numFmtId="0" fontId="41" fillId="16" borderId="22" xfId="0" applyFont="1" applyFill="1" applyBorder="1" applyAlignment="1" applyProtection="1">
      <alignment horizontal="center" vertical="center"/>
      <protection locked="0"/>
    </xf>
    <xf numFmtId="0" fontId="11" fillId="16" borderId="70" xfId="0" applyFont="1" applyFill="1" applyBorder="1" applyAlignment="1" applyProtection="1">
      <alignment horizontal="center" vertical="center"/>
      <protection locked="0"/>
    </xf>
    <xf numFmtId="0" fontId="17" fillId="12" borderId="69" xfId="0" applyFont="1" applyFill="1" applyBorder="1" applyAlignment="1" applyProtection="1">
      <alignment horizontal="center" vertical="center" wrapText="1"/>
      <protection locked="0"/>
    </xf>
    <xf numFmtId="0" fontId="17" fillId="12" borderId="70" xfId="0" applyFont="1" applyFill="1" applyBorder="1" applyAlignment="1" applyProtection="1">
      <alignment horizontal="center" vertical="center" wrapText="1"/>
      <protection locked="0"/>
    </xf>
    <xf numFmtId="0" fontId="17" fillId="12" borderId="49" xfId="0" applyFont="1" applyFill="1" applyBorder="1" applyAlignment="1" applyProtection="1">
      <alignment horizontal="center" vertical="center" wrapText="1"/>
      <protection locked="0"/>
    </xf>
    <xf numFmtId="164" fontId="17" fillId="16" borderId="69" xfId="1" applyFont="1" applyFill="1" applyBorder="1" applyAlignment="1" applyProtection="1">
      <alignment horizontal="center" vertical="center"/>
    </xf>
    <xf numFmtId="164" fontId="17" fillId="16" borderId="70" xfId="1" applyFont="1" applyFill="1" applyBorder="1" applyAlignment="1" applyProtection="1">
      <alignment horizontal="center" vertical="center"/>
    </xf>
    <xf numFmtId="164" fontId="17" fillId="16" borderId="49" xfId="1" applyFont="1" applyFill="1" applyBorder="1" applyAlignment="1" applyProtection="1">
      <alignment horizontal="center" vertical="center"/>
    </xf>
    <xf numFmtId="0" fontId="28" fillId="11" borderId="22" xfId="0" applyFont="1" applyFill="1" applyBorder="1" applyAlignment="1" applyProtection="1">
      <alignment horizontal="center" vertical="center"/>
      <protection locked="0"/>
    </xf>
    <xf numFmtId="0" fontId="17" fillId="16" borderId="69" xfId="7" applyFont="1" applyFill="1" applyBorder="1" applyAlignment="1" applyProtection="1">
      <alignment horizontal="center" vertical="center"/>
    </xf>
    <xf numFmtId="0" fontId="17" fillId="16" borderId="49" xfId="7" applyFont="1" applyFill="1" applyBorder="1" applyAlignment="1" applyProtection="1">
      <alignment horizontal="center" vertical="center"/>
    </xf>
    <xf numFmtId="0" fontId="28" fillId="16" borderId="69" xfId="7" applyFont="1" applyFill="1" applyBorder="1" applyAlignment="1" applyProtection="1">
      <alignment horizontal="center" vertical="center"/>
    </xf>
    <xf numFmtId="0" fontId="28" fillId="16" borderId="70" xfId="7" applyFont="1" applyFill="1" applyBorder="1" applyAlignment="1" applyProtection="1">
      <alignment horizontal="center" vertical="center"/>
    </xf>
    <xf numFmtId="0" fontId="28" fillId="16" borderId="49" xfId="7" applyFont="1" applyFill="1" applyBorder="1" applyAlignment="1" applyProtection="1">
      <alignment horizontal="center" vertical="center"/>
    </xf>
    <xf numFmtId="1" fontId="17" fillId="7" borderId="69" xfId="0" applyNumberFormat="1" applyFont="1" applyFill="1" applyBorder="1" applyAlignment="1" applyProtection="1">
      <alignment horizontal="center" vertical="center" wrapText="1"/>
      <protection locked="0"/>
    </xf>
    <xf numFmtId="1" fontId="17" fillId="7" borderId="70" xfId="0" applyNumberFormat="1" applyFont="1" applyFill="1" applyBorder="1" applyAlignment="1" applyProtection="1">
      <alignment horizontal="center" vertical="center" wrapText="1"/>
      <protection locked="0"/>
    </xf>
    <xf numFmtId="1" fontId="17" fillId="7" borderId="49" xfId="0" applyNumberFormat="1" applyFont="1" applyFill="1" applyBorder="1" applyAlignment="1" applyProtection="1">
      <alignment horizontal="center" vertical="center" wrapText="1"/>
      <protection locked="0"/>
    </xf>
    <xf numFmtId="0" fontId="17" fillId="7" borderId="69" xfId="0" applyFont="1" applyFill="1" applyBorder="1" applyAlignment="1" applyProtection="1">
      <alignment horizontal="center" vertical="center" wrapText="1"/>
    </xf>
    <xf numFmtId="0" fontId="17" fillId="7" borderId="70" xfId="0" applyFont="1" applyFill="1" applyBorder="1" applyAlignment="1" applyProtection="1">
      <alignment horizontal="center" vertical="center" wrapText="1"/>
    </xf>
    <xf numFmtId="0" fontId="17" fillId="7" borderId="49" xfId="0" applyFont="1" applyFill="1" applyBorder="1" applyAlignment="1" applyProtection="1">
      <alignment horizontal="center" vertical="center" wrapText="1"/>
    </xf>
    <xf numFmtId="0" fontId="28" fillId="16" borderId="69" xfId="0" applyFont="1" applyFill="1" applyBorder="1" applyAlignment="1" applyProtection="1">
      <alignment horizontal="center" vertical="center"/>
    </xf>
    <xf numFmtId="0" fontId="28" fillId="16" borderId="49" xfId="0" applyFont="1" applyFill="1" applyBorder="1" applyAlignment="1" applyProtection="1">
      <alignment horizontal="center" vertical="center"/>
    </xf>
    <xf numFmtId="0" fontId="28" fillId="16" borderId="22" xfId="0" applyFont="1" applyFill="1" applyBorder="1" applyAlignment="1" applyProtection="1">
      <alignment horizontal="center" vertical="center"/>
      <protection locked="0"/>
    </xf>
    <xf numFmtId="0" fontId="12" fillId="0" borderId="39" xfId="0" applyFont="1" applyFill="1" applyBorder="1" applyAlignment="1" applyProtection="1">
      <alignment horizontal="center"/>
    </xf>
    <xf numFmtId="0" fontId="12" fillId="0" borderId="18" xfId="0" applyFont="1" applyFill="1" applyBorder="1" applyAlignment="1" applyProtection="1">
      <alignment horizontal="center"/>
    </xf>
    <xf numFmtId="0" fontId="12" fillId="0" borderId="77" xfId="0" applyFont="1" applyFill="1" applyBorder="1" applyAlignment="1" applyProtection="1">
      <alignment horizontal="center"/>
    </xf>
    <xf numFmtId="164" fontId="23" fillId="0" borderId="22" xfId="1" applyFont="1" applyFill="1" applyBorder="1" applyAlignment="1" applyProtection="1">
      <alignment horizontal="center" vertical="center"/>
    </xf>
    <xf numFmtId="0" fontId="17" fillId="11" borderId="69" xfId="0" applyFont="1" applyFill="1" applyBorder="1" applyAlignment="1" applyProtection="1">
      <alignment horizontal="center" vertical="center"/>
      <protection locked="0"/>
    </xf>
    <xf numFmtId="0" fontId="17" fillId="11" borderId="70" xfId="0" applyFont="1" applyFill="1" applyBorder="1" applyAlignment="1" applyProtection="1">
      <alignment horizontal="center" vertical="center"/>
      <protection locked="0"/>
    </xf>
    <xf numFmtId="0" fontId="17" fillId="11" borderId="49" xfId="0" applyFont="1" applyFill="1" applyBorder="1" applyAlignment="1" applyProtection="1">
      <alignment horizontal="center" vertical="center"/>
      <protection locked="0"/>
    </xf>
    <xf numFmtId="0" fontId="17" fillId="12" borderId="69" xfId="7" applyFont="1" applyFill="1" applyBorder="1" applyAlignment="1" applyProtection="1">
      <alignment horizontal="center" vertical="center" wrapText="1"/>
      <protection locked="0"/>
    </xf>
    <xf numFmtId="0" fontId="17" fillId="12" borderId="70" xfId="7" applyFont="1" applyFill="1" applyBorder="1" applyAlignment="1" applyProtection="1">
      <alignment horizontal="center" vertical="center" wrapText="1"/>
      <protection locked="0"/>
    </xf>
    <xf numFmtId="0" fontId="17" fillId="12" borderId="49" xfId="7" applyFont="1" applyFill="1" applyBorder="1" applyAlignment="1" applyProtection="1">
      <alignment horizontal="center" vertical="center" wrapText="1"/>
      <protection locked="0"/>
    </xf>
    <xf numFmtId="0" fontId="11" fillId="16" borderId="22" xfId="0" applyFont="1" applyFill="1" applyBorder="1" applyAlignment="1" applyProtection="1">
      <alignment horizontal="center" vertical="center"/>
    </xf>
    <xf numFmtId="0" fontId="17" fillId="16" borderId="70" xfId="0" applyFont="1" applyFill="1" applyBorder="1" applyAlignment="1" applyProtection="1">
      <alignment horizontal="center" vertical="center"/>
    </xf>
    <xf numFmtId="0" fontId="17" fillId="16" borderId="49" xfId="0" applyFont="1" applyFill="1" applyBorder="1" applyAlignment="1" applyProtection="1">
      <alignment horizontal="center" vertical="center"/>
    </xf>
    <xf numFmtId="0" fontId="12" fillId="0" borderId="17" xfId="0" applyFont="1" applyFill="1" applyBorder="1" applyAlignment="1" applyProtection="1">
      <alignment horizontal="center"/>
    </xf>
    <xf numFmtId="0" fontId="12" fillId="0" borderId="71" xfId="0" applyFont="1" applyFill="1" applyBorder="1" applyAlignment="1" applyProtection="1">
      <alignment horizontal="center"/>
    </xf>
    <xf numFmtId="0" fontId="17" fillId="16" borderId="69" xfId="0" applyFont="1" applyFill="1" applyBorder="1" applyAlignment="1" applyProtection="1">
      <alignment horizontal="center" vertical="center"/>
    </xf>
    <xf numFmtId="164" fontId="23" fillId="0" borderId="22" xfId="1" applyFont="1" applyFill="1" applyBorder="1" applyAlignment="1" applyProtection="1">
      <alignment horizontal="center" vertical="center" wrapText="1"/>
    </xf>
    <xf numFmtId="2" fontId="28" fillId="16" borderId="69" xfId="7" applyNumberFormat="1" applyFont="1" applyFill="1" applyBorder="1" applyAlignment="1" applyProtection="1">
      <alignment horizontal="center" vertical="center"/>
    </xf>
    <xf numFmtId="2" fontId="28" fillId="16" borderId="49" xfId="7" applyNumberFormat="1" applyFont="1" applyFill="1" applyBorder="1" applyAlignment="1" applyProtection="1">
      <alignment horizontal="center" vertical="center"/>
    </xf>
    <xf numFmtId="14" fontId="15" fillId="0" borderId="68" xfId="0" applyNumberFormat="1" applyFont="1" applyBorder="1" applyAlignment="1" applyProtection="1">
      <alignment horizontal="center"/>
    </xf>
    <xf numFmtId="0" fontId="12" fillId="0" borderId="67" xfId="0" applyFont="1" applyFill="1" applyBorder="1" applyAlignment="1" applyProtection="1">
      <alignment horizontal="center"/>
    </xf>
    <xf numFmtId="0" fontId="15" fillId="0" borderId="71" xfId="0" applyFont="1" applyBorder="1" applyProtection="1"/>
    <xf numFmtId="0" fontId="15" fillId="0" borderId="55" xfId="0" applyFont="1" applyBorder="1" applyProtection="1"/>
    <xf numFmtId="0" fontId="80" fillId="0" borderId="0" xfId="0" applyFont="1" applyAlignment="1" applyProtection="1">
      <alignment horizontal="center" vertical="center"/>
      <protection locked="0"/>
    </xf>
    <xf numFmtId="167" fontId="79" fillId="0" borderId="1" xfId="0" applyNumberFormat="1" applyFont="1" applyBorder="1" applyAlignment="1" applyProtection="1">
      <alignment horizontal="center" vertical="center"/>
    </xf>
    <xf numFmtId="167" fontId="79" fillId="0" borderId="2" xfId="0" applyNumberFormat="1" applyFont="1" applyBorder="1" applyAlignment="1" applyProtection="1">
      <alignment horizontal="center" vertical="center"/>
    </xf>
    <xf numFmtId="167" fontId="79" fillId="0" borderId="46" xfId="0" applyNumberFormat="1" applyFont="1" applyBorder="1" applyAlignment="1" applyProtection="1">
      <alignment horizontal="center" vertical="center"/>
    </xf>
    <xf numFmtId="167" fontId="79" fillId="0" borderId="3" xfId="0" applyNumberFormat="1" applyFont="1" applyBorder="1" applyAlignment="1" applyProtection="1">
      <alignment horizontal="center" vertical="center"/>
    </xf>
    <xf numFmtId="167" fontId="79" fillId="0" borderId="62" xfId="0" applyNumberFormat="1" applyFont="1" applyBorder="1" applyAlignment="1" applyProtection="1">
      <alignment horizontal="center" vertical="center"/>
    </xf>
    <xf numFmtId="167" fontId="79" fillId="0" borderId="45" xfId="0" applyNumberFormat="1" applyFont="1" applyBorder="1" applyAlignment="1" applyProtection="1">
      <alignment horizontal="center" vertical="center"/>
    </xf>
    <xf numFmtId="0" fontId="73" fillId="0" borderId="1" xfId="0" applyFont="1" applyBorder="1" applyAlignment="1" applyProtection="1">
      <alignment horizontal="center"/>
      <protection locked="0"/>
    </xf>
    <xf numFmtId="0" fontId="73" fillId="0" borderId="78" xfId="0" applyFont="1" applyBorder="1" applyAlignment="1" applyProtection="1">
      <alignment horizontal="center"/>
      <protection locked="0"/>
    </xf>
    <xf numFmtId="0" fontId="73" fillId="0" borderId="2" xfId="0" applyFont="1" applyBorder="1" applyAlignment="1" applyProtection="1">
      <alignment horizontal="center"/>
      <protection locked="0"/>
    </xf>
    <xf numFmtId="0" fontId="73" fillId="0" borderId="62" xfId="0" applyFont="1" applyBorder="1" applyAlignment="1" applyProtection="1">
      <alignment horizontal="center"/>
      <protection locked="0"/>
    </xf>
    <xf numFmtId="0" fontId="73" fillId="0" borderId="68" xfId="0" applyFont="1" applyBorder="1" applyAlignment="1" applyProtection="1">
      <alignment horizontal="center"/>
      <protection locked="0"/>
    </xf>
    <xf numFmtId="0" fontId="73" fillId="0" borderId="45" xfId="0" applyFont="1" applyBorder="1" applyAlignment="1" applyProtection="1">
      <alignment horizontal="center"/>
      <protection locked="0"/>
    </xf>
    <xf numFmtId="166" fontId="9" fillId="0" borderId="52" xfId="0" applyNumberFormat="1" applyFont="1" applyBorder="1" applyAlignment="1" applyProtection="1">
      <alignment horizontal="center" vertical="center"/>
      <protection locked="0"/>
    </xf>
    <xf numFmtId="166" fontId="9" fillId="0" borderId="4" xfId="0" applyNumberFormat="1" applyFont="1" applyBorder="1" applyAlignment="1" applyProtection="1">
      <alignment horizontal="center" vertical="center"/>
      <protection locked="0"/>
    </xf>
    <xf numFmtId="166" fontId="9" fillId="5" borderId="15" xfId="0" applyNumberFormat="1" applyFont="1" applyFill="1" applyBorder="1" applyAlignment="1" applyProtection="1">
      <alignment horizontal="center" vertical="center"/>
      <protection locked="0"/>
    </xf>
    <xf numFmtId="166" fontId="9" fillId="5" borderId="44" xfId="0" applyNumberFormat="1" applyFont="1" applyFill="1" applyBorder="1" applyAlignment="1" applyProtection="1">
      <alignment horizontal="center" vertical="center"/>
      <protection locked="0"/>
    </xf>
    <xf numFmtId="166" fontId="9" fillId="0" borderId="57" xfId="0" applyNumberFormat="1" applyFont="1" applyBorder="1" applyAlignment="1" applyProtection="1">
      <alignment horizontal="center" vertical="center"/>
      <protection locked="0"/>
    </xf>
    <xf numFmtId="166" fontId="9" fillId="0" borderId="44" xfId="0" applyNumberFormat="1" applyFont="1" applyBorder="1" applyAlignment="1" applyProtection="1">
      <alignment horizontal="center" vertical="center"/>
      <protection locked="0"/>
    </xf>
    <xf numFmtId="166" fontId="9" fillId="0" borderId="60" xfId="0" applyNumberFormat="1" applyFont="1" applyBorder="1" applyAlignment="1" applyProtection="1">
      <alignment horizontal="center" vertical="center"/>
      <protection locked="0"/>
    </xf>
    <xf numFmtId="166" fontId="9" fillId="0" borderId="24" xfId="0" applyNumberFormat="1" applyFont="1" applyBorder="1" applyAlignment="1" applyProtection="1">
      <alignment horizontal="center" vertical="center"/>
      <protection locked="0"/>
    </xf>
    <xf numFmtId="0" fontId="21" fillId="0" borderId="41" xfId="0" applyFont="1" applyFill="1" applyBorder="1" applyAlignment="1" applyProtection="1">
      <alignment horizontal="center" vertical="center" wrapText="1"/>
      <protection locked="0"/>
    </xf>
    <xf numFmtId="0" fontId="21" fillId="0" borderId="75" xfId="0" applyFont="1" applyFill="1" applyBorder="1" applyAlignment="1" applyProtection="1">
      <alignment horizontal="center" vertical="center" wrapText="1"/>
      <protection locked="0"/>
    </xf>
    <xf numFmtId="14" fontId="80" fillId="0" borderId="0" xfId="0" applyNumberFormat="1" applyFont="1" applyAlignment="1" applyProtection="1">
      <alignment horizontal="center" vertical="center"/>
      <protection locked="0"/>
    </xf>
    <xf numFmtId="0" fontId="41" fillId="20" borderId="22" xfId="0" applyFont="1" applyFill="1" applyBorder="1" applyAlignment="1" applyProtection="1">
      <alignment horizontal="center" vertical="center" wrapText="1"/>
      <protection locked="0"/>
    </xf>
    <xf numFmtId="168" fontId="52" fillId="22" borderId="22" xfId="0" applyNumberFormat="1" applyFont="1" applyFill="1" applyBorder="1" applyAlignment="1" applyProtection="1">
      <alignment horizontal="center" vertical="center" wrapText="1"/>
      <protection locked="0"/>
    </xf>
    <xf numFmtId="0" fontId="52" fillId="3" borderId="39" xfId="0" applyFont="1" applyFill="1" applyBorder="1" applyAlignment="1" applyProtection="1">
      <alignment horizontal="center" vertical="center" wrapText="1"/>
      <protection locked="0"/>
    </xf>
    <xf numFmtId="0" fontId="52" fillId="3" borderId="77" xfId="0" applyFont="1" applyFill="1" applyBorder="1" applyAlignment="1" applyProtection="1">
      <alignment horizontal="center" vertical="center" wrapText="1"/>
      <protection locked="0"/>
    </xf>
    <xf numFmtId="0" fontId="52" fillId="3" borderId="6" xfId="0" applyFont="1" applyFill="1" applyBorder="1" applyAlignment="1" applyProtection="1">
      <alignment horizontal="center" vertical="center" wrapText="1"/>
      <protection locked="0"/>
    </xf>
    <xf numFmtId="0" fontId="52" fillId="3" borderId="58" xfId="0" applyFont="1" applyFill="1" applyBorder="1" applyAlignment="1" applyProtection="1">
      <alignment horizontal="center" vertical="center" wrapText="1"/>
      <protection locked="0"/>
    </xf>
    <xf numFmtId="0" fontId="52" fillId="3" borderId="41" xfId="0" applyFont="1" applyFill="1" applyBorder="1" applyAlignment="1" applyProtection="1">
      <alignment horizontal="center" vertical="center" wrapText="1"/>
      <protection locked="0"/>
    </xf>
    <xf numFmtId="0" fontId="52" fillId="3" borderId="75" xfId="0" applyFont="1" applyFill="1" applyBorder="1" applyAlignment="1" applyProtection="1">
      <alignment horizontal="center" vertical="center" wrapText="1"/>
      <protection locked="0"/>
    </xf>
    <xf numFmtId="164" fontId="23" fillId="0" borderId="0" xfId="8" applyFont="1" applyFill="1" applyBorder="1" applyAlignment="1" applyProtection="1">
      <alignment horizontal="center"/>
    </xf>
    <xf numFmtId="0" fontId="15" fillId="0" borderId="0" xfId="0" applyFont="1" applyBorder="1" applyProtection="1"/>
    <xf numFmtId="0" fontId="28" fillId="11" borderId="69" xfId="0" applyFont="1" applyFill="1" applyBorder="1" applyAlignment="1" applyProtection="1">
      <alignment horizontal="center" vertical="center"/>
      <protection locked="0"/>
    </xf>
    <xf numFmtId="0" fontId="28" fillId="11" borderId="70" xfId="0" applyFont="1" applyFill="1" applyBorder="1" applyAlignment="1" applyProtection="1">
      <alignment horizontal="center" vertical="center"/>
      <protection locked="0"/>
    </xf>
    <xf numFmtId="0" fontId="28" fillId="11" borderId="49" xfId="0" applyFont="1" applyFill="1" applyBorder="1" applyAlignment="1" applyProtection="1">
      <alignment horizontal="center" vertical="center"/>
      <protection locked="0"/>
    </xf>
    <xf numFmtId="0" fontId="17" fillId="12" borderId="22" xfId="0" applyFont="1" applyFill="1" applyBorder="1" applyAlignment="1" applyProtection="1">
      <alignment horizontal="center" vertical="center" wrapText="1"/>
      <protection locked="0"/>
    </xf>
    <xf numFmtId="0" fontId="110" fillId="10" borderId="52" xfId="0" applyFont="1" applyFill="1" applyBorder="1" applyAlignment="1" applyProtection="1">
      <alignment horizontal="center" vertical="center" wrapText="1"/>
      <protection locked="0"/>
    </xf>
    <xf numFmtId="0" fontId="110" fillId="10" borderId="4" xfId="0" applyFont="1" applyFill="1" applyBorder="1" applyAlignment="1" applyProtection="1">
      <alignment horizontal="center" vertical="center" wrapText="1"/>
      <protection locked="0"/>
    </xf>
    <xf numFmtId="1" fontId="17" fillId="18" borderId="69" xfId="0" applyNumberFormat="1" applyFont="1" applyFill="1" applyBorder="1" applyAlignment="1" applyProtection="1">
      <alignment horizontal="center" vertical="center"/>
    </xf>
    <xf numFmtId="1" fontId="17" fillId="18" borderId="49" xfId="0" applyNumberFormat="1" applyFont="1" applyFill="1" applyBorder="1" applyAlignment="1" applyProtection="1">
      <alignment horizontal="center" vertical="center"/>
    </xf>
    <xf numFmtId="166" fontId="9" fillId="0" borderId="2" xfId="0" applyNumberFormat="1" applyFont="1" applyBorder="1" applyAlignment="1" applyProtection="1">
      <alignment horizontal="center" vertical="center"/>
      <protection locked="0"/>
    </xf>
    <xf numFmtId="166" fontId="9" fillId="0" borderId="45" xfId="0" applyNumberFormat="1" applyFont="1" applyBorder="1" applyAlignment="1" applyProtection="1">
      <alignment horizontal="center" vertical="center"/>
      <protection locked="0"/>
    </xf>
    <xf numFmtId="166" fontId="9" fillId="0" borderId="52" xfId="0" applyNumberFormat="1" applyFont="1" applyFill="1" applyBorder="1" applyAlignment="1" applyProtection="1">
      <alignment horizontal="center"/>
      <protection locked="0"/>
    </xf>
    <xf numFmtId="166" fontId="9" fillId="0" borderId="33" xfId="0" applyNumberFormat="1" applyFont="1" applyFill="1" applyBorder="1" applyAlignment="1" applyProtection="1">
      <alignment horizontal="center"/>
      <protection locked="0"/>
    </xf>
    <xf numFmtId="167" fontId="79" fillId="0" borderId="22" xfId="0" applyNumberFormat="1" applyFont="1" applyBorder="1" applyAlignment="1" applyProtection="1">
      <alignment horizontal="center" vertical="center"/>
    </xf>
    <xf numFmtId="14" fontId="83" fillId="0" borderId="0" xfId="0" applyNumberFormat="1" applyFont="1" applyAlignment="1" applyProtection="1">
      <alignment horizontal="center"/>
      <protection locked="0"/>
    </xf>
    <xf numFmtId="0" fontId="17" fillId="0" borderId="69" xfId="0" applyFont="1" applyBorder="1" applyAlignment="1" applyProtection="1">
      <alignment horizontal="center" vertical="center"/>
      <protection locked="0"/>
    </xf>
    <xf numFmtId="0" fontId="17" fillId="0" borderId="70" xfId="0" applyFont="1" applyBorder="1" applyAlignment="1" applyProtection="1">
      <alignment horizontal="center" vertical="center"/>
      <protection locked="0"/>
    </xf>
    <xf numFmtId="0" fontId="17" fillId="0" borderId="49" xfId="0" applyFont="1" applyBorder="1" applyAlignment="1" applyProtection="1">
      <alignment horizontal="center" vertical="center"/>
      <protection locked="0"/>
    </xf>
    <xf numFmtId="0" fontId="11" fillId="10" borderId="22" xfId="0" applyFont="1" applyFill="1" applyBorder="1" applyAlignment="1" applyProtection="1">
      <alignment horizontal="center" vertical="center" wrapText="1"/>
      <protection locked="0"/>
    </xf>
    <xf numFmtId="0" fontId="11" fillId="20" borderId="22" xfId="0" applyFont="1" applyFill="1" applyBorder="1" applyAlignment="1" applyProtection="1">
      <alignment horizontal="center" vertical="center" wrapText="1"/>
      <protection locked="0"/>
    </xf>
    <xf numFmtId="0" fontId="11" fillId="21" borderId="22" xfId="0" applyFont="1" applyFill="1" applyBorder="1" applyAlignment="1" applyProtection="1">
      <alignment horizontal="center" vertical="center" wrapText="1"/>
      <protection locked="0"/>
    </xf>
    <xf numFmtId="0" fontId="11" fillId="10" borderId="22" xfId="0" applyFont="1" applyFill="1" applyBorder="1" applyAlignment="1" applyProtection="1">
      <alignment horizontal="center" vertical="center"/>
      <protection locked="0"/>
    </xf>
    <xf numFmtId="0" fontId="11" fillId="20" borderId="22" xfId="0" applyFont="1" applyFill="1" applyBorder="1" applyAlignment="1" applyProtection="1">
      <alignment horizontal="center" vertical="center"/>
      <protection locked="0"/>
    </xf>
    <xf numFmtId="164" fontId="23" fillId="0" borderId="38" xfId="1" applyFont="1" applyFill="1" applyBorder="1" applyAlignment="1" applyProtection="1">
      <alignment horizontal="center" textRotation="90"/>
    </xf>
    <xf numFmtId="164" fontId="23" fillId="0" borderId="40" xfId="1" applyFont="1" applyFill="1" applyBorder="1" applyAlignment="1" applyProtection="1">
      <alignment horizontal="center" textRotation="90"/>
    </xf>
    <xf numFmtId="0" fontId="17" fillId="12" borderId="69" xfId="7" applyFont="1" applyFill="1" applyBorder="1" applyAlignment="1" applyProtection="1">
      <alignment horizontal="center" vertical="center"/>
    </xf>
    <xf numFmtId="0" fontId="17" fillId="12" borderId="70" xfId="7" applyFont="1" applyFill="1" applyBorder="1" applyAlignment="1" applyProtection="1">
      <alignment horizontal="center" vertical="center"/>
    </xf>
    <xf numFmtId="0" fontId="11" fillId="0" borderId="69" xfId="0" applyFont="1" applyBorder="1" applyAlignment="1" applyProtection="1">
      <alignment horizontal="center"/>
      <protection locked="0"/>
    </xf>
    <xf numFmtId="0" fontId="11" fillId="0" borderId="70" xfId="0" applyFont="1" applyBorder="1" applyAlignment="1" applyProtection="1">
      <alignment horizontal="center"/>
      <protection locked="0"/>
    </xf>
    <xf numFmtId="0" fontId="11" fillId="0" borderId="49" xfId="0" applyFont="1" applyBorder="1" applyAlignment="1" applyProtection="1">
      <alignment horizontal="center"/>
      <protection locked="0"/>
    </xf>
    <xf numFmtId="1" fontId="110" fillId="18" borderId="1" xfId="0" applyNumberFormat="1" applyFont="1" applyFill="1" applyBorder="1" applyAlignment="1" applyProtection="1">
      <alignment horizontal="center" vertical="top" wrapText="1"/>
      <protection locked="0"/>
    </xf>
    <xf numFmtId="1" fontId="110" fillId="18" borderId="2" xfId="0" applyNumberFormat="1" applyFont="1" applyFill="1" applyBorder="1" applyAlignment="1" applyProtection="1">
      <alignment horizontal="center" vertical="top" wrapText="1"/>
      <protection locked="0"/>
    </xf>
    <xf numFmtId="1" fontId="110" fillId="18" borderId="62" xfId="0" applyNumberFormat="1" applyFont="1" applyFill="1" applyBorder="1" applyAlignment="1" applyProtection="1">
      <alignment horizontal="center" vertical="top" wrapText="1"/>
      <protection locked="0"/>
    </xf>
    <xf numFmtId="1" fontId="110" fillId="18" borderId="45" xfId="0" applyNumberFormat="1" applyFont="1" applyFill="1" applyBorder="1" applyAlignment="1" applyProtection="1">
      <alignment horizontal="center" vertical="top" wrapText="1"/>
      <protection locked="0"/>
    </xf>
    <xf numFmtId="0" fontId="68" fillId="0" borderId="0" xfId="0" applyFont="1" applyBorder="1" applyAlignment="1" applyProtection="1">
      <alignment horizontal="center"/>
      <protection locked="0"/>
    </xf>
    <xf numFmtId="0" fontId="68" fillId="0" borderId="58" xfId="0" applyFont="1" applyBorder="1" applyAlignment="1" applyProtection="1">
      <alignment horizontal="center"/>
      <protection locked="0"/>
    </xf>
    <xf numFmtId="0" fontId="17" fillId="12" borderId="49" xfId="7" applyFont="1" applyFill="1" applyBorder="1" applyAlignment="1" applyProtection="1">
      <alignment horizontal="center" vertical="center"/>
    </xf>
    <xf numFmtId="166" fontId="79" fillId="0" borderId="22" xfId="0" applyNumberFormat="1" applyFont="1" applyBorder="1" applyAlignment="1" applyProtection="1">
      <alignment horizontal="center" vertical="center"/>
    </xf>
    <xf numFmtId="0" fontId="90" fillId="0" borderId="0" xfId="0" applyFont="1" applyAlignment="1" applyProtection="1">
      <alignment horizontal="center"/>
      <protection locked="0"/>
    </xf>
    <xf numFmtId="0" fontId="90" fillId="0" borderId="0" xfId="0" applyFont="1" applyAlignment="1" applyProtection="1">
      <alignment horizontal="left"/>
      <protection locked="0"/>
    </xf>
    <xf numFmtId="0" fontId="83" fillId="0" borderId="46" xfId="0" applyFont="1" applyBorder="1" applyAlignment="1" applyProtection="1">
      <alignment horizontal="center"/>
    </xf>
    <xf numFmtId="0" fontId="83" fillId="0" borderId="3" xfId="0" applyFont="1" applyBorder="1" applyAlignment="1" applyProtection="1">
      <alignment horizontal="center"/>
    </xf>
    <xf numFmtId="0" fontId="83" fillId="0" borderId="62" xfId="0" applyFont="1" applyBorder="1" applyAlignment="1" applyProtection="1">
      <alignment horizontal="center"/>
    </xf>
    <xf numFmtId="0" fontId="83" fillId="0" borderId="45" xfId="0" applyFont="1" applyBorder="1" applyAlignment="1" applyProtection="1">
      <alignment horizontal="center"/>
    </xf>
    <xf numFmtId="0" fontId="81" fillId="0" borderId="22" xfId="0" applyFont="1" applyBorder="1" applyAlignment="1" applyProtection="1">
      <alignment horizontal="left" vertical="center" wrapText="1"/>
      <protection locked="0"/>
    </xf>
    <xf numFmtId="166" fontId="9" fillId="0" borderId="1" xfId="6" applyNumberFormat="1" applyFont="1" applyBorder="1" applyAlignment="1" applyProtection="1">
      <alignment horizontal="center" vertical="center"/>
      <protection locked="0"/>
    </xf>
    <xf numFmtId="166" fontId="9" fillId="0" borderId="62" xfId="6" applyNumberFormat="1" applyFont="1" applyBorder="1" applyAlignment="1" applyProtection="1">
      <alignment horizontal="center" vertical="center"/>
      <protection locked="0"/>
    </xf>
    <xf numFmtId="0" fontId="17" fillId="3" borderId="13" xfId="0" applyFont="1" applyFill="1" applyBorder="1" applyAlignment="1" applyProtection="1">
      <alignment horizontal="center" vertical="center" wrapText="1"/>
      <protection locked="0"/>
    </xf>
    <xf numFmtId="0" fontId="17" fillId="3" borderId="34" xfId="0" applyFont="1" applyFill="1" applyBorder="1" applyAlignment="1" applyProtection="1">
      <alignment horizontal="center" vertical="center" wrapText="1"/>
      <protection locked="0"/>
    </xf>
    <xf numFmtId="0" fontId="73" fillId="0" borderId="0" xfId="0" applyFont="1" applyBorder="1" applyAlignment="1" applyProtection="1">
      <alignment horizontal="left" vertical="center" wrapText="1"/>
    </xf>
    <xf numFmtId="0" fontId="73" fillId="0" borderId="3" xfId="0" applyFont="1" applyBorder="1" applyAlignment="1" applyProtection="1">
      <alignment horizontal="left" vertical="center" wrapText="1"/>
    </xf>
    <xf numFmtId="0" fontId="73" fillId="0" borderId="46" xfId="0" applyFont="1" applyBorder="1" applyAlignment="1" applyProtection="1">
      <alignment horizontal="left" vertical="center" wrapText="1"/>
    </xf>
    <xf numFmtId="0" fontId="73" fillId="0" borderId="62" xfId="0" applyFont="1" applyBorder="1" applyAlignment="1" applyProtection="1">
      <alignment horizontal="left" vertical="center" wrapText="1"/>
    </xf>
    <xf numFmtId="0" fontId="73" fillId="0" borderId="45" xfId="0" applyFont="1" applyBorder="1" applyAlignment="1" applyProtection="1">
      <alignment horizontal="left" vertical="center" wrapText="1"/>
    </xf>
    <xf numFmtId="0" fontId="80" fillId="0" borderId="1" xfId="0" applyFont="1" applyBorder="1" applyAlignment="1" applyProtection="1">
      <alignment horizontal="center"/>
    </xf>
    <xf numFmtId="0" fontId="80" fillId="0" borderId="2" xfId="0" applyFont="1" applyBorder="1" applyAlignment="1" applyProtection="1">
      <alignment horizontal="center"/>
    </xf>
    <xf numFmtId="0" fontId="80" fillId="0" borderId="62" xfId="0" applyFont="1" applyBorder="1" applyAlignment="1" applyProtection="1">
      <alignment horizontal="center"/>
    </xf>
    <xf numFmtId="0" fontId="80" fillId="0" borderId="45" xfId="0" applyFont="1" applyBorder="1" applyAlignment="1" applyProtection="1">
      <alignment horizontal="center"/>
    </xf>
    <xf numFmtId="0" fontId="73" fillId="0" borderId="0" xfId="0" applyFont="1" applyBorder="1" applyAlignment="1" applyProtection="1">
      <alignment horizontal="center" wrapText="1"/>
      <protection locked="0"/>
    </xf>
    <xf numFmtId="0" fontId="84" fillId="0" borderId="78" xfId="0" applyFont="1" applyBorder="1" applyAlignment="1" applyProtection="1">
      <alignment horizontal="center" vertical="center" wrapText="1"/>
      <protection locked="0"/>
    </xf>
    <xf numFmtId="0" fontId="84" fillId="0" borderId="0" xfId="0" applyFont="1" applyBorder="1" applyAlignment="1" applyProtection="1">
      <alignment horizontal="center" vertical="center" wrapText="1"/>
      <protection locked="0"/>
    </xf>
    <xf numFmtId="0" fontId="73" fillId="0" borderId="0" xfId="0" applyFont="1" applyBorder="1" applyAlignment="1" applyProtection="1">
      <alignment horizontal="center"/>
      <protection locked="0"/>
    </xf>
    <xf numFmtId="0" fontId="73" fillId="0" borderId="1" xfId="0" applyFont="1" applyBorder="1" applyAlignment="1" applyProtection="1">
      <alignment horizontal="center" vertical="center" wrapText="1"/>
      <protection locked="0"/>
    </xf>
    <xf numFmtId="0" fontId="73" fillId="0" borderId="2" xfId="0" applyFont="1" applyBorder="1" applyAlignment="1" applyProtection="1">
      <alignment horizontal="center" vertical="center" wrapText="1"/>
      <protection locked="0"/>
    </xf>
    <xf numFmtId="0" fontId="73" fillId="0" borderId="46" xfId="0" applyFont="1" applyBorder="1" applyAlignment="1" applyProtection="1">
      <alignment horizontal="center" vertical="center" wrapText="1"/>
      <protection locked="0"/>
    </xf>
    <xf numFmtId="0" fontId="73" fillId="0" borderId="3" xfId="0" applyFont="1" applyBorder="1" applyAlignment="1" applyProtection="1">
      <alignment horizontal="center" vertical="center" wrapText="1"/>
      <protection locked="0"/>
    </xf>
    <xf numFmtId="0" fontId="73" fillId="0" borderId="62" xfId="0" applyFont="1" applyBorder="1" applyAlignment="1" applyProtection="1">
      <alignment horizontal="center" vertical="center" wrapText="1"/>
      <protection locked="0"/>
    </xf>
    <xf numFmtId="0" fontId="73" fillId="0" borderId="45" xfId="0" applyFont="1" applyBorder="1" applyAlignment="1" applyProtection="1">
      <alignment horizontal="center" vertical="center" wrapText="1"/>
      <protection locked="0"/>
    </xf>
    <xf numFmtId="0" fontId="73" fillId="0" borderId="1" xfId="0" applyFont="1" applyBorder="1" applyAlignment="1" applyProtection="1">
      <alignment horizontal="left" vertical="center" wrapText="1"/>
    </xf>
    <xf numFmtId="0" fontId="73" fillId="0" borderId="2" xfId="0" applyFont="1" applyBorder="1" applyAlignment="1" applyProtection="1">
      <alignment horizontal="left" vertical="center" wrapText="1"/>
    </xf>
    <xf numFmtId="0" fontId="28" fillId="16" borderId="69" xfId="0" applyFont="1" applyFill="1" applyBorder="1" applyAlignment="1" applyProtection="1">
      <alignment horizontal="left" vertical="center"/>
      <protection locked="0"/>
    </xf>
    <xf numFmtId="0" fontId="28" fillId="16" borderId="49" xfId="0" applyFont="1" applyFill="1" applyBorder="1" applyAlignment="1" applyProtection="1">
      <alignment horizontal="left" vertical="center"/>
      <protection locked="0"/>
    </xf>
    <xf numFmtId="0" fontId="28" fillId="16" borderId="69" xfId="0" applyFont="1" applyFill="1" applyBorder="1" applyAlignment="1" applyProtection="1">
      <alignment horizontal="center" vertical="center"/>
      <protection locked="0"/>
    </xf>
    <xf numFmtId="0" fontId="28" fillId="16" borderId="49" xfId="0" applyFont="1" applyFill="1" applyBorder="1" applyAlignment="1" applyProtection="1">
      <alignment horizontal="center" vertical="center"/>
      <protection locked="0"/>
    </xf>
    <xf numFmtId="0" fontId="31" fillId="3" borderId="47" xfId="0" applyFont="1" applyFill="1" applyBorder="1" applyAlignment="1" applyProtection="1">
      <alignment horizontal="center"/>
      <protection locked="0"/>
    </xf>
    <xf numFmtId="0" fontId="31" fillId="3" borderId="26" xfId="0" applyFont="1" applyFill="1" applyBorder="1" applyAlignment="1" applyProtection="1">
      <alignment horizontal="center"/>
      <protection locked="0"/>
    </xf>
    <xf numFmtId="20" fontId="11" fillId="3" borderId="38" xfId="0" applyNumberFormat="1" applyFont="1" applyFill="1" applyBorder="1" applyAlignment="1" applyProtection="1">
      <alignment horizontal="center" vertical="center"/>
      <protection locked="0"/>
    </xf>
    <xf numFmtId="20" fontId="11" fillId="3" borderId="72" xfId="0" applyNumberFormat="1" applyFont="1" applyFill="1" applyBorder="1" applyAlignment="1" applyProtection="1">
      <alignment horizontal="center" vertical="center"/>
      <protection locked="0"/>
    </xf>
    <xf numFmtId="20" fontId="11" fillId="3" borderId="40" xfId="0" applyNumberFormat="1" applyFont="1" applyFill="1" applyBorder="1" applyAlignment="1" applyProtection="1">
      <alignment horizontal="center" vertical="center"/>
      <protection locked="0"/>
    </xf>
    <xf numFmtId="166" fontId="11" fillId="13" borderId="38" xfId="0" applyNumberFormat="1" applyFont="1" applyFill="1" applyBorder="1" applyAlignment="1" applyProtection="1">
      <alignment horizontal="center" vertical="center"/>
      <protection locked="0"/>
    </xf>
    <xf numFmtId="166" fontId="11" fillId="13" borderId="40" xfId="0" applyNumberFormat="1" applyFont="1" applyFill="1" applyBorder="1" applyAlignment="1" applyProtection="1">
      <alignment horizontal="center" vertical="center"/>
      <protection locked="0"/>
    </xf>
    <xf numFmtId="0" fontId="17" fillId="3" borderId="38" xfId="0" applyFont="1" applyFill="1" applyBorder="1" applyAlignment="1" applyProtection="1">
      <alignment horizontal="center" vertical="top" wrapText="1"/>
      <protection locked="0"/>
    </xf>
    <xf numFmtId="0" fontId="17" fillId="3" borderId="72" xfId="0" applyFont="1" applyFill="1" applyBorder="1" applyAlignment="1" applyProtection="1">
      <alignment horizontal="center" vertical="top" wrapText="1"/>
      <protection locked="0"/>
    </xf>
    <xf numFmtId="0" fontId="17" fillId="3" borderId="40" xfId="0" applyFont="1" applyFill="1" applyBorder="1" applyAlignment="1" applyProtection="1">
      <alignment horizontal="center" vertical="top" wrapText="1"/>
      <protection locked="0"/>
    </xf>
    <xf numFmtId="0" fontId="9" fillId="0" borderId="60" xfId="0" applyFont="1" applyBorder="1" applyAlignment="1" applyProtection="1">
      <alignment horizontal="center" vertical="center"/>
      <protection locked="0"/>
    </xf>
    <xf numFmtId="0" fontId="9" fillId="0" borderId="24" xfId="0" applyFont="1" applyBorder="1" applyAlignment="1" applyProtection="1">
      <alignment horizontal="center" vertical="center"/>
      <protection locked="0"/>
    </xf>
    <xf numFmtId="2" fontId="9" fillId="0" borderId="57" xfId="0" applyNumberFormat="1" applyFont="1" applyBorder="1" applyAlignment="1" applyProtection="1">
      <alignment horizontal="center" vertical="center"/>
      <protection locked="0"/>
    </xf>
    <xf numFmtId="2" fontId="9" fillId="0" borderId="44" xfId="0" applyNumberFormat="1" applyFont="1" applyBorder="1" applyAlignment="1" applyProtection="1">
      <alignment horizontal="center" vertical="center"/>
      <protection locked="0"/>
    </xf>
    <xf numFmtId="166" fontId="9" fillId="7" borderId="47" xfId="0" applyNumberFormat="1" applyFont="1" applyFill="1" applyBorder="1" applyAlignment="1" applyProtection="1">
      <alignment horizontal="center"/>
      <protection locked="0"/>
    </xf>
    <xf numFmtId="166" fontId="9" fillId="7" borderId="26" xfId="0" applyNumberFormat="1" applyFont="1" applyFill="1" applyBorder="1" applyAlignment="1" applyProtection="1">
      <alignment horizontal="center"/>
      <protection locked="0"/>
    </xf>
    <xf numFmtId="0" fontId="9" fillId="12" borderId="22" xfId="0" applyFont="1" applyFill="1" applyBorder="1" applyAlignment="1" applyProtection="1">
      <alignment horizontal="center" vertical="center" wrapText="1"/>
      <protection locked="0"/>
    </xf>
    <xf numFmtId="0" fontId="15" fillId="0" borderId="38" xfId="0" applyFont="1" applyBorder="1" applyAlignment="1" applyProtection="1">
      <alignment horizontal="center" vertical="center" wrapText="1"/>
      <protection locked="0"/>
    </xf>
    <xf numFmtId="0" fontId="15" fillId="0" borderId="40" xfId="0" applyFont="1" applyBorder="1" applyAlignment="1" applyProtection="1">
      <alignment horizontal="center" vertical="center" wrapText="1"/>
      <protection locked="0"/>
    </xf>
    <xf numFmtId="0" fontId="15" fillId="3" borderId="39" xfId="0" applyFont="1" applyFill="1" applyBorder="1" applyAlignment="1" applyProtection="1">
      <alignment horizontal="center" vertical="center" wrapText="1"/>
      <protection locked="0"/>
    </xf>
    <xf numFmtId="0" fontId="15" fillId="3" borderId="41" xfId="0" applyFont="1" applyFill="1" applyBorder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/>
      <protection locked="0"/>
    </xf>
    <xf numFmtId="0" fontId="17" fillId="3" borderId="79" xfId="0" applyFont="1" applyFill="1" applyBorder="1" applyAlignment="1" applyProtection="1">
      <alignment horizontal="center" vertical="center"/>
      <protection locked="0"/>
    </xf>
    <xf numFmtId="0" fontId="17" fillId="3" borderId="32" xfId="0" applyFont="1" applyFill="1" applyBorder="1" applyAlignment="1" applyProtection="1">
      <alignment horizontal="center" vertical="center"/>
      <protection locked="0"/>
    </xf>
    <xf numFmtId="166" fontId="28" fillId="0" borderId="30" xfId="0" applyNumberFormat="1" applyFont="1" applyBorder="1" applyAlignment="1" applyProtection="1">
      <alignment horizontal="center" vertical="center"/>
      <protection locked="0"/>
    </xf>
    <xf numFmtId="166" fontId="28" fillId="0" borderId="73" xfId="0" applyNumberFormat="1" applyFont="1" applyBorder="1" applyAlignment="1" applyProtection="1">
      <alignment horizontal="center" vertical="center"/>
      <protection locked="0"/>
    </xf>
    <xf numFmtId="166" fontId="28" fillId="0" borderId="35" xfId="0" applyNumberFormat="1" applyFont="1" applyBorder="1" applyAlignment="1" applyProtection="1">
      <alignment horizontal="center" vertical="center"/>
      <protection locked="0"/>
    </xf>
    <xf numFmtId="0" fontId="9" fillId="16" borderId="22" xfId="0" applyFont="1" applyFill="1" applyBorder="1" applyAlignment="1" applyProtection="1">
      <alignment horizontal="center" vertical="center"/>
    </xf>
    <xf numFmtId="0" fontId="19" fillId="3" borderId="16" xfId="0" applyFont="1" applyFill="1" applyBorder="1" applyAlignment="1" applyProtection="1">
      <alignment horizontal="center" vertical="center" wrapText="1"/>
      <protection locked="0"/>
    </xf>
    <xf numFmtId="0" fontId="19" fillId="3" borderId="28" xfId="0" applyFont="1" applyFill="1" applyBorder="1" applyAlignment="1" applyProtection="1">
      <alignment horizontal="center" vertical="center" wrapText="1"/>
      <protection locked="0"/>
    </xf>
    <xf numFmtId="166" fontId="9" fillId="5" borderId="47" xfId="0" applyNumberFormat="1" applyFont="1" applyFill="1" applyBorder="1" applyAlignment="1" applyProtection="1">
      <alignment horizontal="center"/>
      <protection locked="0"/>
    </xf>
    <xf numFmtId="166" fontId="9" fillId="5" borderId="26" xfId="0" applyNumberFormat="1" applyFont="1" applyFill="1" applyBorder="1" applyAlignment="1" applyProtection="1">
      <alignment horizontal="center"/>
      <protection locked="0"/>
    </xf>
    <xf numFmtId="0" fontId="31" fillId="3" borderId="47" xfId="0" applyFont="1" applyFill="1" applyBorder="1" applyAlignment="1" applyProtection="1">
      <alignment horizontal="center" vertical="center"/>
      <protection locked="0"/>
    </xf>
    <xf numFmtId="0" fontId="31" fillId="3" borderId="26" xfId="0" applyFont="1" applyFill="1" applyBorder="1" applyAlignment="1" applyProtection="1">
      <alignment horizontal="center" vertical="center"/>
      <protection locked="0"/>
    </xf>
    <xf numFmtId="0" fontId="11" fillId="3" borderId="39" xfId="0" applyFont="1" applyFill="1" applyBorder="1" applyAlignment="1" applyProtection="1">
      <alignment horizontal="center"/>
      <protection locked="0"/>
    </xf>
    <xf numFmtId="0" fontId="11" fillId="3" borderId="18" xfId="0" applyFont="1" applyFill="1" applyBorder="1" applyAlignment="1" applyProtection="1">
      <alignment horizontal="center"/>
      <protection locked="0"/>
    </xf>
    <xf numFmtId="0" fontId="11" fillId="3" borderId="77" xfId="0" applyFont="1" applyFill="1" applyBorder="1" applyAlignment="1" applyProtection="1">
      <alignment horizontal="center"/>
      <protection locked="0"/>
    </xf>
    <xf numFmtId="0" fontId="11" fillId="5" borderId="30" xfId="0" applyFont="1" applyFill="1" applyBorder="1" applyAlignment="1" applyProtection="1">
      <alignment horizontal="left" vertical="center"/>
      <protection locked="0"/>
    </xf>
    <xf numFmtId="0" fontId="11" fillId="5" borderId="73" xfId="0" applyFont="1" applyFill="1" applyBorder="1" applyAlignment="1" applyProtection="1">
      <alignment horizontal="left" vertical="center"/>
      <protection locked="0"/>
    </xf>
    <xf numFmtId="0" fontId="11" fillId="5" borderId="35" xfId="0" applyFont="1" applyFill="1" applyBorder="1" applyAlignment="1" applyProtection="1">
      <alignment horizontal="left" vertical="center"/>
      <protection locked="0"/>
    </xf>
    <xf numFmtId="0" fontId="15" fillId="5" borderId="48" xfId="0" applyFont="1" applyFill="1" applyBorder="1" applyAlignment="1" applyProtection="1">
      <alignment horizontal="center" vertical="center" wrapText="1"/>
      <protection locked="0"/>
    </xf>
    <xf numFmtId="0" fontId="19" fillId="3" borderId="15" xfId="0" applyFont="1" applyFill="1" applyBorder="1" applyAlignment="1" applyProtection="1">
      <alignment horizontal="center" vertical="center" wrapText="1"/>
      <protection locked="0"/>
    </xf>
    <xf numFmtId="0" fontId="19" fillId="3" borderId="66" xfId="0" applyFont="1" applyFill="1" applyBorder="1" applyAlignment="1" applyProtection="1">
      <alignment horizontal="center" vertical="center" wrapText="1"/>
      <protection locked="0"/>
    </xf>
    <xf numFmtId="166" fontId="9" fillId="0" borderId="1" xfId="0" applyNumberFormat="1" applyFont="1" applyBorder="1" applyAlignment="1" applyProtection="1">
      <alignment horizontal="center" vertical="center"/>
      <protection locked="0"/>
    </xf>
    <xf numFmtId="166" fontId="9" fillId="0" borderId="62" xfId="0" applyNumberFormat="1" applyFont="1" applyBorder="1" applyAlignment="1" applyProtection="1">
      <alignment horizontal="center" vertical="center"/>
      <protection locked="0"/>
    </xf>
    <xf numFmtId="0" fontId="71" fillId="3" borderId="30" xfId="0" applyFont="1" applyFill="1" applyBorder="1" applyAlignment="1" applyProtection="1">
      <alignment horizontal="center"/>
      <protection locked="0"/>
    </xf>
    <xf numFmtId="0" fontId="71" fillId="3" borderId="73" xfId="0" applyFont="1" applyFill="1" applyBorder="1" applyAlignment="1" applyProtection="1">
      <alignment horizontal="center"/>
      <protection locked="0"/>
    </xf>
    <xf numFmtId="0" fontId="71" fillId="3" borderId="35" xfId="0" applyFont="1" applyFill="1" applyBorder="1" applyAlignment="1" applyProtection="1">
      <alignment horizontal="center"/>
      <protection locked="0"/>
    </xf>
    <xf numFmtId="0" fontId="28" fillId="5" borderId="47" xfId="0" applyFont="1" applyFill="1" applyBorder="1" applyAlignment="1" applyProtection="1">
      <alignment horizontal="center"/>
      <protection locked="0"/>
    </xf>
    <xf numFmtId="0" fontId="28" fillId="5" borderId="26" xfId="0" applyFont="1" applyFill="1" applyBorder="1" applyAlignment="1" applyProtection="1">
      <alignment horizontal="center"/>
      <protection locked="0"/>
    </xf>
    <xf numFmtId="0" fontId="11" fillId="3" borderId="17" xfId="0" applyFont="1" applyFill="1" applyBorder="1" applyAlignment="1" applyProtection="1">
      <alignment horizontal="center"/>
      <protection locked="0"/>
    </xf>
    <xf numFmtId="0" fontId="11" fillId="3" borderId="19" xfId="0" applyFont="1" applyFill="1" applyBorder="1" applyAlignment="1" applyProtection="1">
      <alignment horizontal="center"/>
      <protection locked="0"/>
    </xf>
    <xf numFmtId="0" fontId="9" fillId="3" borderId="38" xfId="0" applyFont="1" applyFill="1" applyBorder="1" applyAlignment="1" applyProtection="1">
      <alignment horizontal="center" vertical="center"/>
      <protection locked="0"/>
    </xf>
    <xf numFmtId="0" fontId="0" fillId="0" borderId="40" xfId="0" applyBorder="1"/>
    <xf numFmtId="166" fontId="9" fillId="5" borderId="17" xfId="0" applyNumberFormat="1" applyFont="1" applyFill="1" applyBorder="1" applyAlignment="1" applyProtection="1">
      <alignment horizontal="center"/>
      <protection locked="0"/>
    </xf>
    <xf numFmtId="166" fontId="9" fillId="5" borderId="19" xfId="0" applyNumberFormat="1" applyFont="1" applyFill="1" applyBorder="1" applyAlignment="1" applyProtection="1">
      <alignment horizontal="center"/>
      <protection locked="0"/>
    </xf>
    <xf numFmtId="168" fontId="11" fillId="12" borderId="73" xfId="0" applyNumberFormat="1" applyFont="1" applyFill="1" applyBorder="1" applyAlignment="1" applyProtection="1">
      <alignment horizontal="center"/>
    </xf>
    <xf numFmtId="168" fontId="11" fillId="12" borderId="35" xfId="0" applyNumberFormat="1" applyFont="1" applyFill="1" applyBorder="1" applyAlignment="1" applyProtection="1">
      <alignment horizontal="center"/>
    </xf>
    <xf numFmtId="166" fontId="9" fillId="0" borderId="57" xfId="0" applyNumberFormat="1" applyFont="1" applyFill="1" applyBorder="1" applyAlignment="1" applyProtection="1">
      <alignment horizontal="center"/>
      <protection locked="0"/>
    </xf>
    <xf numFmtId="166" fontId="9" fillId="0" borderId="66" xfId="0" applyNumberFormat="1" applyFont="1" applyFill="1" applyBorder="1" applyAlignment="1" applyProtection="1">
      <alignment horizontal="center"/>
      <protection locked="0"/>
    </xf>
    <xf numFmtId="0" fontId="17" fillId="3" borderId="16" xfId="0" applyFont="1" applyFill="1" applyBorder="1" applyAlignment="1" applyProtection="1">
      <alignment horizontal="center" vertical="center" wrapText="1"/>
      <protection locked="0"/>
    </xf>
    <xf numFmtId="0" fontId="17" fillId="3" borderId="28" xfId="0" applyFont="1" applyFill="1" applyBorder="1" applyAlignment="1" applyProtection="1">
      <alignment horizontal="center" vertical="center" wrapText="1"/>
      <protection locked="0"/>
    </xf>
    <xf numFmtId="0" fontId="9" fillId="3" borderId="39" xfId="0" applyFont="1" applyFill="1" applyBorder="1" applyAlignment="1" applyProtection="1">
      <alignment horizontal="center" vertical="center" wrapText="1"/>
      <protection locked="0"/>
    </xf>
    <xf numFmtId="0" fontId="9" fillId="3" borderId="41" xfId="0" applyFont="1" applyFill="1" applyBorder="1" applyAlignment="1" applyProtection="1">
      <alignment horizontal="center" vertical="center" wrapText="1"/>
      <protection locked="0"/>
    </xf>
    <xf numFmtId="0" fontId="12" fillId="0" borderId="0" xfId="0" applyFont="1" applyBorder="1" applyAlignment="1" applyProtection="1">
      <alignment horizontal="center" wrapText="1"/>
      <protection locked="0"/>
    </xf>
    <xf numFmtId="0" fontId="17" fillId="5" borderId="14" xfId="0" applyFont="1" applyFill="1" applyBorder="1" applyAlignment="1" applyProtection="1">
      <alignment horizontal="center" vertical="center" wrapText="1"/>
      <protection locked="0"/>
    </xf>
    <xf numFmtId="0" fontId="17" fillId="5" borderId="33" xfId="0" applyFont="1" applyFill="1" applyBorder="1" applyAlignment="1" applyProtection="1">
      <alignment horizontal="center" vertical="center" wrapText="1"/>
      <protection locked="0"/>
    </xf>
    <xf numFmtId="0" fontId="15" fillId="3" borderId="38" xfId="0" applyFont="1" applyFill="1" applyBorder="1" applyAlignment="1" applyProtection="1">
      <alignment horizontal="center" vertical="center" wrapText="1"/>
      <protection locked="0"/>
    </xf>
    <xf numFmtId="0" fontId="15" fillId="3" borderId="40" xfId="0" applyFont="1" applyFill="1" applyBorder="1" applyAlignment="1" applyProtection="1">
      <alignment horizontal="center" vertical="center" wrapText="1"/>
      <protection locked="0"/>
    </xf>
    <xf numFmtId="0" fontId="83" fillId="0" borderId="1" xfId="0" applyFont="1" applyBorder="1" applyAlignment="1" applyProtection="1">
      <alignment horizontal="center"/>
    </xf>
    <xf numFmtId="0" fontId="83" fillId="0" borderId="2" xfId="0" applyFont="1" applyBorder="1" applyAlignment="1" applyProtection="1">
      <alignment horizontal="center"/>
    </xf>
    <xf numFmtId="0" fontId="27" fillId="0" borderId="73" xfId="0" applyFont="1" applyBorder="1" applyAlignment="1" applyProtection="1">
      <alignment horizontal="center"/>
      <protection locked="0"/>
    </xf>
    <xf numFmtId="0" fontId="17" fillId="3" borderId="39" xfId="0" applyFont="1" applyFill="1" applyBorder="1" applyAlignment="1" applyProtection="1">
      <alignment horizontal="center" vertical="center" wrapText="1"/>
      <protection locked="0"/>
    </xf>
    <xf numFmtId="0" fontId="17" fillId="3" borderId="41" xfId="0" applyFont="1" applyFill="1" applyBorder="1" applyAlignment="1" applyProtection="1">
      <alignment horizontal="center" vertical="center" wrapText="1"/>
      <protection locked="0"/>
    </xf>
    <xf numFmtId="0" fontId="9" fillId="0" borderId="60" xfId="0" applyFont="1" applyBorder="1" applyAlignment="1" applyProtection="1">
      <alignment horizontal="center" vertical="center" wrapText="1"/>
      <protection locked="0"/>
    </xf>
    <xf numFmtId="0" fontId="9" fillId="0" borderId="24" xfId="0" applyFont="1" applyBorder="1" applyAlignment="1" applyProtection="1">
      <alignment horizontal="center" vertical="center" wrapText="1"/>
      <protection locked="0"/>
    </xf>
    <xf numFmtId="0" fontId="28" fillId="3" borderId="30" xfId="0" applyFont="1" applyFill="1" applyBorder="1" applyAlignment="1" applyProtection="1">
      <alignment horizontal="center" vertical="center" wrapText="1"/>
      <protection locked="0"/>
    </xf>
    <xf numFmtId="0" fontId="28" fillId="3" borderId="73" xfId="0" applyFont="1" applyFill="1" applyBorder="1" applyAlignment="1" applyProtection="1">
      <alignment horizontal="center" vertical="center" wrapText="1"/>
      <protection locked="0"/>
    </xf>
    <xf numFmtId="2" fontId="9" fillId="0" borderId="52" xfId="0" applyNumberFormat="1" applyFont="1" applyBorder="1" applyAlignment="1" applyProtection="1">
      <alignment horizontal="center" vertical="center"/>
      <protection locked="0"/>
    </xf>
    <xf numFmtId="2" fontId="9" fillId="0" borderId="4" xfId="0" applyNumberFormat="1" applyFont="1" applyBorder="1" applyAlignment="1" applyProtection="1">
      <alignment horizontal="center" vertical="center"/>
      <protection locked="0"/>
    </xf>
    <xf numFmtId="0" fontId="11" fillId="3" borderId="30" xfId="0" applyFont="1" applyFill="1" applyBorder="1" applyAlignment="1" applyProtection="1">
      <alignment horizontal="center" vertical="center"/>
      <protection locked="0"/>
    </xf>
    <xf numFmtId="0" fontId="11" fillId="3" borderId="73" xfId="0" applyFont="1" applyFill="1" applyBorder="1" applyAlignment="1" applyProtection="1">
      <alignment horizontal="center" vertical="center"/>
      <protection locked="0"/>
    </xf>
    <xf numFmtId="0" fontId="11" fillId="3" borderId="35" xfId="0" applyFont="1" applyFill="1" applyBorder="1" applyAlignment="1" applyProtection="1">
      <alignment horizontal="center" vertical="center"/>
      <protection locked="0"/>
    </xf>
    <xf numFmtId="0" fontId="11" fillId="3" borderId="27" xfId="0" applyFont="1" applyFill="1" applyBorder="1" applyAlignment="1" applyProtection="1">
      <alignment horizontal="left" vertical="center"/>
      <protection locked="0"/>
    </xf>
    <xf numFmtId="0" fontId="11" fillId="3" borderId="42" xfId="0" applyFont="1" applyFill="1" applyBorder="1" applyAlignment="1" applyProtection="1">
      <alignment horizontal="left" vertical="center"/>
      <protection locked="0"/>
    </xf>
    <xf numFmtId="0" fontId="69" fillId="0" borderId="0" xfId="0" applyFont="1" applyAlignment="1" applyProtection="1">
      <alignment horizontal="left"/>
      <protection locked="0"/>
    </xf>
    <xf numFmtId="0" fontId="15" fillId="0" borderId="30" xfId="0" applyFont="1" applyBorder="1" applyAlignment="1" applyProtection="1">
      <alignment horizontal="center"/>
      <protection locked="0"/>
    </xf>
    <xf numFmtId="0" fontId="15" fillId="0" borderId="73" xfId="0" applyFont="1" applyBorder="1" applyAlignment="1" applyProtection="1">
      <alignment horizontal="center"/>
      <protection locked="0"/>
    </xf>
    <xf numFmtId="0" fontId="15" fillId="0" borderId="35" xfId="0" applyFont="1" applyBorder="1" applyAlignment="1" applyProtection="1">
      <alignment horizontal="center"/>
      <protection locked="0"/>
    </xf>
    <xf numFmtId="0" fontId="23" fillId="3" borderId="47" xfId="0" applyFont="1" applyFill="1" applyBorder="1" applyAlignment="1" applyProtection="1">
      <alignment horizontal="left"/>
      <protection locked="0"/>
    </xf>
    <xf numFmtId="0" fontId="23" fillId="3" borderId="26" xfId="0" applyFont="1" applyFill="1" applyBorder="1" applyAlignment="1" applyProtection="1">
      <alignment horizontal="left"/>
      <protection locked="0"/>
    </xf>
    <xf numFmtId="0" fontId="13" fillId="0" borderId="0" xfId="0" applyFont="1" applyAlignment="1" applyProtection="1">
      <alignment horizontal="center"/>
      <protection locked="0"/>
    </xf>
    <xf numFmtId="0" fontId="14" fillId="0" borderId="0" xfId="0" applyFont="1" applyAlignment="1" applyProtection="1">
      <alignment horizontal="right"/>
      <protection locked="0"/>
    </xf>
    <xf numFmtId="0" fontId="9" fillId="0" borderId="0" xfId="0" applyFont="1" applyAlignment="1" applyProtection="1">
      <alignment horizontal="left"/>
      <protection locked="0"/>
    </xf>
    <xf numFmtId="0" fontId="9" fillId="0" borderId="0" xfId="0" applyFont="1" applyAlignment="1" applyProtection="1">
      <alignment horizontal="center"/>
      <protection locked="0"/>
    </xf>
    <xf numFmtId="0" fontId="11" fillId="3" borderId="17" xfId="0" applyFont="1" applyFill="1" applyBorder="1" applyAlignment="1" applyProtection="1">
      <alignment horizontal="left"/>
      <protection locked="0"/>
    </xf>
    <xf numFmtId="0" fontId="11" fillId="3" borderId="19" xfId="0" applyFont="1" applyFill="1" applyBorder="1" applyAlignment="1" applyProtection="1">
      <alignment horizontal="left"/>
      <protection locked="0"/>
    </xf>
    <xf numFmtId="0" fontId="15" fillId="0" borderId="39" xfId="0" applyFont="1" applyBorder="1" applyAlignment="1" applyProtection="1">
      <alignment horizontal="center"/>
      <protection locked="0"/>
    </xf>
    <xf numFmtId="0" fontId="15" fillId="0" borderId="18" xfId="0" applyFont="1" applyBorder="1" applyAlignment="1" applyProtection="1">
      <alignment horizontal="center"/>
      <protection locked="0"/>
    </xf>
    <xf numFmtId="0" fontId="15" fillId="0" borderId="77" xfId="0" applyFont="1" applyBorder="1" applyAlignment="1" applyProtection="1">
      <alignment horizontal="center"/>
      <protection locked="0"/>
    </xf>
    <xf numFmtId="0" fontId="9" fillId="0" borderId="0" xfId="0" applyFont="1" applyBorder="1" applyAlignment="1" applyProtection="1">
      <alignment horizontal="center"/>
      <protection locked="0"/>
    </xf>
    <xf numFmtId="0" fontId="68" fillId="0" borderId="0" xfId="0" applyFont="1" applyAlignment="1" applyProtection="1">
      <alignment horizontal="left"/>
      <protection locked="0"/>
    </xf>
    <xf numFmtId="0" fontId="11" fillId="3" borderId="25" xfId="0" applyFont="1" applyFill="1" applyBorder="1" applyAlignment="1" applyProtection="1">
      <alignment horizontal="left"/>
      <protection locked="0"/>
    </xf>
    <xf numFmtId="0" fontId="11" fillId="3" borderId="48" xfId="0" applyFont="1" applyFill="1" applyBorder="1" applyAlignment="1" applyProtection="1">
      <alignment horizontal="left"/>
      <protection locked="0"/>
    </xf>
    <xf numFmtId="0" fontId="11" fillId="3" borderId="59" xfId="0" applyFont="1" applyFill="1" applyBorder="1" applyAlignment="1" applyProtection="1">
      <alignment horizontal="left"/>
      <protection locked="0"/>
    </xf>
    <xf numFmtId="0" fontId="11" fillId="3" borderId="29" xfId="0" applyFont="1" applyFill="1" applyBorder="1" applyAlignment="1" applyProtection="1">
      <alignment horizontal="left"/>
      <protection locked="0"/>
    </xf>
    <xf numFmtId="0" fontId="68" fillId="0" borderId="0" xfId="0" applyFont="1" applyAlignment="1" applyProtection="1">
      <alignment horizontal="center"/>
      <protection locked="0"/>
    </xf>
    <xf numFmtId="0" fontId="68" fillId="0" borderId="0" xfId="0" applyFont="1" applyBorder="1" applyAlignment="1" applyProtection="1">
      <alignment horizontal="right"/>
      <protection locked="0"/>
    </xf>
    <xf numFmtId="0" fontId="82" fillId="0" borderId="46" xfId="0" applyFont="1" applyBorder="1" applyAlignment="1" applyProtection="1">
      <alignment horizontal="center"/>
      <protection locked="0"/>
    </xf>
    <xf numFmtId="0" fontId="82" fillId="0" borderId="3" xfId="0" applyFont="1" applyBorder="1" applyAlignment="1" applyProtection="1">
      <alignment horizontal="center"/>
      <protection locked="0"/>
    </xf>
    <xf numFmtId="166" fontId="79" fillId="0" borderId="1" xfId="0" applyNumberFormat="1" applyFont="1" applyBorder="1" applyAlignment="1" applyProtection="1">
      <alignment horizontal="center" vertical="center"/>
    </xf>
    <xf numFmtId="166" fontId="79" fillId="0" borderId="2" xfId="0" applyNumberFormat="1" applyFont="1" applyBorder="1" applyAlignment="1" applyProtection="1">
      <alignment horizontal="center" vertical="center"/>
    </xf>
    <xf numFmtId="166" fontId="79" fillId="0" borderId="46" xfId="0" applyNumberFormat="1" applyFont="1" applyBorder="1" applyAlignment="1" applyProtection="1">
      <alignment horizontal="center" vertical="center"/>
    </xf>
    <xf numFmtId="166" fontId="79" fillId="0" borderId="3" xfId="0" applyNumberFormat="1" applyFont="1" applyBorder="1" applyAlignment="1" applyProtection="1">
      <alignment horizontal="center" vertical="center"/>
    </xf>
    <xf numFmtId="166" fontId="79" fillId="0" borderId="62" xfId="0" applyNumberFormat="1" applyFont="1" applyBorder="1" applyAlignment="1" applyProtection="1">
      <alignment horizontal="center" vertical="center"/>
    </xf>
    <xf numFmtId="166" fontId="79" fillId="0" borderId="45" xfId="0" applyNumberFormat="1" applyFont="1" applyBorder="1" applyAlignment="1" applyProtection="1">
      <alignment horizontal="center" vertical="center"/>
    </xf>
    <xf numFmtId="0" fontId="82" fillId="0" borderId="62" xfId="0" applyFont="1" applyBorder="1" applyAlignment="1" applyProtection="1">
      <alignment horizontal="center"/>
      <protection locked="0"/>
    </xf>
    <xf numFmtId="0" fontId="82" fillId="0" borderId="45" xfId="0" applyFont="1" applyBorder="1" applyAlignment="1" applyProtection="1">
      <alignment horizontal="center"/>
      <protection locked="0"/>
    </xf>
    <xf numFmtId="0" fontId="82" fillId="0" borderId="0" xfId="0" applyFont="1" applyBorder="1" applyAlignment="1" applyProtection="1">
      <alignment horizontal="center"/>
      <protection locked="0"/>
    </xf>
    <xf numFmtId="0" fontId="82" fillId="0" borderId="68" xfId="0" applyFont="1" applyBorder="1" applyAlignment="1" applyProtection="1">
      <alignment horizontal="center"/>
      <protection locked="0"/>
    </xf>
    <xf numFmtId="2" fontId="79" fillId="0" borderId="22" xfId="0" applyNumberFormat="1" applyFont="1" applyBorder="1" applyAlignment="1" applyProtection="1">
      <alignment horizontal="center" vertical="center"/>
    </xf>
    <xf numFmtId="0" fontId="81" fillId="0" borderId="22" xfId="0" applyFont="1" applyBorder="1" applyAlignment="1" applyProtection="1">
      <alignment horizontal="left" wrapText="1"/>
      <protection locked="0"/>
    </xf>
    <xf numFmtId="166" fontId="9" fillId="12" borderId="51" xfId="0" applyNumberFormat="1" applyFont="1" applyFill="1" applyBorder="1" applyAlignment="1" applyProtection="1">
      <alignment horizontal="center" vertical="center"/>
    </xf>
    <xf numFmtId="166" fontId="9" fillId="12" borderId="61" xfId="0" applyNumberFormat="1" applyFont="1" applyFill="1" applyBorder="1" applyAlignment="1" applyProtection="1">
      <alignment horizontal="center" vertical="center"/>
    </xf>
    <xf numFmtId="166" fontId="9" fillId="12" borderId="41" xfId="0" applyNumberFormat="1" applyFont="1" applyFill="1" applyBorder="1" applyAlignment="1" applyProtection="1">
      <alignment horizontal="center" vertical="center"/>
    </xf>
    <xf numFmtId="166" fontId="9" fillId="12" borderId="75" xfId="0" applyNumberFormat="1" applyFont="1" applyFill="1" applyBorder="1" applyAlignment="1" applyProtection="1">
      <alignment horizontal="center" vertical="center"/>
    </xf>
    <xf numFmtId="0" fontId="73" fillId="0" borderId="22" xfId="0" applyFont="1" applyBorder="1" applyAlignment="1" applyProtection="1">
      <alignment horizontal="left" vertical="center" wrapText="1"/>
    </xf>
    <xf numFmtId="0" fontId="17" fillId="3" borderId="11" xfId="0" applyFont="1" applyFill="1" applyBorder="1" applyAlignment="1" applyProtection="1">
      <alignment horizontal="center" vertical="center" wrapText="1"/>
      <protection locked="0"/>
    </xf>
    <xf numFmtId="0" fontId="17" fillId="3" borderId="66" xfId="0" applyFont="1" applyFill="1" applyBorder="1" applyAlignment="1" applyProtection="1">
      <alignment horizontal="center" vertical="center" wrapText="1"/>
      <protection locked="0"/>
    </xf>
    <xf numFmtId="0" fontId="0" fillId="0" borderId="77" xfId="0" applyBorder="1"/>
    <xf numFmtId="0" fontId="0" fillId="0" borderId="41" xfId="0" applyBorder="1"/>
    <xf numFmtId="0" fontId="0" fillId="0" borderId="75" xfId="0" applyBorder="1"/>
    <xf numFmtId="166" fontId="9" fillId="12" borderId="57" xfId="0" applyNumberFormat="1" applyFont="1" applyFill="1" applyBorder="1" applyAlignment="1" applyProtection="1">
      <alignment horizontal="center" vertical="center"/>
    </xf>
    <xf numFmtId="166" fontId="9" fillId="12" borderId="44" xfId="0" applyNumberFormat="1" applyFont="1" applyFill="1" applyBorder="1" applyAlignment="1" applyProtection="1">
      <alignment horizontal="center" vertical="center"/>
    </xf>
    <xf numFmtId="0" fontId="80" fillId="0" borderId="22" xfId="0" applyFont="1" applyBorder="1" applyAlignment="1" applyProtection="1">
      <alignment horizontal="center" vertical="center"/>
    </xf>
    <xf numFmtId="0" fontId="71" fillId="5" borderId="7" xfId="0" applyFont="1" applyFill="1" applyBorder="1" applyAlignment="1" applyProtection="1">
      <alignment horizontal="center" vertical="center"/>
      <protection locked="0"/>
    </xf>
    <xf numFmtId="0" fontId="71" fillId="5" borderId="8" xfId="0" applyFont="1" applyFill="1" applyBorder="1" applyAlignment="1" applyProtection="1">
      <alignment horizontal="center" vertical="center"/>
      <protection locked="0"/>
    </xf>
    <xf numFmtId="0" fontId="71" fillId="5" borderId="9" xfId="0" applyFont="1" applyFill="1" applyBorder="1" applyAlignment="1" applyProtection="1">
      <alignment horizontal="center" vertical="center"/>
      <protection locked="0"/>
    </xf>
    <xf numFmtId="166" fontId="9" fillId="12" borderId="15" xfId="0" applyNumberFormat="1" applyFont="1" applyFill="1" applyBorder="1" applyAlignment="1" applyProtection="1">
      <alignment horizontal="center" vertical="center"/>
    </xf>
    <xf numFmtId="166" fontId="9" fillId="12" borderId="1" xfId="0" applyNumberFormat="1" applyFont="1" applyFill="1" applyBorder="1" applyAlignment="1" applyProtection="1">
      <alignment horizontal="center" vertical="center"/>
    </xf>
    <xf numFmtId="166" fontId="9" fillId="12" borderId="34" xfId="0" applyNumberFormat="1" applyFont="1" applyFill="1" applyBorder="1" applyAlignment="1" applyProtection="1">
      <alignment horizontal="center" vertical="center"/>
    </xf>
    <xf numFmtId="0" fontId="11" fillId="0" borderId="30" xfId="0" applyFont="1" applyFill="1" applyBorder="1" applyAlignment="1" applyProtection="1">
      <alignment horizontal="center" vertical="center"/>
      <protection locked="0"/>
    </xf>
    <xf numFmtId="0" fontId="11" fillId="0" borderId="73" xfId="0" applyFont="1" applyFill="1" applyBorder="1" applyAlignment="1" applyProtection="1">
      <alignment horizontal="center" vertical="center"/>
      <protection locked="0"/>
    </xf>
    <xf numFmtId="0" fontId="11" fillId="0" borderId="35" xfId="0" applyFont="1" applyFill="1" applyBorder="1" applyAlignment="1" applyProtection="1">
      <alignment horizontal="center" vertical="center"/>
      <protection locked="0"/>
    </xf>
    <xf numFmtId="0" fontId="28" fillId="3" borderId="37" xfId="0" applyFont="1" applyFill="1" applyBorder="1" applyAlignment="1" applyProtection="1">
      <alignment horizontal="center" vertical="center" wrapText="1"/>
      <protection locked="0"/>
    </xf>
    <xf numFmtId="0" fontId="28" fillId="3" borderId="36" xfId="0" applyFont="1" applyFill="1" applyBorder="1" applyAlignment="1" applyProtection="1">
      <alignment horizontal="center" vertical="center" wrapText="1"/>
      <protection locked="0"/>
    </xf>
    <xf numFmtId="0" fontId="15" fillId="0" borderId="0" xfId="0" applyFont="1" applyBorder="1" applyProtection="1">
      <protection locked="0"/>
    </xf>
    <xf numFmtId="0" fontId="91" fillId="0" borderId="0" xfId="0" applyFont="1" applyAlignment="1" applyProtection="1">
      <alignment horizontal="center"/>
      <protection locked="0"/>
    </xf>
    <xf numFmtId="2" fontId="9" fillId="0" borderId="0" xfId="0" applyNumberFormat="1" applyFont="1" applyBorder="1" applyAlignment="1" applyProtection="1">
      <alignment horizontal="center"/>
      <protection locked="0"/>
    </xf>
    <xf numFmtId="0" fontId="90" fillId="0" borderId="0" xfId="0" applyFont="1" applyBorder="1" applyAlignment="1" applyProtection="1">
      <alignment horizontal="left" wrapText="1"/>
      <protection locked="0"/>
    </xf>
    <xf numFmtId="0" fontId="90" fillId="0" borderId="68" xfId="0" applyFont="1" applyBorder="1" applyAlignment="1" applyProtection="1">
      <alignment horizontal="left" wrapText="1"/>
      <protection locked="0"/>
    </xf>
    <xf numFmtId="0" fontId="9" fillId="3" borderId="77" xfId="0" applyFont="1" applyFill="1" applyBorder="1" applyAlignment="1" applyProtection="1">
      <alignment horizontal="center" vertical="center" wrapText="1"/>
      <protection locked="0"/>
    </xf>
    <xf numFmtId="0" fontId="90" fillId="0" borderId="0" xfId="0" applyFont="1" applyBorder="1" applyAlignment="1" applyProtection="1">
      <alignment horizontal="center"/>
      <protection locked="0"/>
    </xf>
    <xf numFmtId="0" fontId="90" fillId="0" borderId="68" xfId="0" applyFont="1" applyBorder="1" applyAlignment="1" applyProtection="1">
      <alignment horizontal="center"/>
      <protection locked="0"/>
    </xf>
    <xf numFmtId="0" fontId="9" fillId="5" borderId="39" xfId="0" applyFont="1" applyFill="1" applyBorder="1" applyAlignment="1" applyProtection="1">
      <alignment horizontal="center" vertical="center" wrapText="1"/>
      <protection locked="0"/>
    </xf>
    <xf numFmtId="0" fontId="9" fillId="5" borderId="77" xfId="0" applyFont="1" applyFill="1" applyBorder="1" applyAlignment="1" applyProtection="1">
      <alignment horizontal="center" vertical="center" wrapText="1"/>
      <protection locked="0"/>
    </xf>
    <xf numFmtId="0" fontId="9" fillId="5" borderId="6" xfId="0" applyFont="1" applyFill="1" applyBorder="1" applyAlignment="1" applyProtection="1">
      <alignment horizontal="center" vertical="center" wrapText="1"/>
      <protection locked="0"/>
    </xf>
    <xf numFmtId="0" fontId="9" fillId="5" borderId="58" xfId="0" applyFont="1" applyFill="1" applyBorder="1" applyAlignment="1" applyProtection="1">
      <alignment horizontal="center" vertical="center" wrapText="1"/>
      <protection locked="0"/>
    </xf>
    <xf numFmtId="0" fontId="9" fillId="5" borderId="41" xfId="0" applyFont="1" applyFill="1" applyBorder="1" applyAlignment="1" applyProtection="1">
      <alignment horizontal="center" vertical="center" wrapText="1"/>
      <protection locked="0"/>
    </xf>
    <xf numFmtId="0" fontId="9" fillId="5" borderId="75" xfId="0" applyFont="1" applyFill="1" applyBorder="1" applyAlignment="1" applyProtection="1">
      <alignment horizontal="center" vertical="center" wrapText="1"/>
      <protection locked="0"/>
    </xf>
    <xf numFmtId="0" fontId="9" fillId="5" borderId="25" xfId="0" applyFont="1" applyFill="1" applyBorder="1" applyAlignment="1" applyProtection="1">
      <alignment horizontal="center" wrapText="1"/>
      <protection locked="0"/>
    </xf>
    <xf numFmtId="0" fontId="17" fillId="3" borderId="38" xfId="0" applyFont="1" applyFill="1" applyBorder="1" applyAlignment="1" applyProtection="1">
      <alignment horizontal="center" vertical="center" wrapText="1"/>
      <protection locked="0"/>
    </xf>
    <xf numFmtId="0" fontId="17" fillId="3" borderId="40" xfId="0" applyFont="1" applyFill="1" applyBorder="1" applyAlignment="1" applyProtection="1">
      <alignment horizontal="center" vertical="center" wrapText="1"/>
      <protection locked="0"/>
    </xf>
    <xf numFmtId="0" fontId="9" fillId="5" borderId="51" xfId="0" applyFont="1" applyFill="1" applyBorder="1" applyAlignment="1" applyProtection="1">
      <alignment horizontal="center" vertical="center" wrapText="1"/>
      <protection locked="0"/>
    </xf>
    <xf numFmtId="0" fontId="9" fillId="5" borderId="2" xfId="0" applyFont="1" applyFill="1" applyBorder="1" applyAlignment="1" applyProtection="1">
      <alignment horizontal="center" vertical="center" wrapText="1"/>
      <protection locked="0"/>
    </xf>
    <xf numFmtId="0" fontId="9" fillId="5" borderId="32" xfId="0" applyFont="1" applyFill="1" applyBorder="1" applyAlignment="1" applyProtection="1">
      <alignment horizontal="center" vertical="center" wrapText="1"/>
      <protection locked="0"/>
    </xf>
    <xf numFmtId="2" fontId="11" fillId="13" borderId="63" xfId="0" applyNumberFormat="1" applyFont="1" applyFill="1" applyBorder="1" applyAlignment="1" applyProtection="1">
      <alignment horizontal="center" vertical="center"/>
      <protection locked="0"/>
    </xf>
    <xf numFmtId="2" fontId="11" fillId="13" borderId="65" xfId="0" applyNumberFormat="1" applyFont="1" applyFill="1" applyBorder="1" applyAlignment="1" applyProtection="1">
      <alignment horizontal="center" vertical="center"/>
      <protection locked="0"/>
    </xf>
    <xf numFmtId="0" fontId="15" fillId="0" borderId="53" xfId="0" applyFont="1" applyBorder="1" applyAlignment="1" applyProtection="1">
      <alignment horizontal="center" vertical="center" wrapText="1"/>
      <protection locked="0"/>
    </xf>
    <xf numFmtId="0" fontId="15" fillId="0" borderId="65" xfId="0" applyFont="1" applyBorder="1" applyAlignment="1" applyProtection="1">
      <alignment horizontal="center" vertical="center" wrapText="1"/>
      <protection locked="0"/>
    </xf>
    <xf numFmtId="0" fontId="80" fillId="0" borderId="0" xfId="0" applyFont="1" applyBorder="1" applyAlignment="1" applyProtection="1">
      <alignment horizontal="left" wrapText="1"/>
      <protection locked="0"/>
    </xf>
    <xf numFmtId="0" fontId="80" fillId="0" borderId="1" xfId="0" applyFont="1" applyBorder="1" applyAlignment="1" applyProtection="1">
      <alignment horizontal="center" vertical="center" wrapText="1"/>
    </xf>
    <xf numFmtId="0" fontId="80" fillId="0" borderId="2" xfId="0" applyFont="1" applyBorder="1" applyAlignment="1" applyProtection="1">
      <alignment horizontal="center" vertical="center" wrapText="1"/>
    </xf>
    <xf numFmtId="0" fontId="80" fillId="0" borderId="46" xfId="0" applyFont="1" applyBorder="1" applyAlignment="1" applyProtection="1">
      <alignment horizontal="center" vertical="center" wrapText="1"/>
    </xf>
    <xf numFmtId="0" fontId="80" fillId="0" borderId="3" xfId="0" applyFont="1" applyBorder="1" applyAlignment="1" applyProtection="1">
      <alignment horizontal="center" vertical="center" wrapText="1"/>
    </xf>
    <xf numFmtId="0" fontId="80" fillId="0" borderId="62" xfId="0" applyFont="1" applyBorder="1" applyAlignment="1" applyProtection="1">
      <alignment horizontal="center" vertical="center" wrapText="1"/>
    </xf>
    <xf numFmtId="0" fontId="80" fillId="0" borderId="45" xfId="0" applyFont="1" applyBorder="1" applyAlignment="1" applyProtection="1">
      <alignment horizontal="center" vertical="center" wrapText="1"/>
    </xf>
    <xf numFmtId="0" fontId="11" fillId="0" borderId="68" xfId="0" applyFont="1" applyBorder="1" applyAlignment="1" applyProtection="1">
      <alignment horizontal="center"/>
      <protection locked="0"/>
    </xf>
    <xf numFmtId="0" fontId="75" fillId="0" borderId="0" xfId="0" applyFont="1" applyAlignment="1" applyProtection="1">
      <alignment horizontal="center" wrapText="1"/>
      <protection locked="0"/>
    </xf>
    <xf numFmtId="14" fontId="11" fillId="0" borderId="30" xfId="0" applyNumberFormat="1" applyFont="1" applyBorder="1" applyAlignment="1" applyProtection="1">
      <alignment horizontal="center"/>
      <protection locked="0"/>
    </xf>
    <xf numFmtId="14" fontId="11" fillId="0" borderId="35" xfId="0" applyNumberFormat="1" applyFont="1" applyBorder="1" applyAlignment="1" applyProtection="1">
      <alignment horizontal="center"/>
      <protection locked="0"/>
    </xf>
    <xf numFmtId="0" fontId="9" fillId="5" borderId="74" xfId="0" applyFont="1" applyFill="1" applyBorder="1" applyAlignment="1" applyProtection="1">
      <alignment horizontal="center" vertical="center"/>
      <protection locked="0"/>
    </xf>
    <xf numFmtId="0" fontId="9" fillId="5" borderId="24" xfId="0" applyFont="1" applyFill="1" applyBorder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0" fontId="11" fillId="0" borderId="3" xfId="0" applyFont="1" applyBorder="1" applyAlignment="1" applyProtection="1">
      <alignment horizontal="center" vertical="center"/>
      <protection locked="0"/>
    </xf>
    <xf numFmtId="166" fontId="9" fillId="0" borderId="31" xfId="0" applyNumberFormat="1" applyFont="1" applyBorder="1" applyAlignment="1" applyProtection="1">
      <alignment horizontal="center" vertical="center"/>
      <protection locked="0"/>
    </xf>
    <xf numFmtId="0" fontId="15" fillId="3" borderId="12" xfId="0" applyFont="1" applyFill="1" applyBorder="1" applyAlignment="1" applyProtection="1">
      <alignment horizontal="center" vertical="center" wrapText="1"/>
      <protection locked="0"/>
    </xf>
    <xf numFmtId="0" fontId="15" fillId="3" borderId="33" xfId="0" applyFont="1" applyFill="1" applyBorder="1" applyAlignment="1" applyProtection="1">
      <alignment horizontal="center" vertical="center" wrapText="1"/>
      <protection locked="0"/>
    </xf>
    <xf numFmtId="166" fontId="9" fillId="7" borderId="15" xfId="0" applyNumberFormat="1" applyFont="1" applyFill="1" applyBorder="1" applyAlignment="1" applyProtection="1">
      <alignment horizontal="center" vertical="center"/>
      <protection locked="0"/>
    </xf>
    <xf numFmtId="166" fontId="9" fillId="7" borderId="44" xfId="0" applyNumberFormat="1" applyFont="1" applyFill="1" applyBorder="1" applyAlignment="1" applyProtection="1">
      <alignment horizontal="center" vertical="center"/>
      <protection locked="0"/>
    </xf>
    <xf numFmtId="2" fontId="9" fillId="0" borderId="22" xfId="0" applyNumberFormat="1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45" xfId="0" applyFont="1" applyBorder="1" applyAlignment="1" applyProtection="1">
      <alignment horizontal="center" vertical="center"/>
      <protection locked="0"/>
    </xf>
    <xf numFmtId="166" fontId="9" fillId="0" borderId="22" xfId="0" applyNumberFormat="1" applyFont="1" applyBorder="1" applyAlignment="1" applyProtection="1">
      <alignment horizontal="center" vertical="center"/>
      <protection locked="0"/>
    </xf>
    <xf numFmtId="0" fontId="9" fillId="0" borderId="50" xfId="0" applyFont="1" applyBorder="1" applyAlignment="1" applyProtection="1">
      <alignment horizontal="center" vertical="center"/>
      <protection locked="0"/>
    </xf>
    <xf numFmtId="0" fontId="9" fillId="0" borderId="63" xfId="0" applyFont="1" applyBorder="1" applyAlignment="1" applyProtection="1">
      <alignment horizontal="center" vertical="center"/>
      <protection locked="0"/>
    </xf>
    <xf numFmtId="2" fontId="9" fillId="0" borderId="60" xfId="0" applyNumberFormat="1" applyFont="1" applyBorder="1" applyAlignment="1" applyProtection="1">
      <alignment horizontal="center" vertical="center"/>
      <protection locked="0"/>
    </xf>
    <xf numFmtId="2" fontId="9" fillId="0" borderId="24" xfId="0" applyNumberFormat="1" applyFont="1" applyBorder="1" applyAlignment="1" applyProtection="1">
      <alignment horizontal="center" vertical="center"/>
      <protection locked="0"/>
    </xf>
    <xf numFmtId="166" fontId="9" fillId="0" borderId="25" xfId="0" applyNumberFormat="1" applyFont="1" applyBorder="1" applyAlignment="1" applyProtection="1">
      <alignment horizontal="center" vertical="center"/>
      <protection locked="0"/>
    </xf>
    <xf numFmtId="20" fontId="9" fillId="0" borderId="38" xfId="0" applyNumberFormat="1" applyFont="1" applyBorder="1" applyAlignment="1" applyProtection="1">
      <alignment horizontal="center" vertical="center"/>
      <protection locked="0"/>
    </xf>
    <xf numFmtId="0" fontId="9" fillId="0" borderId="40" xfId="0" applyFont="1" applyBorder="1" applyAlignment="1" applyProtection="1">
      <alignment horizontal="center" vertical="center"/>
      <protection locked="0"/>
    </xf>
    <xf numFmtId="166" fontId="9" fillId="0" borderId="52" xfId="0" applyNumberFormat="1" applyFont="1" applyFill="1" applyBorder="1" applyAlignment="1" applyProtection="1">
      <alignment horizontal="center" vertical="center"/>
      <protection locked="0"/>
    </xf>
    <xf numFmtId="166" fontId="9" fillId="0" borderId="4" xfId="0" applyNumberFormat="1" applyFont="1" applyFill="1" applyBorder="1" applyAlignment="1" applyProtection="1">
      <alignment horizontal="center" vertical="center"/>
      <protection locked="0"/>
    </xf>
    <xf numFmtId="2" fontId="9" fillId="0" borderId="22" xfId="0" applyNumberFormat="1" applyFont="1" applyBorder="1" applyAlignment="1" applyProtection="1">
      <alignment horizontal="center" vertical="center" wrapText="1"/>
      <protection locked="0"/>
    </xf>
    <xf numFmtId="166" fontId="9" fillId="0" borderId="22" xfId="0" applyNumberFormat="1" applyFont="1" applyBorder="1" applyAlignment="1" applyProtection="1">
      <alignment horizontal="center" vertical="center" wrapText="1"/>
      <protection locked="0"/>
    </xf>
    <xf numFmtId="0" fontId="9" fillId="0" borderId="74" xfId="0" applyFont="1" applyBorder="1" applyAlignment="1" applyProtection="1">
      <alignment horizontal="center" vertical="center"/>
      <protection locked="0"/>
    </xf>
    <xf numFmtId="166" fontId="9" fillId="0" borderId="2" xfId="0" applyNumberFormat="1" applyFont="1" applyFill="1" applyBorder="1" applyAlignment="1" applyProtection="1">
      <alignment horizontal="center" vertical="center"/>
      <protection locked="0"/>
    </xf>
    <xf numFmtId="166" fontId="9" fillId="0" borderId="45" xfId="0" applyNumberFormat="1" applyFont="1" applyFill="1" applyBorder="1" applyAlignment="1" applyProtection="1">
      <alignment horizontal="center" vertical="center"/>
      <protection locked="0"/>
    </xf>
    <xf numFmtId="0" fontId="9" fillId="0" borderId="3" xfId="0" applyFont="1" applyBorder="1" applyAlignment="1" applyProtection="1">
      <alignment horizontal="center" vertical="center"/>
      <protection locked="0"/>
    </xf>
    <xf numFmtId="166" fontId="9" fillId="0" borderId="57" xfId="6" applyNumberFormat="1" applyFont="1" applyBorder="1" applyAlignment="1" applyProtection="1">
      <alignment horizontal="center" vertical="center"/>
      <protection locked="0"/>
    </xf>
    <xf numFmtId="166" fontId="9" fillId="0" borderId="44" xfId="6" applyNumberFormat="1" applyFont="1" applyBorder="1" applyAlignment="1" applyProtection="1">
      <alignment horizontal="center" vertical="center"/>
      <protection locked="0"/>
    </xf>
    <xf numFmtId="2" fontId="9" fillId="0" borderId="48" xfId="0" applyNumberFormat="1" applyFont="1" applyBorder="1" applyAlignment="1" applyProtection="1">
      <alignment horizontal="center" vertical="center"/>
      <protection locked="0"/>
    </xf>
    <xf numFmtId="0" fontId="99" fillId="0" borderId="0" xfId="0" applyFont="1" applyBorder="1" applyAlignment="1" applyProtection="1">
      <alignment horizontal="center"/>
      <protection locked="0"/>
    </xf>
    <xf numFmtId="0" fontId="11" fillId="3" borderId="30" xfId="0" applyFont="1" applyFill="1" applyBorder="1" applyAlignment="1" applyProtection="1">
      <alignment horizontal="center" vertical="center" wrapText="1"/>
      <protection locked="0"/>
    </xf>
    <xf numFmtId="0" fontId="11" fillId="3" borderId="73" xfId="0" applyFont="1" applyFill="1" applyBorder="1" applyAlignment="1" applyProtection="1">
      <alignment horizontal="center" vertical="center" wrapText="1"/>
      <protection locked="0"/>
    </xf>
    <xf numFmtId="0" fontId="11" fillId="3" borderId="35" xfId="0" applyFont="1" applyFill="1" applyBorder="1" applyAlignment="1" applyProtection="1">
      <alignment horizontal="center" vertical="center" wrapText="1"/>
      <protection locked="0"/>
    </xf>
    <xf numFmtId="166" fontId="9" fillId="0" borderId="12" xfId="0" applyNumberFormat="1" applyFont="1" applyBorder="1" applyAlignment="1" applyProtection="1">
      <alignment horizontal="center" vertical="center"/>
      <protection locked="0"/>
    </xf>
    <xf numFmtId="166" fontId="9" fillId="5" borderId="60" xfId="0" applyNumberFormat="1" applyFont="1" applyFill="1" applyBorder="1" applyAlignment="1" applyProtection="1">
      <alignment horizontal="center" vertical="center"/>
      <protection locked="0"/>
    </xf>
    <xf numFmtId="166" fontId="9" fillId="5" borderId="24" xfId="0" applyNumberFormat="1" applyFont="1" applyFill="1" applyBorder="1" applyAlignment="1" applyProtection="1">
      <alignment horizontal="center" vertical="center"/>
      <protection locked="0"/>
    </xf>
    <xf numFmtId="166" fontId="9" fillId="5" borderId="52" xfId="0" applyNumberFormat="1" applyFont="1" applyFill="1" applyBorder="1" applyAlignment="1" applyProtection="1">
      <alignment horizontal="center" vertical="center"/>
      <protection locked="0"/>
    </xf>
    <xf numFmtId="166" fontId="9" fillId="5" borderId="4" xfId="0" applyNumberFormat="1" applyFont="1" applyFill="1" applyBorder="1" applyAlignment="1" applyProtection="1">
      <alignment horizontal="center" vertical="center"/>
      <protection locked="0"/>
    </xf>
    <xf numFmtId="166" fontId="9" fillId="7" borderId="12" xfId="0" applyNumberFormat="1" applyFont="1" applyFill="1" applyBorder="1" applyAlignment="1" applyProtection="1">
      <alignment horizontal="center" vertical="center"/>
      <protection locked="0"/>
    </xf>
    <xf numFmtId="166" fontId="9" fillId="7" borderId="4" xfId="0" applyNumberFormat="1" applyFont="1" applyFill="1" applyBorder="1" applyAlignment="1" applyProtection="1">
      <alignment horizontal="center" vertical="center"/>
      <protection locked="0"/>
    </xf>
    <xf numFmtId="166" fontId="9" fillId="5" borderId="11" xfId="0" applyNumberFormat="1" applyFont="1" applyFill="1" applyBorder="1" applyAlignment="1" applyProtection="1">
      <alignment horizontal="center" vertical="center"/>
      <protection locked="0"/>
    </xf>
    <xf numFmtId="0" fontId="71" fillId="0" borderId="0" xfId="0" applyFont="1" applyAlignment="1" applyProtection="1">
      <alignment horizontal="right"/>
      <protection locked="0"/>
    </xf>
    <xf numFmtId="0" fontId="71" fillId="0" borderId="58" xfId="0" applyFont="1" applyBorder="1" applyAlignment="1" applyProtection="1">
      <alignment horizontal="right"/>
      <protection locked="0"/>
    </xf>
    <xf numFmtId="0" fontId="28" fillId="3" borderId="38" xfId="0" applyFont="1" applyFill="1" applyBorder="1" applyAlignment="1" applyProtection="1">
      <alignment horizontal="center" vertical="center"/>
      <protection locked="0"/>
    </xf>
    <xf numFmtId="0" fontId="28" fillId="3" borderId="40" xfId="0" applyFont="1" applyFill="1" applyBorder="1" applyAlignment="1" applyProtection="1">
      <alignment horizontal="center" vertical="center"/>
      <protection locked="0"/>
    </xf>
    <xf numFmtId="166" fontId="9" fillId="5" borderId="57" xfId="0" applyNumberFormat="1" applyFont="1" applyFill="1" applyBorder="1" applyAlignment="1" applyProtection="1">
      <alignment horizontal="center" vertical="center"/>
      <protection locked="0"/>
    </xf>
    <xf numFmtId="0" fontId="71" fillId="0" borderId="30" xfId="0" applyFont="1" applyBorder="1" applyAlignment="1" applyProtection="1">
      <alignment horizontal="center"/>
      <protection locked="0"/>
    </xf>
    <xf numFmtId="0" fontId="71" fillId="0" borderId="35" xfId="0" applyFont="1" applyBorder="1" applyAlignment="1" applyProtection="1">
      <alignment horizontal="center"/>
      <protection locked="0"/>
    </xf>
    <xf numFmtId="169" fontId="9" fillId="0" borderId="38" xfId="0" applyNumberFormat="1" applyFont="1" applyBorder="1" applyAlignment="1" applyProtection="1">
      <alignment horizontal="center" vertical="center"/>
      <protection locked="0"/>
    </xf>
    <xf numFmtId="169" fontId="9" fillId="0" borderId="40" xfId="0" applyNumberFormat="1" applyFont="1" applyBorder="1" applyAlignment="1" applyProtection="1">
      <alignment horizontal="center" vertical="center"/>
      <protection locked="0"/>
    </xf>
    <xf numFmtId="20" fontId="9" fillId="0" borderId="10" xfId="0" applyNumberFormat="1" applyFont="1" applyBorder="1" applyAlignment="1" applyProtection="1">
      <alignment horizontal="center" vertical="center"/>
      <protection locked="0"/>
    </xf>
    <xf numFmtId="0" fontId="9" fillId="0" borderId="31" xfId="0" applyFont="1" applyBorder="1" applyAlignment="1" applyProtection="1">
      <alignment horizontal="center" vertical="center"/>
      <protection locked="0"/>
    </xf>
    <xf numFmtId="20" fontId="9" fillId="0" borderId="11" xfId="0" applyNumberFormat="1" applyFont="1" applyBorder="1" applyAlignment="1" applyProtection="1">
      <alignment horizontal="center" vertical="center"/>
      <protection locked="0"/>
    </xf>
    <xf numFmtId="0" fontId="9" fillId="0" borderId="66" xfId="0" applyFont="1" applyBorder="1" applyAlignment="1" applyProtection="1">
      <alignment horizontal="center" vertical="center"/>
      <protection locked="0"/>
    </xf>
    <xf numFmtId="166" fontId="9" fillId="0" borderId="14" xfId="0" applyNumberFormat="1" applyFont="1" applyFill="1" applyBorder="1" applyAlignment="1" applyProtection="1">
      <alignment horizontal="center" vertical="center"/>
      <protection locked="0"/>
    </xf>
    <xf numFmtId="1" fontId="17" fillId="0" borderId="43" xfId="0" applyNumberFormat="1" applyFont="1" applyBorder="1" applyAlignment="1" applyProtection="1">
      <alignment horizontal="center" vertical="center"/>
      <protection locked="0"/>
    </xf>
    <xf numFmtId="0" fontId="9" fillId="0" borderId="39" xfId="0" applyFont="1" applyBorder="1" applyAlignment="1" applyProtection="1">
      <alignment horizontal="center" vertical="center"/>
      <protection locked="0"/>
    </xf>
    <xf numFmtId="0" fontId="9" fillId="0" borderId="21" xfId="0" applyFont="1" applyBorder="1" applyAlignment="1" applyProtection="1">
      <alignment horizontal="center" vertical="center"/>
      <protection locked="0"/>
    </xf>
    <xf numFmtId="0" fontId="9" fillId="0" borderId="30" xfId="0" applyFont="1" applyBorder="1" applyAlignment="1" applyProtection="1">
      <alignment horizontal="center"/>
      <protection locked="0"/>
    </xf>
    <xf numFmtId="0" fontId="9" fillId="0" borderId="35" xfId="0" applyFont="1" applyBorder="1" applyAlignment="1" applyProtection="1">
      <alignment horizontal="center"/>
      <protection locked="0"/>
    </xf>
    <xf numFmtId="166" fontId="9" fillId="0" borderId="1" xfId="6" applyNumberFormat="1" applyFont="1" applyFill="1" applyBorder="1" applyAlignment="1" applyProtection="1">
      <alignment horizontal="center" vertical="center"/>
      <protection locked="0"/>
    </xf>
    <xf numFmtId="166" fontId="9" fillId="0" borderId="62" xfId="6" applyNumberFormat="1" applyFont="1" applyFill="1" applyBorder="1" applyAlignment="1" applyProtection="1">
      <alignment horizontal="center" vertical="center"/>
      <protection locked="0"/>
    </xf>
    <xf numFmtId="166" fontId="9" fillId="0" borderId="15" xfId="0" applyNumberFormat="1" applyFont="1" applyFill="1" applyBorder="1" applyAlignment="1" applyProtection="1">
      <alignment horizontal="center" vertical="center"/>
      <protection locked="0"/>
    </xf>
    <xf numFmtId="166" fontId="9" fillId="0" borderId="44" xfId="0" applyNumberFormat="1" applyFont="1" applyFill="1" applyBorder="1" applyAlignment="1" applyProtection="1">
      <alignment horizontal="center" vertical="center"/>
      <protection locked="0"/>
    </xf>
    <xf numFmtId="166" fontId="9" fillId="0" borderId="60" xfId="0" applyNumberFormat="1" applyFont="1" applyFill="1" applyBorder="1" applyAlignment="1" applyProtection="1">
      <alignment horizontal="center" vertical="center"/>
      <protection locked="0"/>
    </xf>
    <xf numFmtId="166" fontId="9" fillId="0" borderId="24" xfId="0" applyNumberFormat="1" applyFont="1" applyFill="1" applyBorder="1" applyAlignment="1" applyProtection="1">
      <alignment horizontal="center" vertical="center"/>
      <protection locked="0"/>
    </xf>
    <xf numFmtId="166" fontId="9" fillId="0" borderId="10" xfId="0" applyNumberFormat="1" applyFont="1" applyFill="1" applyBorder="1" applyAlignment="1" applyProtection="1">
      <alignment horizontal="center" vertical="center"/>
      <protection locked="0"/>
    </xf>
    <xf numFmtId="0" fontId="71" fillId="0" borderId="39" xfId="0" applyFont="1" applyBorder="1" applyAlignment="1" applyProtection="1">
      <alignment horizontal="center"/>
      <protection locked="0"/>
    </xf>
    <xf numFmtId="0" fontId="71" fillId="0" borderId="77" xfId="0" applyFont="1" applyBorder="1" applyAlignment="1" applyProtection="1">
      <alignment horizontal="center"/>
      <protection locked="0"/>
    </xf>
    <xf numFmtId="0" fontId="11" fillId="0" borderId="18" xfId="0" applyFont="1" applyBorder="1" applyAlignment="1" applyProtection="1">
      <alignment horizontal="center"/>
      <protection locked="0"/>
    </xf>
    <xf numFmtId="14" fontId="99" fillId="0" borderId="30" xfId="0" applyNumberFormat="1" applyFont="1" applyBorder="1" applyAlignment="1" applyProtection="1">
      <alignment horizontal="center"/>
      <protection locked="0"/>
    </xf>
    <xf numFmtId="14" fontId="99" fillId="0" borderId="35" xfId="0" applyNumberFormat="1" applyFont="1" applyBorder="1" applyAlignment="1" applyProtection="1">
      <alignment horizontal="center"/>
      <protection locked="0"/>
    </xf>
    <xf numFmtId="2" fontId="9" fillId="0" borderId="10" xfId="0" applyNumberFormat="1" applyFont="1" applyBorder="1" applyAlignment="1" applyProtection="1">
      <alignment horizontal="center" vertical="center"/>
      <protection locked="0"/>
    </xf>
    <xf numFmtId="0" fontId="11" fillId="0" borderId="0" xfId="0" applyFont="1" applyBorder="1" applyAlignment="1" applyProtection="1">
      <alignment horizontal="center"/>
      <protection locked="0"/>
    </xf>
    <xf numFmtId="14" fontId="9" fillId="0" borderId="22" xfId="0" applyNumberFormat="1" applyFont="1" applyBorder="1" applyAlignment="1" applyProtection="1">
      <alignment horizontal="center"/>
      <protection locked="0"/>
    </xf>
    <xf numFmtId="0" fontId="28" fillId="3" borderId="72" xfId="0" applyFont="1" applyFill="1" applyBorder="1" applyAlignment="1" applyProtection="1">
      <alignment horizontal="center" vertical="center"/>
      <protection locked="0"/>
    </xf>
    <xf numFmtId="0" fontId="28" fillId="3" borderId="35" xfId="0" applyFont="1" applyFill="1" applyBorder="1" applyAlignment="1" applyProtection="1">
      <alignment horizontal="center" vertical="center" wrapText="1"/>
      <protection locked="0"/>
    </xf>
    <xf numFmtId="166" fontId="9" fillId="0" borderId="12" xfId="0" applyNumberFormat="1" applyFont="1" applyFill="1" applyBorder="1" applyAlignment="1" applyProtection="1">
      <alignment horizontal="center" vertical="center"/>
      <protection locked="0"/>
    </xf>
    <xf numFmtId="166" fontId="9" fillId="7" borderId="13" xfId="0" applyNumberFormat="1" applyFont="1" applyFill="1" applyBorder="1" applyAlignment="1" applyProtection="1">
      <alignment horizontal="center" vertical="center"/>
      <protection locked="0"/>
    </xf>
    <xf numFmtId="166" fontId="9" fillId="7" borderId="62" xfId="0" applyNumberFormat="1" applyFont="1" applyFill="1" applyBorder="1" applyAlignment="1" applyProtection="1">
      <alignment horizontal="center" vertical="center"/>
      <protection locked="0"/>
    </xf>
    <xf numFmtId="166" fontId="9" fillId="0" borderId="74" xfId="0" applyNumberFormat="1" applyFont="1" applyFill="1" applyBorder="1" applyAlignment="1" applyProtection="1">
      <alignment horizontal="center" vertical="center"/>
      <protection locked="0"/>
    </xf>
    <xf numFmtId="166" fontId="9" fillId="5" borderId="10" xfId="0" applyNumberFormat="1" applyFont="1" applyFill="1" applyBorder="1" applyAlignment="1" applyProtection="1">
      <alignment horizontal="center" vertical="center"/>
      <protection locked="0"/>
    </xf>
    <xf numFmtId="166" fontId="9" fillId="0" borderId="79" xfId="0" applyNumberFormat="1" applyFont="1" applyBorder="1" applyAlignment="1" applyProtection="1">
      <alignment horizontal="center" vertical="center"/>
      <protection locked="0"/>
    </xf>
    <xf numFmtId="0" fontId="68" fillId="0" borderId="0" xfId="0" applyFont="1" applyAlignment="1" applyProtection="1">
      <alignment horizontal="center" vertical="center"/>
      <protection locked="0"/>
    </xf>
    <xf numFmtId="0" fontId="83" fillId="0" borderId="0" xfId="0" applyFont="1" applyAlignment="1" applyProtection="1">
      <alignment horizontal="center"/>
      <protection locked="0"/>
    </xf>
    <xf numFmtId="0" fontId="89" fillId="0" borderId="0" xfId="0" applyFont="1" applyAlignment="1" applyProtection="1">
      <alignment horizontal="center"/>
      <protection locked="0"/>
    </xf>
    <xf numFmtId="0" fontId="87" fillId="0" borderId="0" xfId="0" applyFont="1" applyAlignment="1" applyProtection="1">
      <alignment horizontal="left" vertical="top" wrapText="1"/>
      <protection locked="0"/>
    </xf>
    <xf numFmtId="166" fontId="9" fillId="0" borderId="10" xfId="0" applyNumberFormat="1" applyFont="1" applyBorder="1" applyAlignment="1" applyProtection="1">
      <alignment horizontal="center" vertical="center"/>
      <protection locked="0"/>
    </xf>
    <xf numFmtId="0" fontId="99" fillId="0" borderId="18" xfId="0" applyFont="1" applyBorder="1" applyAlignment="1" applyProtection="1">
      <alignment horizontal="center"/>
      <protection locked="0"/>
    </xf>
    <xf numFmtId="166" fontId="9" fillId="0" borderId="3" xfId="0" applyNumberFormat="1" applyFont="1" applyFill="1" applyBorder="1" applyAlignment="1" applyProtection="1">
      <alignment horizontal="center" vertical="center"/>
      <protection locked="0"/>
    </xf>
    <xf numFmtId="166" fontId="9" fillId="5" borderId="57" xfId="6" applyNumberFormat="1" applyFont="1" applyFill="1" applyBorder="1" applyAlignment="1" applyProtection="1">
      <alignment horizontal="center" vertical="center"/>
      <protection locked="0"/>
    </xf>
    <xf numFmtId="166" fontId="9" fillId="5" borderId="44" xfId="6" applyNumberFormat="1" applyFont="1" applyFill="1" applyBorder="1" applyAlignment="1" applyProtection="1">
      <alignment horizontal="center" vertical="center"/>
      <protection locked="0"/>
    </xf>
    <xf numFmtId="0" fontId="9" fillId="0" borderId="39" xfId="0" applyFont="1" applyBorder="1" applyAlignment="1" applyProtection="1">
      <alignment horizontal="center"/>
      <protection locked="0"/>
    </xf>
    <xf numFmtId="0" fontId="9" fillId="0" borderId="77" xfId="0" applyFont="1" applyBorder="1" applyAlignment="1" applyProtection="1">
      <alignment horizontal="center"/>
      <protection locked="0"/>
    </xf>
    <xf numFmtId="166" fontId="9" fillId="0" borderId="11" xfId="0" applyNumberFormat="1" applyFont="1" applyFill="1" applyBorder="1" applyAlignment="1" applyProtection="1">
      <alignment horizontal="center" vertical="center"/>
      <protection locked="0"/>
    </xf>
    <xf numFmtId="0" fontId="75" fillId="0" borderId="0" xfId="0" applyFont="1" applyAlignment="1" applyProtection="1">
      <alignment horizontal="center" vertical="top" wrapText="1"/>
      <protection locked="0"/>
    </xf>
    <xf numFmtId="166" fontId="9" fillId="7" borderId="10" xfId="0" applyNumberFormat="1" applyFont="1" applyFill="1" applyBorder="1" applyAlignment="1" applyProtection="1">
      <alignment horizontal="center" vertical="center"/>
      <protection locked="0"/>
    </xf>
    <xf numFmtId="166" fontId="9" fillId="7" borderId="24" xfId="0" applyNumberFormat="1" applyFont="1" applyFill="1" applyBorder="1" applyAlignment="1" applyProtection="1">
      <alignment horizontal="center" vertical="center"/>
      <protection locked="0"/>
    </xf>
    <xf numFmtId="166" fontId="9" fillId="0" borderId="57" xfId="6" applyNumberFormat="1" applyFont="1" applyFill="1" applyBorder="1" applyAlignment="1" applyProtection="1">
      <alignment horizontal="center" vertical="center"/>
      <protection locked="0"/>
    </xf>
    <xf numFmtId="166" fontId="9" fillId="0" borderId="44" xfId="6" applyNumberFormat="1" applyFont="1" applyFill="1" applyBorder="1" applyAlignment="1" applyProtection="1">
      <alignment horizontal="center" vertical="center"/>
      <protection locked="0"/>
    </xf>
    <xf numFmtId="166" fontId="9" fillId="5" borderId="1" xfId="6" applyNumberFormat="1" applyFont="1" applyFill="1" applyBorder="1" applyAlignment="1" applyProtection="1">
      <alignment horizontal="center" vertical="center"/>
      <protection locked="0"/>
    </xf>
    <xf numFmtId="166" fontId="9" fillId="5" borderId="62" xfId="6" applyNumberFormat="1" applyFont="1" applyFill="1" applyBorder="1" applyAlignment="1" applyProtection="1">
      <alignment horizontal="center" vertical="center"/>
      <protection locked="0"/>
    </xf>
    <xf numFmtId="166" fontId="9" fillId="0" borderId="48" xfId="0" applyNumberFormat="1" applyFont="1" applyBorder="1" applyAlignment="1" applyProtection="1">
      <alignment horizontal="center" vertical="center"/>
      <protection locked="0"/>
    </xf>
    <xf numFmtId="166" fontId="9" fillId="0" borderId="69" xfId="0" applyNumberFormat="1" applyFont="1" applyFill="1" applyBorder="1" applyAlignment="1" applyProtection="1">
      <alignment horizontal="center" vertical="center"/>
      <protection locked="0"/>
    </xf>
    <xf numFmtId="166" fontId="9" fillId="0" borderId="25" xfId="0" applyNumberFormat="1" applyFont="1" applyFill="1" applyBorder="1" applyAlignment="1" applyProtection="1">
      <alignment horizontal="center" vertical="center"/>
      <protection locked="0"/>
    </xf>
    <xf numFmtId="166" fontId="9" fillId="0" borderId="1" xfId="0" applyNumberFormat="1" applyFont="1" applyFill="1" applyBorder="1" applyAlignment="1" applyProtection="1">
      <alignment horizontal="center" vertical="center"/>
      <protection locked="0"/>
    </xf>
    <xf numFmtId="166" fontId="9" fillId="0" borderId="62" xfId="0" applyNumberFormat="1" applyFont="1" applyFill="1" applyBorder="1" applyAlignment="1" applyProtection="1">
      <alignment horizontal="center" vertical="center"/>
      <protection locked="0"/>
    </xf>
    <xf numFmtId="166" fontId="9" fillId="0" borderId="57" xfId="0" applyNumberFormat="1" applyFont="1" applyFill="1" applyBorder="1" applyAlignment="1" applyProtection="1">
      <alignment horizontal="center" vertical="center"/>
      <protection locked="0"/>
    </xf>
    <xf numFmtId="166" fontId="9" fillId="0" borderId="69" xfId="0" applyNumberFormat="1" applyFont="1" applyBorder="1" applyAlignment="1" applyProtection="1">
      <alignment horizontal="center" vertical="center"/>
      <protection locked="0"/>
    </xf>
    <xf numFmtId="166" fontId="9" fillId="0" borderId="22" xfId="0" applyNumberFormat="1" applyFont="1" applyFill="1" applyBorder="1" applyAlignment="1" applyProtection="1">
      <alignment horizontal="center" vertical="center"/>
      <protection locked="0"/>
    </xf>
    <xf numFmtId="0" fontId="9" fillId="5" borderId="30" xfId="0" applyFont="1" applyFill="1" applyBorder="1" applyAlignment="1" applyProtection="1">
      <alignment horizontal="center" vertical="center"/>
      <protection locked="0"/>
    </xf>
    <xf numFmtId="0" fontId="9" fillId="5" borderId="73" xfId="0" applyFont="1" applyFill="1" applyBorder="1" applyAlignment="1" applyProtection="1">
      <alignment horizontal="center" vertical="center"/>
      <protection locked="0"/>
    </xf>
    <xf numFmtId="0" fontId="9" fillId="5" borderId="35" xfId="0" applyFont="1" applyFill="1" applyBorder="1" applyAlignment="1" applyProtection="1">
      <alignment horizontal="center" vertical="center"/>
      <protection locked="0"/>
    </xf>
    <xf numFmtId="0" fontId="11" fillId="0" borderId="30" xfId="0" applyFont="1" applyBorder="1" applyAlignment="1" applyProtection="1">
      <alignment horizontal="center"/>
      <protection locked="0"/>
    </xf>
    <xf numFmtId="0" fontId="11" fillId="0" borderId="73" xfId="0" applyFont="1" applyBorder="1" applyAlignment="1" applyProtection="1">
      <alignment horizontal="center"/>
      <protection locked="0"/>
    </xf>
    <xf numFmtId="0" fontId="11" fillId="0" borderId="35" xfId="0" applyFont="1" applyBorder="1" applyAlignment="1" applyProtection="1">
      <alignment horizontal="center"/>
      <protection locked="0"/>
    </xf>
    <xf numFmtId="166" fontId="9" fillId="0" borderId="22" xfId="0" applyNumberFormat="1" applyFont="1" applyBorder="1" applyAlignment="1" applyProtection="1">
      <alignment horizontal="center" vertical="center"/>
    </xf>
    <xf numFmtId="0" fontId="17" fillId="0" borderId="22" xfId="0" applyFont="1" applyBorder="1" applyAlignment="1" applyProtection="1">
      <alignment horizontal="center" wrapText="1"/>
    </xf>
    <xf numFmtId="0" fontId="11" fillId="3" borderId="47" xfId="0" applyFont="1" applyFill="1" applyBorder="1" applyAlignment="1" applyProtection="1">
      <alignment horizontal="center"/>
      <protection locked="0"/>
    </xf>
    <xf numFmtId="0" fontId="11" fillId="3" borderId="26" xfId="0" applyFont="1" applyFill="1" applyBorder="1" applyAlignment="1" applyProtection="1">
      <alignment horizontal="center"/>
      <protection locked="0"/>
    </xf>
    <xf numFmtId="0" fontId="15" fillId="3" borderId="52" xfId="0" applyFont="1" applyFill="1" applyBorder="1" applyAlignment="1" applyProtection="1">
      <alignment horizontal="center" vertical="center" wrapText="1"/>
      <protection locked="0"/>
    </xf>
    <xf numFmtId="0" fontId="21" fillId="3" borderId="30" xfId="0" applyFont="1" applyFill="1" applyBorder="1" applyAlignment="1" applyProtection="1">
      <alignment horizontal="center" vertical="top" wrapText="1"/>
      <protection locked="0"/>
    </xf>
    <xf numFmtId="0" fontId="21" fillId="3" borderId="35" xfId="0" applyFont="1" applyFill="1" applyBorder="1" applyAlignment="1" applyProtection="1">
      <alignment horizontal="center" vertical="top" wrapText="1"/>
      <protection locked="0"/>
    </xf>
    <xf numFmtId="0" fontId="11" fillId="0" borderId="76" xfId="0" applyFont="1" applyFill="1" applyBorder="1" applyAlignment="1" applyProtection="1">
      <alignment horizontal="center"/>
      <protection locked="0"/>
    </xf>
    <xf numFmtId="0" fontId="11" fillId="0" borderId="76" xfId="0" applyFont="1" applyBorder="1" applyAlignment="1" applyProtection="1">
      <alignment horizontal="left" vertical="top" wrapText="1"/>
      <protection locked="0"/>
    </xf>
    <xf numFmtId="0" fontId="11" fillId="0" borderId="76" xfId="0" applyFont="1" applyBorder="1" applyAlignment="1" applyProtection="1">
      <alignment horizontal="left" vertical="top"/>
      <protection locked="0"/>
    </xf>
    <xf numFmtId="166" fontId="9" fillId="12" borderId="39" xfId="0" applyNumberFormat="1" applyFont="1" applyFill="1" applyBorder="1" applyAlignment="1" applyProtection="1">
      <alignment horizontal="center" vertical="center"/>
    </xf>
    <xf numFmtId="166" fontId="9" fillId="12" borderId="77" xfId="0" applyNumberFormat="1" applyFont="1" applyFill="1" applyBorder="1" applyAlignment="1" applyProtection="1">
      <alignment horizontal="center" vertical="center"/>
    </xf>
    <xf numFmtId="0" fontId="9" fillId="3" borderId="18" xfId="0" applyFont="1" applyFill="1" applyBorder="1" applyAlignment="1" applyProtection="1">
      <alignment horizontal="center" vertical="center" wrapText="1"/>
      <protection locked="0"/>
    </xf>
    <xf numFmtId="0" fontId="9" fillId="3" borderId="76" xfId="0" applyFont="1" applyFill="1" applyBorder="1" applyAlignment="1" applyProtection="1">
      <alignment horizontal="center" vertical="center" wrapText="1"/>
      <protection locked="0"/>
    </xf>
    <xf numFmtId="0" fontId="9" fillId="3" borderId="75" xfId="0" applyFont="1" applyFill="1" applyBorder="1" applyAlignment="1" applyProtection="1">
      <alignment horizontal="center" vertical="center" wrapText="1"/>
      <protection locked="0"/>
    </xf>
    <xf numFmtId="0" fontId="15" fillId="3" borderId="60" xfId="0" applyFont="1" applyFill="1" applyBorder="1" applyAlignment="1" applyProtection="1">
      <alignment horizontal="center" vertical="center" wrapText="1"/>
      <protection locked="0"/>
    </xf>
    <xf numFmtId="0" fontId="15" fillId="3" borderId="31" xfId="0" applyFont="1" applyFill="1" applyBorder="1" applyAlignment="1" applyProtection="1">
      <alignment horizontal="center" vertical="center" wrapText="1"/>
      <protection locked="0"/>
    </xf>
    <xf numFmtId="0" fontId="9" fillId="3" borderId="30" xfId="0" applyFont="1" applyFill="1" applyBorder="1" applyAlignment="1" applyProtection="1">
      <alignment horizontal="center"/>
      <protection locked="0"/>
    </xf>
    <xf numFmtId="0" fontId="9" fillId="3" borderId="73" xfId="0" applyFont="1" applyFill="1" applyBorder="1" applyAlignment="1" applyProtection="1">
      <alignment horizontal="center"/>
      <protection locked="0"/>
    </xf>
    <xf numFmtId="0" fontId="9" fillId="3" borderId="35" xfId="0" applyFont="1" applyFill="1" applyBorder="1" applyAlignment="1" applyProtection="1">
      <alignment horizontal="center"/>
      <protection locked="0"/>
    </xf>
    <xf numFmtId="0" fontId="17" fillId="3" borderId="20" xfId="0" applyFont="1" applyFill="1" applyBorder="1" applyAlignment="1" applyProtection="1">
      <alignment horizontal="center" vertical="center" wrapText="1"/>
      <protection locked="0"/>
    </xf>
    <xf numFmtId="0" fontId="17" fillId="3" borderId="27" xfId="0" applyFont="1" applyFill="1" applyBorder="1" applyAlignment="1" applyProtection="1">
      <alignment horizontal="center" vertical="center" wrapText="1"/>
      <protection locked="0"/>
    </xf>
    <xf numFmtId="0" fontId="11" fillId="0" borderId="0" xfId="0" applyFont="1" applyBorder="1" applyAlignment="1" applyProtection="1">
      <alignment horizontal="center" wrapText="1"/>
      <protection locked="0"/>
    </xf>
    <xf numFmtId="1" fontId="9" fillId="5" borderId="30" xfId="0" applyNumberFormat="1" applyFont="1" applyFill="1" applyBorder="1" applyAlignment="1" applyProtection="1">
      <alignment horizontal="center" vertical="center"/>
      <protection locked="0"/>
    </xf>
    <xf numFmtId="1" fontId="9" fillId="5" borderId="73" xfId="0" applyNumberFormat="1" applyFont="1" applyFill="1" applyBorder="1" applyAlignment="1" applyProtection="1">
      <alignment horizontal="center" vertical="center"/>
      <protection locked="0"/>
    </xf>
    <xf numFmtId="1" fontId="9" fillId="5" borderId="35" xfId="0" applyNumberFormat="1" applyFont="1" applyFill="1" applyBorder="1" applyAlignment="1" applyProtection="1">
      <alignment horizontal="center" vertical="center"/>
      <protection locked="0"/>
    </xf>
    <xf numFmtId="0" fontId="17" fillId="3" borderId="54" xfId="0" applyFont="1" applyFill="1" applyBorder="1" applyAlignment="1" applyProtection="1">
      <alignment horizontal="center" vertical="center" wrapText="1"/>
      <protection locked="0"/>
    </xf>
    <xf numFmtId="0" fontId="17" fillId="3" borderId="42" xfId="0" applyFont="1" applyFill="1" applyBorder="1" applyAlignment="1" applyProtection="1">
      <alignment horizontal="center" vertical="center" wrapText="1"/>
      <protection locked="0"/>
    </xf>
    <xf numFmtId="0" fontId="28" fillId="0" borderId="0" xfId="0" applyFont="1" applyBorder="1" applyAlignment="1" applyProtection="1">
      <alignment horizontal="center"/>
      <protection locked="0"/>
    </xf>
    <xf numFmtId="0" fontId="11" fillId="5" borderId="30" xfId="0" applyFont="1" applyFill="1" applyBorder="1" applyAlignment="1" applyProtection="1">
      <alignment horizontal="center" vertical="center" wrapText="1"/>
      <protection locked="0"/>
    </xf>
    <xf numFmtId="0" fontId="11" fillId="5" borderId="73" xfId="0" applyFont="1" applyFill="1" applyBorder="1" applyAlignment="1" applyProtection="1">
      <alignment horizontal="center" vertical="center" wrapText="1"/>
      <protection locked="0"/>
    </xf>
    <xf numFmtId="0" fontId="11" fillId="5" borderId="35" xfId="0" applyFont="1" applyFill="1" applyBorder="1" applyAlignment="1" applyProtection="1">
      <alignment horizontal="center" vertical="center" wrapText="1"/>
      <protection locked="0"/>
    </xf>
    <xf numFmtId="0" fontId="9" fillId="0" borderId="0" xfId="0" applyFont="1" applyBorder="1" applyAlignment="1" applyProtection="1">
      <alignment horizontal="right" vertical="center" wrapText="1"/>
      <protection locked="0"/>
    </xf>
    <xf numFmtId="0" fontId="9" fillId="0" borderId="76" xfId="0" applyFont="1" applyBorder="1" applyAlignment="1" applyProtection="1">
      <alignment horizontal="right" vertical="center" wrapText="1"/>
      <protection locked="0"/>
    </xf>
    <xf numFmtId="0" fontId="11" fillId="5" borderId="39" xfId="0" applyFont="1" applyFill="1" applyBorder="1" applyAlignment="1" applyProtection="1">
      <alignment horizontal="center"/>
      <protection locked="0"/>
    </xf>
    <xf numFmtId="0" fontId="11" fillId="5" borderId="18" xfId="0" applyFont="1" applyFill="1" applyBorder="1" applyAlignment="1" applyProtection="1">
      <alignment horizontal="center"/>
      <protection locked="0"/>
    </xf>
    <xf numFmtId="0" fontId="11" fillId="5" borderId="77" xfId="0" applyFont="1" applyFill="1" applyBorder="1" applyAlignment="1" applyProtection="1">
      <alignment horizontal="center"/>
      <protection locked="0"/>
    </xf>
    <xf numFmtId="166" fontId="9" fillId="0" borderId="17" xfId="0" applyNumberFormat="1" applyFont="1" applyFill="1" applyBorder="1" applyAlignment="1" applyProtection="1">
      <alignment horizontal="center"/>
      <protection locked="0"/>
    </xf>
    <xf numFmtId="166" fontId="9" fillId="0" borderId="19" xfId="0" applyNumberFormat="1" applyFont="1" applyFill="1" applyBorder="1" applyAlignment="1" applyProtection="1">
      <alignment horizontal="center"/>
      <protection locked="0"/>
    </xf>
    <xf numFmtId="0" fontId="9" fillId="0" borderId="30" xfId="0" applyFont="1" applyFill="1" applyBorder="1" applyAlignment="1" applyProtection="1">
      <alignment horizontal="center" vertical="center" wrapText="1"/>
      <protection locked="0"/>
    </xf>
    <xf numFmtId="0" fontId="9" fillId="0" borderId="73" xfId="0" applyFont="1" applyFill="1" applyBorder="1" applyAlignment="1" applyProtection="1">
      <alignment horizontal="center" vertical="center" wrapText="1"/>
      <protection locked="0"/>
    </xf>
    <xf numFmtId="0" fontId="9" fillId="0" borderId="35" xfId="0" applyFont="1" applyFill="1" applyBorder="1" applyAlignment="1" applyProtection="1">
      <alignment horizontal="center" vertical="center" wrapText="1"/>
      <protection locked="0"/>
    </xf>
    <xf numFmtId="0" fontId="17" fillId="3" borderId="17" xfId="0" applyFont="1" applyFill="1" applyBorder="1" applyAlignment="1" applyProtection="1">
      <alignment horizontal="center" vertical="center"/>
      <protection locked="0"/>
    </xf>
    <xf numFmtId="0" fontId="17" fillId="3" borderId="71" xfId="0" applyFont="1" applyFill="1" applyBorder="1" applyAlignment="1" applyProtection="1">
      <alignment horizontal="center" vertical="center"/>
      <protection locked="0"/>
    </xf>
    <xf numFmtId="2" fontId="9" fillId="0" borderId="66" xfId="0" applyNumberFormat="1" applyFont="1" applyBorder="1" applyAlignment="1" applyProtection="1">
      <alignment horizontal="center" vertical="center"/>
      <protection locked="0"/>
    </xf>
    <xf numFmtId="0" fontId="17" fillId="0" borderId="38" xfId="0" applyFont="1" applyFill="1" applyBorder="1" applyAlignment="1" applyProtection="1">
      <alignment horizontal="center" vertical="top" wrapText="1"/>
      <protection locked="0"/>
    </xf>
    <xf numFmtId="0" fontId="17" fillId="0" borderId="72" xfId="0" applyFont="1" applyFill="1" applyBorder="1" applyAlignment="1" applyProtection="1">
      <alignment horizontal="center" vertical="top" wrapText="1"/>
      <protection locked="0"/>
    </xf>
    <xf numFmtId="0" fontId="17" fillId="0" borderId="40" xfId="0" applyFont="1" applyFill="1" applyBorder="1" applyAlignment="1" applyProtection="1">
      <alignment horizontal="center" vertical="top" wrapText="1"/>
      <protection locked="0"/>
    </xf>
    <xf numFmtId="0" fontId="28" fillId="0" borderId="30" xfId="0" applyFont="1" applyFill="1" applyBorder="1" applyAlignment="1" applyProtection="1">
      <alignment horizontal="center" vertical="center" wrapText="1"/>
      <protection locked="0"/>
    </xf>
    <xf numFmtId="0" fontId="28" fillId="0" borderId="73" xfId="0" applyFont="1" applyFill="1" applyBorder="1" applyAlignment="1" applyProtection="1">
      <alignment horizontal="center" vertical="center" wrapText="1"/>
      <protection locked="0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9" fillId="0" borderId="41" xfId="0" applyNumberFormat="1" applyFont="1" applyFill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15" fillId="3" borderId="11" xfId="0" applyFont="1" applyFill="1" applyBorder="1" applyAlignment="1" applyProtection="1">
      <alignment horizontal="center" vertical="center" wrapText="1"/>
      <protection locked="0"/>
    </xf>
    <xf numFmtId="0" fontId="15" fillId="3" borderId="66" xfId="0" applyFont="1" applyFill="1" applyBorder="1" applyAlignment="1" applyProtection="1">
      <alignment horizontal="center" vertical="center" wrapText="1"/>
      <protection locked="0"/>
    </xf>
    <xf numFmtId="0" fontId="15" fillId="0" borderId="76" xfId="0" applyFont="1" applyBorder="1" applyAlignment="1" applyProtection="1">
      <alignment horizontal="center"/>
      <protection locked="0"/>
    </xf>
    <xf numFmtId="0" fontId="9" fillId="3" borderId="40" xfId="0" applyFont="1" applyFill="1" applyBorder="1" applyAlignment="1" applyProtection="1">
      <alignment horizontal="center" vertical="center"/>
      <protection locked="0"/>
    </xf>
    <xf numFmtId="166" fontId="11" fillId="12" borderId="30" xfId="0" applyNumberFormat="1" applyFont="1" applyFill="1" applyBorder="1" applyAlignment="1" applyProtection="1">
      <alignment horizontal="center"/>
    </xf>
    <xf numFmtId="166" fontId="11" fillId="12" borderId="35" xfId="0" applyNumberFormat="1" applyFont="1" applyFill="1" applyBorder="1" applyAlignment="1" applyProtection="1">
      <alignment horizontal="center"/>
    </xf>
    <xf numFmtId="166" fontId="9" fillId="5" borderId="59" xfId="0" applyNumberFormat="1" applyFont="1" applyFill="1" applyBorder="1" applyAlignment="1" applyProtection="1">
      <alignment horizontal="center"/>
      <protection locked="0"/>
    </xf>
    <xf numFmtId="166" fontId="9" fillId="5" borderId="29" xfId="0" applyNumberFormat="1" applyFont="1" applyFill="1" applyBorder="1" applyAlignment="1" applyProtection="1">
      <alignment horizontal="center"/>
      <protection locked="0"/>
    </xf>
    <xf numFmtId="0" fontId="11" fillId="3" borderId="30" xfId="0" applyFont="1" applyFill="1" applyBorder="1" applyAlignment="1" applyProtection="1">
      <alignment horizontal="center"/>
      <protection locked="0"/>
    </xf>
    <xf numFmtId="0" fontId="11" fillId="3" borderId="73" xfId="0" applyFont="1" applyFill="1" applyBorder="1" applyAlignment="1" applyProtection="1">
      <alignment horizontal="center"/>
      <protection locked="0"/>
    </xf>
    <xf numFmtId="0" fontId="11" fillId="3" borderId="35" xfId="0" applyFont="1" applyFill="1" applyBorder="1" applyAlignment="1" applyProtection="1">
      <alignment horizontal="center"/>
      <protection locked="0"/>
    </xf>
    <xf numFmtId="169" fontId="15" fillId="3" borderId="38" xfId="0" applyNumberFormat="1" applyFont="1" applyFill="1" applyBorder="1" applyAlignment="1" applyProtection="1">
      <alignment horizontal="center" vertical="center" wrapText="1"/>
      <protection locked="0"/>
    </xf>
    <xf numFmtId="169" fontId="15" fillId="3" borderId="72" xfId="0" applyNumberFormat="1" applyFont="1" applyFill="1" applyBorder="1" applyAlignment="1" applyProtection="1">
      <alignment horizontal="center" vertical="center" wrapText="1"/>
      <protection locked="0"/>
    </xf>
    <xf numFmtId="169" fontId="15" fillId="3" borderId="40" xfId="0" applyNumberFormat="1" applyFont="1" applyFill="1" applyBorder="1" applyAlignment="1" applyProtection="1">
      <alignment horizontal="center" vertical="center" wrapText="1"/>
      <protection locked="0"/>
    </xf>
    <xf numFmtId="0" fontId="9" fillId="5" borderId="7" xfId="0" applyFont="1" applyFill="1" applyBorder="1" applyAlignment="1" applyProtection="1">
      <alignment horizontal="center" vertical="center"/>
      <protection locked="0"/>
    </xf>
    <xf numFmtId="0" fontId="9" fillId="5" borderId="8" xfId="0" applyFont="1" applyFill="1" applyBorder="1" applyAlignment="1" applyProtection="1">
      <alignment horizontal="center" vertical="center"/>
      <protection locked="0"/>
    </xf>
    <xf numFmtId="0" fontId="9" fillId="5" borderId="9" xfId="0" applyFont="1" applyFill="1" applyBorder="1" applyAlignment="1" applyProtection="1">
      <alignment horizontal="center" vertical="center"/>
      <protection locked="0"/>
    </xf>
    <xf numFmtId="0" fontId="11" fillId="0" borderId="39" xfId="0" applyFont="1" applyBorder="1" applyAlignment="1" applyProtection="1">
      <alignment horizontal="center"/>
      <protection locked="0"/>
    </xf>
    <xf numFmtId="0" fontId="11" fillId="0" borderId="77" xfId="0" applyFont="1" applyBorder="1" applyAlignment="1" applyProtection="1">
      <alignment horizontal="center"/>
      <protection locked="0"/>
    </xf>
    <xf numFmtId="166" fontId="9" fillId="0" borderId="47" xfId="0" applyNumberFormat="1" applyFont="1" applyFill="1" applyBorder="1" applyAlignment="1" applyProtection="1">
      <alignment horizontal="center"/>
      <protection locked="0"/>
    </xf>
    <xf numFmtId="166" fontId="9" fillId="0" borderId="26" xfId="0" applyNumberFormat="1" applyFont="1" applyFill="1" applyBorder="1" applyAlignment="1" applyProtection="1">
      <alignment horizontal="center"/>
      <protection locked="0"/>
    </xf>
    <xf numFmtId="20" fontId="71" fillId="0" borderId="76" xfId="0" applyNumberFormat="1" applyFont="1" applyBorder="1" applyAlignment="1" applyProtection="1">
      <alignment horizontal="center"/>
      <protection locked="0"/>
    </xf>
    <xf numFmtId="0" fontId="12" fillId="0" borderId="0" xfId="0" applyFont="1" applyBorder="1" applyAlignment="1" applyProtection="1">
      <alignment horizontal="center"/>
    </xf>
    <xf numFmtId="0" fontId="12" fillId="3" borderId="47" xfId="0" applyFont="1" applyFill="1" applyBorder="1" applyAlignment="1" applyProtection="1">
      <alignment horizontal="center"/>
      <protection locked="0"/>
    </xf>
    <xf numFmtId="0" fontId="12" fillId="3" borderId="26" xfId="0" applyFont="1" applyFill="1" applyBorder="1" applyAlignment="1" applyProtection="1">
      <alignment horizontal="center"/>
      <protection locked="0"/>
    </xf>
    <xf numFmtId="0" fontId="9" fillId="3" borderId="30" xfId="0" applyFont="1" applyFill="1" applyBorder="1" applyAlignment="1" applyProtection="1">
      <alignment horizontal="center" vertical="center" wrapText="1"/>
      <protection locked="0"/>
    </xf>
    <xf numFmtId="0" fontId="9" fillId="3" borderId="73" xfId="0" applyFont="1" applyFill="1" applyBorder="1" applyAlignment="1" applyProtection="1">
      <alignment horizontal="center" vertical="center" wrapText="1"/>
      <protection locked="0"/>
    </xf>
    <xf numFmtId="0" fontId="9" fillId="3" borderId="35" xfId="0" applyFont="1" applyFill="1" applyBorder="1" applyAlignment="1" applyProtection="1">
      <alignment horizontal="center" vertical="center" wrapText="1"/>
      <protection locked="0"/>
    </xf>
    <xf numFmtId="0" fontId="9" fillId="0" borderId="30" xfId="0" applyFont="1" applyBorder="1" applyAlignment="1">
      <alignment horizontal="center" vertical="center"/>
    </xf>
    <xf numFmtId="0" fontId="9" fillId="0" borderId="73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71" fillId="0" borderId="41" xfId="0" applyFont="1" applyFill="1" applyBorder="1" applyAlignment="1" applyProtection="1">
      <alignment horizontal="center" vertical="center" wrapText="1"/>
      <protection locked="0"/>
    </xf>
    <xf numFmtId="0" fontId="71" fillId="0" borderId="76" xfId="0" applyFont="1" applyFill="1" applyBorder="1" applyAlignment="1" applyProtection="1">
      <alignment horizontal="center" vertical="center" wrapText="1"/>
      <protection locked="0"/>
    </xf>
    <xf numFmtId="0" fontId="71" fillId="0" borderId="75" xfId="0" applyFont="1" applyFill="1" applyBorder="1" applyAlignment="1" applyProtection="1">
      <alignment horizontal="center" vertical="center" wrapText="1"/>
      <protection locked="0"/>
    </xf>
    <xf numFmtId="0" fontId="9" fillId="3" borderId="39" xfId="0" applyFont="1" applyFill="1" applyBorder="1" applyAlignment="1" applyProtection="1">
      <alignment horizontal="center" vertical="center"/>
      <protection locked="0"/>
    </xf>
    <xf numFmtId="0" fontId="9" fillId="3" borderId="6" xfId="0" applyFont="1" applyFill="1" applyBorder="1" applyAlignment="1" applyProtection="1">
      <alignment horizontal="center" vertical="center"/>
      <protection locked="0"/>
    </xf>
    <xf numFmtId="0" fontId="9" fillId="3" borderId="21" xfId="0" applyFont="1" applyFill="1" applyBorder="1" applyAlignment="1" applyProtection="1">
      <alignment horizontal="center" vertical="center"/>
      <protection locked="0"/>
    </xf>
    <xf numFmtId="0" fontId="17" fillId="0" borderId="38" xfId="0" applyFont="1" applyFill="1" applyBorder="1" applyAlignment="1" applyProtection="1">
      <alignment horizontal="center" vertical="center" wrapText="1"/>
      <protection locked="0"/>
    </xf>
    <xf numFmtId="0" fontId="17" fillId="0" borderId="40" xfId="0" applyFont="1" applyFill="1" applyBorder="1" applyAlignment="1" applyProtection="1">
      <alignment horizontal="center" vertical="center" wrapText="1"/>
      <protection locked="0"/>
    </xf>
    <xf numFmtId="0" fontId="9" fillId="0" borderId="38" xfId="0" applyFont="1" applyFill="1" applyBorder="1" applyAlignment="1" applyProtection="1">
      <alignment horizontal="center" vertical="center" wrapText="1"/>
      <protection locked="0"/>
    </xf>
    <xf numFmtId="0" fontId="9" fillId="0" borderId="40" xfId="0" applyFont="1" applyFill="1" applyBorder="1" applyAlignment="1" applyProtection="1">
      <alignment horizontal="center" vertical="center" wrapText="1"/>
      <protection locked="0"/>
    </xf>
    <xf numFmtId="0" fontId="28" fillId="0" borderId="69" xfId="0" applyFont="1" applyBorder="1" applyAlignment="1" applyProtection="1">
      <alignment horizontal="center"/>
      <protection locked="0"/>
    </xf>
    <xf numFmtId="0" fontId="28" fillId="0" borderId="70" xfId="0" applyFont="1" applyBorder="1" applyAlignment="1" applyProtection="1">
      <alignment horizontal="center"/>
      <protection locked="0"/>
    </xf>
    <xf numFmtId="0" fontId="28" fillId="0" borderId="49" xfId="0" applyFont="1" applyBorder="1" applyAlignment="1" applyProtection="1">
      <alignment horizontal="center"/>
      <protection locked="0"/>
    </xf>
    <xf numFmtId="0" fontId="11" fillId="0" borderId="0" xfId="0" applyFont="1" applyAlignment="1" applyProtection="1">
      <alignment horizontal="center"/>
      <protection locked="0"/>
    </xf>
    <xf numFmtId="0" fontId="11" fillId="0" borderId="3" xfId="0" applyFont="1" applyBorder="1" applyAlignment="1" applyProtection="1">
      <alignment horizontal="center"/>
      <protection locked="0"/>
    </xf>
    <xf numFmtId="0" fontId="15" fillId="0" borderId="13" xfId="0" applyFont="1" applyBorder="1" applyAlignment="1" applyProtection="1">
      <alignment horizontal="center" vertical="center" wrapText="1"/>
      <protection locked="0"/>
    </xf>
    <xf numFmtId="0" fontId="15" fillId="0" borderId="34" xfId="0" applyFont="1" applyBorder="1" applyAlignment="1" applyProtection="1">
      <alignment horizontal="center" vertical="center" wrapText="1"/>
      <protection locked="0"/>
    </xf>
    <xf numFmtId="0" fontId="9" fillId="0" borderId="38" xfId="0" applyFont="1" applyBorder="1" applyAlignment="1" applyProtection="1">
      <alignment horizontal="center" vertical="center" wrapText="1"/>
      <protection locked="0"/>
    </xf>
    <xf numFmtId="0" fontId="9" fillId="0" borderId="40" xfId="0" applyFont="1" applyBorder="1" applyAlignment="1" applyProtection="1">
      <alignment horizontal="center" vertical="center" wrapText="1"/>
      <protection locked="0"/>
    </xf>
    <xf numFmtId="166" fontId="9" fillId="0" borderId="48" xfId="0" applyNumberFormat="1" applyFont="1" applyFill="1" applyBorder="1" applyAlignment="1" applyProtection="1">
      <alignment horizontal="center" vertical="center"/>
      <protection locked="0"/>
    </xf>
    <xf numFmtId="0" fontId="17" fillId="3" borderId="10" xfId="0" applyFont="1" applyFill="1" applyBorder="1" applyAlignment="1" applyProtection="1">
      <alignment horizontal="center" vertical="center"/>
      <protection locked="0"/>
    </xf>
    <xf numFmtId="0" fontId="17" fillId="3" borderId="31" xfId="0" applyFont="1" applyFill="1" applyBorder="1" applyAlignment="1" applyProtection="1">
      <alignment horizontal="center" vertical="center"/>
      <protection locked="0"/>
    </xf>
    <xf numFmtId="0" fontId="27" fillId="0" borderId="76" xfId="0" applyFont="1" applyBorder="1" applyAlignment="1" applyProtection="1">
      <alignment horizontal="center"/>
      <protection locked="0"/>
    </xf>
    <xf numFmtId="0" fontId="9" fillId="0" borderId="77" xfId="0" applyFont="1" applyBorder="1" applyAlignment="1" applyProtection="1">
      <alignment horizontal="center" vertical="center" wrapText="1"/>
      <protection locked="0"/>
    </xf>
    <xf numFmtId="0" fontId="9" fillId="0" borderId="58" xfId="0" applyFont="1" applyBorder="1" applyAlignment="1" applyProtection="1">
      <alignment horizontal="center" vertical="center" wrapText="1"/>
      <protection locked="0"/>
    </xf>
    <xf numFmtId="0" fontId="11" fillId="0" borderId="41" xfId="0" applyFont="1" applyFill="1" applyBorder="1" applyAlignment="1" applyProtection="1">
      <alignment horizontal="center" vertical="center"/>
      <protection locked="0"/>
    </xf>
    <xf numFmtId="0" fontId="11" fillId="0" borderId="76" xfId="0" applyFont="1" applyFill="1" applyBorder="1" applyAlignment="1" applyProtection="1">
      <alignment horizontal="center" vertical="center"/>
      <protection locked="0"/>
    </xf>
    <xf numFmtId="0" fontId="17" fillId="3" borderId="19" xfId="0" applyFont="1" applyFill="1" applyBorder="1" applyAlignment="1" applyProtection="1">
      <alignment horizontal="center" vertical="center"/>
      <protection locked="0"/>
    </xf>
    <xf numFmtId="0" fontId="12" fillId="3" borderId="18" xfId="0" applyFont="1" applyFill="1" applyBorder="1" applyAlignment="1" applyProtection="1">
      <alignment horizontal="center"/>
      <protection locked="0"/>
    </xf>
    <xf numFmtId="2" fontId="11" fillId="13" borderId="38" xfId="0" applyNumberFormat="1" applyFont="1" applyFill="1" applyBorder="1" applyAlignment="1" applyProtection="1">
      <alignment horizontal="center" vertical="center"/>
      <protection locked="0"/>
    </xf>
    <xf numFmtId="2" fontId="11" fillId="13" borderId="40" xfId="0" applyNumberFormat="1" applyFont="1" applyFill="1" applyBorder="1" applyAlignment="1" applyProtection="1">
      <alignment horizontal="center" vertical="center"/>
      <protection locked="0"/>
    </xf>
    <xf numFmtId="0" fontId="28" fillId="3" borderId="30" xfId="0" applyFont="1" applyFill="1" applyBorder="1" applyAlignment="1" applyProtection="1">
      <alignment horizontal="center"/>
      <protection locked="0"/>
    </xf>
    <xf numFmtId="0" fontId="28" fillId="3" borderId="35" xfId="0" applyFont="1" applyFill="1" applyBorder="1" applyAlignment="1" applyProtection="1">
      <alignment horizontal="center"/>
      <protection locked="0"/>
    </xf>
    <xf numFmtId="0" fontId="11" fillId="3" borderId="39" xfId="0" applyFont="1" applyFill="1" applyBorder="1" applyAlignment="1" applyProtection="1">
      <alignment horizontal="center" vertical="center" wrapText="1"/>
      <protection locked="0"/>
    </xf>
    <xf numFmtId="0" fontId="11" fillId="3" borderId="18" xfId="0" applyFont="1" applyFill="1" applyBorder="1" applyAlignment="1" applyProtection="1">
      <alignment horizontal="center" vertical="center" wrapText="1"/>
      <protection locked="0"/>
    </xf>
    <xf numFmtId="0" fontId="11" fillId="3" borderId="77" xfId="0" applyFont="1" applyFill="1" applyBorder="1" applyAlignment="1" applyProtection="1">
      <alignment horizontal="center" vertical="center" wrapText="1"/>
      <protection locked="0"/>
    </xf>
    <xf numFmtId="0" fontId="11" fillId="3" borderId="47" xfId="0" applyFont="1" applyFill="1" applyBorder="1" applyAlignment="1" applyProtection="1">
      <alignment horizontal="left"/>
      <protection locked="0"/>
    </xf>
    <xf numFmtId="0" fontId="11" fillId="3" borderId="26" xfId="0" applyFont="1" applyFill="1" applyBorder="1" applyAlignment="1" applyProtection="1">
      <alignment horizontal="left"/>
      <protection locked="0"/>
    </xf>
    <xf numFmtId="0" fontId="75" fillId="0" borderId="73" xfId="0" applyFont="1" applyBorder="1" applyAlignment="1" applyProtection="1">
      <alignment horizontal="center"/>
      <protection locked="0"/>
    </xf>
    <xf numFmtId="0" fontId="75" fillId="0" borderId="35" xfId="0" applyFont="1" applyBorder="1" applyAlignment="1" applyProtection="1">
      <alignment horizontal="center"/>
      <protection locked="0"/>
    </xf>
    <xf numFmtId="0" fontId="17" fillId="0" borderId="22" xfId="0" applyFont="1" applyBorder="1" applyAlignment="1" applyProtection="1">
      <alignment horizontal="center" vertical="center" wrapText="1"/>
    </xf>
    <xf numFmtId="0" fontId="15" fillId="0" borderId="3" xfId="0" applyFont="1" applyBorder="1" applyAlignment="1" applyProtection="1">
      <alignment horizontal="center" vertical="center" wrapText="1"/>
    </xf>
    <xf numFmtId="0" fontId="12" fillId="0" borderId="0" xfId="0" applyFont="1" applyBorder="1" applyAlignment="1" applyProtection="1">
      <alignment horizontal="center"/>
      <protection locked="0"/>
    </xf>
    <xf numFmtId="166" fontId="9" fillId="0" borderId="59" xfId="0" applyNumberFormat="1" applyFont="1" applyFill="1" applyBorder="1" applyAlignment="1" applyProtection="1">
      <alignment horizontal="center"/>
      <protection locked="0"/>
    </xf>
    <xf numFmtId="166" fontId="9" fillId="0" borderId="29" xfId="0" applyNumberFormat="1" applyFont="1" applyFill="1" applyBorder="1" applyAlignment="1" applyProtection="1">
      <alignment horizontal="center"/>
      <protection locked="0"/>
    </xf>
    <xf numFmtId="20" fontId="99" fillId="0" borderId="76" xfId="0" applyNumberFormat="1" applyFont="1" applyBorder="1" applyAlignment="1" applyProtection="1">
      <alignment horizontal="center" vertical="center"/>
      <protection locked="0"/>
    </xf>
    <xf numFmtId="0" fontId="9" fillId="0" borderId="76" xfId="0" applyFont="1" applyBorder="1" applyAlignment="1" applyProtection="1">
      <alignment horizontal="center" vertical="center"/>
      <protection locked="0"/>
    </xf>
    <xf numFmtId="166" fontId="11" fillId="0" borderId="22" xfId="0" applyNumberFormat="1" applyFont="1" applyBorder="1" applyAlignment="1" applyProtection="1">
      <alignment horizontal="center" vertical="center"/>
    </xf>
    <xf numFmtId="0" fontId="43" fillId="0" borderId="22" xfId="0" applyFont="1" applyBorder="1" applyAlignment="1">
      <alignment horizontal="center" vertical="center" wrapText="1"/>
    </xf>
    <xf numFmtId="0" fontId="17" fillId="11" borderId="22" xfId="0" applyFont="1" applyFill="1" applyBorder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/>
      <protection locked="0"/>
    </xf>
    <xf numFmtId="0" fontId="11" fillId="3" borderId="50" xfId="0" applyFont="1" applyFill="1" applyBorder="1" applyAlignment="1" applyProtection="1">
      <alignment horizontal="center" wrapText="1"/>
      <protection locked="0"/>
    </xf>
    <xf numFmtId="0" fontId="11" fillId="3" borderId="63" xfId="0" applyFont="1" applyFill="1" applyBorder="1" applyAlignment="1" applyProtection="1">
      <alignment horizontal="center" wrapText="1"/>
      <protection locked="0"/>
    </xf>
    <xf numFmtId="0" fontId="31" fillId="3" borderId="59" xfId="0" applyFont="1" applyFill="1" applyBorder="1" applyAlignment="1" applyProtection="1">
      <alignment horizontal="center"/>
      <protection locked="0"/>
    </xf>
    <xf numFmtId="0" fontId="31" fillId="3" borderId="29" xfId="0" applyFont="1" applyFill="1" applyBorder="1" applyAlignment="1" applyProtection="1">
      <alignment horizontal="center"/>
      <protection locked="0"/>
    </xf>
    <xf numFmtId="0" fontId="11" fillId="3" borderId="59" xfId="0" applyFont="1" applyFill="1" applyBorder="1" applyAlignment="1" applyProtection="1">
      <alignment horizontal="center"/>
      <protection locked="0"/>
    </xf>
    <xf numFmtId="0" fontId="11" fillId="3" borderId="29" xfId="0" applyFont="1" applyFill="1" applyBorder="1" applyAlignment="1" applyProtection="1">
      <alignment horizontal="center"/>
      <protection locked="0"/>
    </xf>
    <xf numFmtId="0" fontId="21" fillId="11" borderId="22" xfId="0" applyFont="1" applyFill="1" applyBorder="1" applyAlignment="1" applyProtection="1">
      <alignment horizontal="center" vertical="center"/>
    </xf>
    <xf numFmtId="168" fontId="15" fillId="0" borderId="69" xfId="0" applyNumberFormat="1" applyFont="1" applyBorder="1" applyAlignment="1" applyProtection="1">
      <alignment horizontal="center" vertical="center"/>
    </xf>
    <xf numFmtId="168" fontId="15" fillId="0" borderId="49" xfId="0" applyNumberFormat="1" applyFont="1" applyBorder="1" applyAlignment="1" applyProtection="1">
      <alignment horizontal="center" vertical="center"/>
    </xf>
    <xf numFmtId="0" fontId="12" fillId="3" borderId="0" xfId="0" applyFont="1" applyFill="1" applyBorder="1" applyAlignment="1" applyProtection="1">
      <alignment horizontal="center"/>
      <protection locked="0"/>
    </xf>
    <xf numFmtId="0" fontId="12" fillId="3" borderId="17" xfId="0" applyFont="1" applyFill="1" applyBorder="1" applyAlignment="1" applyProtection="1">
      <alignment horizontal="center"/>
      <protection locked="0"/>
    </xf>
    <xf numFmtId="0" fontId="12" fillId="3" borderId="19" xfId="0" applyFont="1" applyFill="1" applyBorder="1" applyAlignment="1" applyProtection="1">
      <alignment horizontal="center"/>
      <protection locked="0"/>
    </xf>
    <xf numFmtId="0" fontId="31" fillId="3" borderId="17" xfId="0" applyFont="1" applyFill="1" applyBorder="1" applyAlignment="1" applyProtection="1">
      <alignment horizontal="center"/>
      <protection locked="0"/>
    </xf>
    <xf numFmtId="0" fontId="31" fillId="3" borderId="19" xfId="0" applyFont="1" applyFill="1" applyBorder="1" applyAlignment="1" applyProtection="1">
      <alignment horizontal="center"/>
      <protection locked="0"/>
    </xf>
    <xf numFmtId="0" fontId="28" fillId="3" borderId="47" xfId="0" applyFont="1" applyFill="1" applyBorder="1" applyAlignment="1" applyProtection="1">
      <alignment horizontal="center"/>
      <protection locked="0"/>
    </xf>
    <xf numFmtId="0" fontId="28" fillId="3" borderId="26" xfId="0" applyFont="1" applyFill="1" applyBorder="1" applyAlignment="1" applyProtection="1">
      <alignment horizontal="center"/>
      <protection locked="0"/>
    </xf>
    <xf numFmtId="0" fontId="48" fillId="0" borderId="69" xfId="0" applyFont="1" applyBorder="1" applyAlignment="1" applyProtection="1">
      <alignment horizontal="center" vertical="center"/>
    </xf>
    <xf numFmtId="0" fontId="48" fillId="0" borderId="49" xfId="0" applyFont="1" applyBorder="1" applyAlignment="1" applyProtection="1">
      <alignment horizontal="center" vertical="center"/>
    </xf>
    <xf numFmtId="166" fontId="38" fillId="5" borderId="69" xfId="0" applyNumberFormat="1" applyFont="1" applyFill="1" applyBorder="1" applyAlignment="1" applyProtection="1">
      <alignment horizontal="center" vertical="center" wrapText="1"/>
    </xf>
    <xf numFmtId="166" fontId="38" fillId="5" borderId="70" xfId="0" applyNumberFormat="1" applyFont="1" applyFill="1" applyBorder="1" applyAlignment="1" applyProtection="1">
      <alignment horizontal="center" vertical="center" wrapText="1"/>
    </xf>
    <xf numFmtId="166" fontId="38" fillId="5" borderId="49" xfId="0" applyNumberFormat="1" applyFont="1" applyFill="1" applyBorder="1" applyAlignment="1" applyProtection="1">
      <alignment horizontal="center" vertical="center" wrapText="1"/>
    </xf>
    <xf numFmtId="0" fontId="11" fillId="0" borderId="41" xfId="0" applyFont="1" applyBorder="1" applyAlignment="1" applyProtection="1">
      <alignment horizontal="center"/>
      <protection locked="0"/>
    </xf>
    <xf numFmtId="0" fontId="11" fillId="0" borderId="75" xfId="0" applyFont="1" applyBorder="1" applyAlignment="1" applyProtection="1">
      <alignment horizontal="center"/>
      <protection locked="0"/>
    </xf>
    <xf numFmtId="0" fontId="12" fillId="0" borderId="76" xfId="0" applyFont="1" applyBorder="1" applyAlignment="1" applyProtection="1">
      <alignment horizontal="center"/>
      <protection locked="0"/>
    </xf>
    <xf numFmtId="0" fontId="9" fillId="7" borderId="30" xfId="0" applyFont="1" applyFill="1" applyBorder="1" applyAlignment="1" applyProtection="1">
      <alignment horizontal="center"/>
      <protection locked="0"/>
    </xf>
    <xf numFmtId="0" fontId="9" fillId="7" borderId="35" xfId="0" applyFont="1" applyFill="1" applyBorder="1" applyAlignment="1" applyProtection="1">
      <alignment horizontal="center"/>
      <protection locked="0"/>
    </xf>
    <xf numFmtId="0" fontId="28" fillId="0" borderId="69" xfId="0" applyFont="1" applyBorder="1" applyAlignment="1" applyProtection="1">
      <alignment horizontal="center" vertical="center"/>
    </xf>
    <xf numFmtId="0" fontId="28" fillId="0" borderId="70" xfId="0" applyFont="1" applyBorder="1" applyAlignment="1" applyProtection="1">
      <alignment horizontal="center" vertical="center"/>
    </xf>
    <xf numFmtId="0" fontId="28" fillId="0" borderId="49" xfId="0" applyFont="1" applyBorder="1" applyAlignment="1" applyProtection="1">
      <alignment horizontal="center" vertical="center"/>
    </xf>
    <xf numFmtId="0" fontId="28" fillId="16" borderId="70" xfId="0" applyFont="1" applyFill="1" applyBorder="1" applyAlignment="1" applyProtection="1">
      <alignment horizontal="center" vertical="center"/>
    </xf>
    <xf numFmtId="0" fontId="15" fillId="0" borderId="47" xfId="0" applyFont="1" applyBorder="1" applyAlignment="1" applyProtection="1">
      <alignment horizontal="center"/>
      <protection locked="0"/>
    </xf>
    <xf numFmtId="0" fontId="15" fillId="0" borderId="26" xfId="0" applyFont="1" applyBorder="1" applyAlignment="1" applyProtection="1">
      <alignment horizontal="center"/>
      <protection locked="0"/>
    </xf>
    <xf numFmtId="0" fontId="9" fillId="0" borderId="47" xfId="0" applyFont="1" applyBorder="1" applyAlignment="1" applyProtection="1">
      <alignment horizontal="center"/>
      <protection locked="0"/>
    </xf>
    <xf numFmtId="0" fontId="9" fillId="0" borderId="26" xfId="0" applyFont="1" applyBorder="1" applyAlignment="1" applyProtection="1">
      <alignment horizontal="center"/>
      <protection locked="0"/>
    </xf>
    <xf numFmtId="170" fontId="23" fillId="0" borderId="22" xfId="0" applyNumberFormat="1" applyFont="1" applyFill="1" applyBorder="1" applyAlignment="1" applyProtection="1">
      <alignment horizontal="center" vertical="center" textRotation="90"/>
    </xf>
    <xf numFmtId="164" fontId="23" fillId="0" borderId="22" xfId="1" applyFont="1" applyFill="1" applyBorder="1" applyAlignment="1" applyProtection="1">
      <alignment horizontal="center" vertical="center" textRotation="90"/>
    </xf>
    <xf numFmtId="0" fontId="9" fillId="0" borderId="0" xfId="0" applyFont="1" applyBorder="1" applyAlignment="1" applyProtection="1">
      <alignment horizontal="center" wrapText="1"/>
      <protection locked="0"/>
    </xf>
    <xf numFmtId="0" fontId="12" fillId="3" borderId="30" xfId="0" applyFont="1" applyFill="1" applyBorder="1" applyAlignment="1" applyProtection="1">
      <alignment horizontal="center"/>
      <protection locked="0"/>
    </xf>
    <xf numFmtId="0" fontId="12" fillId="3" borderId="35" xfId="0" applyFont="1" applyFill="1" applyBorder="1" applyAlignment="1" applyProtection="1">
      <alignment horizontal="center"/>
      <protection locked="0"/>
    </xf>
    <xf numFmtId="0" fontId="12" fillId="0" borderId="22" xfId="0" applyFont="1" applyBorder="1" applyAlignment="1" applyProtection="1">
      <alignment horizontal="center" vertical="center"/>
    </xf>
    <xf numFmtId="1" fontId="110" fillId="18" borderId="1" xfId="0" applyNumberFormat="1" applyFont="1" applyFill="1" applyBorder="1" applyAlignment="1" applyProtection="1">
      <alignment horizontal="center" vertical="center" wrapText="1"/>
      <protection locked="0"/>
    </xf>
    <xf numFmtId="1" fontId="110" fillId="18" borderId="2" xfId="0" applyNumberFormat="1" applyFont="1" applyFill="1" applyBorder="1" applyAlignment="1" applyProtection="1">
      <alignment horizontal="center" vertical="center" wrapText="1"/>
      <protection locked="0"/>
    </xf>
    <xf numFmtId="1" fontId="110" fillId="18" borderId="62" xfId="0" applyNumberFormat="1" applyFont="1" applyFill="1" applyBorder="1" applyAlignment="1" applyProtection="1">
      <alignment horizontal="center" vertical="center" wrapText="1"/>
      <protection locked="0"/>
    </xf>
    <xf numFmtId="1" fontId="110" fillId="18" borderId="45" xfId="0" applyNumberFormat="1" applyFont="1" applyFill="1" applyBorder="1" applyAlignment="1" applyProtection="1">
      <alignment horizontal="center" vertical="center" wrapText="1"/>
      <protection locked="0"/>
    </xf>
    <xf numFmtId="170" fontId="12" fillId="0" borderId="38" xfId="0" applyNumberFormat="1" applyFont="1" applyFill="1" applyBorder="1" applyAlignment="1" applyProtection="1">
      <alignment horizontal="center" textRotation="90"/>
    </xf>
    <xf numFmtId="170" fontId="12" fillId="0" borderId="72" xfId="0" applyNumberFormat="1" applyFont="1" applyFill="1" applyBorder="1" applyAlignment="1" applyProtection="1">
      <alignment horizontal="center" textRotation="90"/>
    </xf>
    <xf numFmtId="0" fontId="12" fillId="0" borderId="30" xfId="0" applyFont="1" applyFill="1" applyBorder="1" applyAlignment="1" applyProtection="1">
      <alignment horizontal="center"/>
    </xf>
    <xf numFmtId="0" fontId="15" fillId="0" borderId="73" xfId="0" applyFont="1" applyBorder="1" applyProtection="1"/>
    <xf numFmtId="0" fontId="15" fillId="0" borderId="35" xfId="0" applyFont="1" applyBorder="1" applyProtection="1"/>
    <xf numFmtId="0" fontId="17" fillId="18" borderId="69" xfId="0" applyFont="1" applyFill="1" applyBorder="1" applyAlignment="1" applyProtection="1">
      <alignment horizontal="center" vertical="center"/>
    </xf>
    <xf numFmtId="0" fontId="17" fillId="18" borderId="49" xfId="0" applyFont="1" applyFill="1" applyBorder="1" applyAlignment="1" applyProtection="1">
      <alignment horizontal="center" vertical="center"/>
    </xf>
    <xf numFmtId="0" fontId="9" fillId="0" borderId="17" xfId="0" applyFont="1" applyBorder="1" applyAlignment="1" applyProtection="1">
      <alignment horizontal="center"/>
      <protection locked="0"/>
    </xf>
    <xf numFmtId="0" fontId="9" fillId="0" borderId="19" xfId="0" applyFont="1" applyBorder="1" applyAlignment="1" applyProtection="1">
      <alignment horizontal="center"/>
      <protection locked="0"/>
    </xf>
    <xf numFmtId="1" fontId="17" fillId="18" borderId="69" xfId="0" applyNumberFormat="1" applyFont="1" applyFill="1" applyBorder="1" applyAlignment="1" applyProtection="1">
      <alignment horizontal="center"/>
      <protection locked="0"/>
    </xf>
    <xf numFmtId="1" fontId="17" fillId="18" borderId="49" xfId="0" applyNumberFormat="1" applyFont="1" applyFill="1" applyBorder="1" applyAlignment="1" applyProtection="1">
      <alignment horizontal="center"/>
      <protection locked="0"/>
    </xf>
    <xf numFmtId="0" fontId="17" fillId="18" borderId="69" xfId="0" applyFont="1" applyFill="1" applyBorder="1" applyAlignment="1" applyProtection="1">
      <alignment horizontal="center"/>
      <protection locked="0"/>
    </xf>
    <xf numFmtId="0" fontId="17" fillId="18" borderId="49" xfId="0" applyFont="1" applyFill="1" applyBorder="1" applyAlignment="1" applyProtection="1">
      <alignment horizontal="center"/>
      <protection locked="0"/>
    </xf>
    <xf numFmtId="0" fontId="28" fillId="3" borderId="47" xfId="0" applyFont="1" applyFill="1" applyBorder="1" applyAlignment="1" applyProtection="1">
      <alignment horizontal="center" vertical="center"/>
      <protection locked="0"/>
    </xf>
    <xf numFmtId="0" fontId="28" fillId="3" borderId="26" xfId="0" applyFont="1" applyFill="1" applyBorder="1" applyAlignment="1" applyProtection="1">
      <alignment horizontal="center" vertical="center"/>
      <protection locked="0"/>
    </xf>
    <xf numFmtId="0" fontId="26" fillId="0" borderId="0" xfId="0" applyFont="1" applyBorder="1" applyAlignment="1" applyProtection="1">
      <alignment horizontal="center" wrapText="1"/>
    </xf>
    <xf numFmtId="164" fontId="12" fillId="0" borderId="22" xfId="1" applyFont="1" applyFill="1" applyBorder="1" applyAlignment="1" applyProtection="1">
      <alignment horizontal="center" vertical="center"/>
    </xf>
    <xf numFmtId="0" fontId="17" fillId="0" borderId="0" xfId="0" applyFont="1" applyBorder="1" applyAlignment="1" applyProtection="1">
      <alignment horizontal="center" vertical="center"/>
    </xf>
    <xf numFmtId="0" fontId="21" fillId="11" borderId="69" xfId="0" applyFont="1" applyFill="1" applyBorder="1" applyAlignment="1" applyProtection="1">
      <alignment horizontal="left" vertical="center"/>
    </xf>
    <xf numFmtId="0" fontId="21" fillId="11" borderId="49" xfId="0" applyFont="1" applyFill="1" applyBorder="1" applyAlignment="1" applyProtection="1">
      <alignment horizontal="left" vertical="center"/>
    </xf>
    <xf numFmtId="0" fontId="17" fillId="0" borderId="0" xfId="0" applyFont="1" applyBorder="1" applyAlignment="1" applyProtection="1">
      <alignment horizontal="center" vertical="center" wrapText="1"/>
    </xf>
    <xf numFmtId="0" fontId="9" fillId="0" borderId="68" xfId="0" applyFont="1" applyBorder="1" applyAlignment="1" applyProtection="1">
      <alignment horizontal="center" wrapText="1"/>
      <protection locked="0"/>
    </xf>
    <xf numFmtId="0" fontId="11" fillId="0" borderId="69" xfId="0" applyFont="1" applyFill="1" applyBorder="1" applyAlignment="1" applyProtection="1">
      <alignment horizontal="center" vertical="center" wrapText="1"/>
      <protection locked="0"/>
    </xf>
    <xf numFmtId="0" fontId="11" fillId="0" borderId="70" xfId="0" applyFont="1" applyFill="1" applyBorder="1" applyAlignment="1" applyProtection="1">
      <alignment horizontal="center" vertical="center" wrapText="1"/>
      <protection locked="0"/>
    </xf>
    <xf numFmtId="0" fontId="11" fillId="0" borderId="49" xfId="0" applyFont="1" applyFill="1" applyBorder="1" applyAlignment="1" applyProtection="1">
      <alignment horizontal="center" vertical="center" wrapText="1"/>
      <protection locked="0"/>
    </xf>
    <xf numFmtId="0" fontId="12" fillId="0" borderId="69" xfId="0" applyFont="1" applyBorder="1" applyAlignment="1" applyProtection="1">
      <alignment horizontal="center" vertical="center" wrapText="1"/>
      <protection locked="0"/>
    </xf>
    <xf numFmtId="0" fontId="12" fillId="0" borderId="70" xfId="0" applyFont="1" applyBorder="1" applyAlignment="1" applyProtection="1">
      <alignment horizontal="center" vertical="center" wrapText="1"/>
      <protection locked="0"/>
    </xf>
    <xf numFmtId="0" fontId="12" fillId="0" borderId="49" xfId="0" applyFont="1" applyBorder="1" applyAlignment="1" applyProtection="1">
      <alignment horizontal="center" vertical="center" wrapText="1"/>
      <protection locked="0"/>
    </xf>
    <xf numFmtId="0" fontId="12" fillId="0" borderId="22" xfId="0" applyFont="1" applyBorder="1" applyAlignment="1" applyProtection="1">
      <alignment horizontal="center" vertical="center"/>
      <protection locked="0"/>
    </xf>
    <xf numFmtId="0" fontId="42" fillId="5" borderId="62" xfId="7" applyFont="1" applyFill="1" applyBorder="1" applyAlignment="1">
      <alignment horizontal="center" vertical="center"/>
    </xf>
    <xf numFmtId="0" fontId="42" fillId="5" borderId="68" xfId="7" applyFont="1" applyFill="1" applyBorder="1" applyAlignment="1">
      <alignment horizontal="center" vertical="center"/>
    </xf>
    <xf numFmtId="0" fontId="28" fillId="16" borderId="22" xfId="0" applyFont="1" applyFill="1" applyBorder="1" applyAlignment="1">
      <alignment horizontal="center" vertical="center" wrapText="1"/>
    </xf>
    <xf numFmtId="0" fontId="11" fillId="16" borderId="69" xfId="0" applyFont="1" applyFill="1" applyBorder="1" applyAlignment="1" applyProtection="1">
      <alignment horizontal="center" vertical="center"/>
    </xf>
    <xf numFmtId="0" fontId="11" fillId="16" borderId="70" xfId="0" applyFont="1" applyFill="1" applyBorder="1" applyAlignment="1" applyProtection="1">
      <alignment horizontal="center" vertical="center"/>
    </xf>
    <xf numFmtId="0" fontId="11" fillId="16" borderId="49" xfId="0" applyFont="1" applyFill="1" applyBorder="1" applyAlignment="1" applyProtection="1">
      <alignment horizontal="center" vertical="center"/>
    </xf>
    <xf numFmtId="0" fontId="42" fillId="0" borderId="62" xfId="0" applyFont="1" applyBorder="1" applyAlignment="1">
      <alignment horizontal="center"/>
    </xf>
    <xf numFmtId="0" fontId="42" fillId="0" borderId="68" xfId="0" applyFont="1" applyBorder="1" applyAlignment="1">
      <alignment horizontal="center"/>
    </xf>
    <xf numFmtId="0" fontId="42" fillId="0" borderId="45" xfId="0" applyFont="1" applyBorder="1" applyAlignment="1">
      <alignment horizontal="center"/>
    </xf>
    <xf numFmtId="0" fontId="43" fillId="0" borderId="22" xfId="0" applyFont="1" applyBorder="1" applyAlignment="1">
      <alignment horizontal="center" vertical="center"/>
    </xf>
    <xf numFmtId="0" fontId="0" fillId="0" borderId="22" xfId="0" applyBorder="1" applyAlignment="1"/>
    <xf numFmtId="0" fontId="11" fillId="0" borderId="22" xfId="0" applyFont="1" applyBorder="1" applyAlignment="1">
      <alignment horizontal="center" vertical="center" wrapText="1"/>
    </xf>
    <xf numFmtId="0" fontId="11" fillId="0" borderId="22" xfId="0" applyFont="1" applyBorder="1" applyAlignment="1">
      <alignment wrapText="1"/>
    </xf>
    <xf numFmtId="0" fontId="19" fillId="0" borderId="22" xfId="0" applyFont="1" applyBorder="1" applyAlignment="1">
      <alignment horizontal="center" vertical="center" wrapText="1"/>
    </xf>
    <xf numFmtId="0" fontId="42" fillId="0" borderId="22" xfId="0" applyFont="1" applyBorder="1" applyAlignment="1">
      <alignment horizontal="center"/>
    </xf>
    <xf numFmtId="0" fontId="42" fillId="0" borderId="46" xfId="0" applyFont="1" applyBorder="1" applyAlignment="1">
      <alignment horizontal="center"/>
    </xf>
    <xf numFmtId="0" fontId="42" fillId="0" borderId="3" xfId="0" applyFont="1" applyBorder="1" applyAlignment="1">
      <alignment horizontal="center"/>
    </xf>
    <xf numFmtId="0" fontId="41" fillId="0" borderId="0" xfId="0" applyFont="1" applyBorder="1" applyAlignment="1">
      <alignment horizontal="center" vertical="center" wrapText="1"/>
    </xf>
    <xf numFmtId="0" fontId="43" fillId="0" borderId="0" xfId="0" applyFont="1" applyBorder="1" applyAlignment="1">
      <alignment horizontal="center" vertical="center" wrapText="1"/>
    </xf>
    <xf numFmtId="0" fontId="43" fillId="0" borderId="70" xfId="0" applyFont="1" applyBorder="1" applyAlignment="1">
      <alignment horizontal="center" vertical="center" wrapText="1"/>
    </xf>
    <xf numFmtId="0" fontId="43" fillId="0" borderId="49" xfId="0" applyFont="1" applyBorder="1" applyAlignment="1">
      <alignment horizontal="center" vertical="center" wrapText="1"/>
    </xf>
    <xf numFmtId="0" fontId="41" fillId="0" borderId="22" xfId="0" applyFont="1" applyBorder="1" applyAlignment="1">
      <alignment horizontal="center" vertical="center" wrapText="1"/>
    </xf>
    <xf numFmtId="0" fontId="43" fillId="0" borderId="62" xfId="0" applyFont="1" applyBorder="1" applyAlignment="1">
      <alignment horizontal="center" vertical="center" wrapText="1"/>
    </xf>
    <xf numFmtId="0" fontId="43" fillId="0" borderId="68" xfId="0" applyFont="1" applyBorder="1" applyAlignment="1">
      <alignment horizontal="center" vertical="center" wrapText="1"/>
    </xf>
    <xf numFmtId="0" fontId="43" fillId="0" borderId="45" xfId="0" applyFont="1" applyBorder="1" applyAlignment="1">
      <alignment horizontal="center" vertical="center" wrapText="1"/>
    </xf>
    <xf numFmtId="0" fontId="37" fillId="0" borderId="69" xfId="0" applyFont="1" applyBorder="1" applyAlignment="1">
      <alignment horizontal="center" vertical="center"/>
    </xf>
    <xf numFmtId="0" fontId="37" fillId="0" borderId="70" xfId="0" applyFont="1" applyBorder="1" applyAlignment="1">
      <alignment horizontal="center" vertical="center"/>
    </xf>
    <xf numFmtId="0" fontId="37" fillId="0" borderId="49" xfId="0" applyFont="1" applyBorder="1" applyAlignment="1">
      <alignment horizontal="center" vertical="center"/>
    </xf>
    <xf numFmtId="0" fontId="38" fillId="0" borderId="69" xfId="0" applyFont="1" applyBorder="1" applyAlignment="1">
      <alignment horizontal="center"/>
    </xf>
    <xf numFmtId="0" fontId="38" fillId="0" borderId="70" xfId="0" applyFont="1" applyBorder="1" applyAlignment="1">
      <alignment horizontal="center"/>
    </xf>
    <xf numFmtId="0" fontId="38" fillId="0" borderId="49" xfId="0" applyFont="1" applyBorder="1" applyAlignment="1">
      <alignment horizontal="center"/>
    </xf>
    <xf numFmtId="0" fontId="38" fillId="0" borderId="62" xfId="0" applyFont="1" applyBorder="1" applyAlignment="1">
      <alignment horizontal="center"/>
    </xf>
    <xf numFmtId="0" fontId="38" fillId="0" borderId="68" xfId="0" applyFont="1" applyBorder="1" applyAlignment="1">
      <alignment horizontal="center"/>
    </xf>
    <xf numFmtId="0" fontId="38" fillId="0" borderId="45" xfId="0" applyFont="1" applyBorder="1" applyAlignment="1">
      <alignment horizontal="center"/>
    </xf>
    <xf numFmtId="0" fontId="42" fillId="0" borderId="0" xfId="0" applyFont="1" applyBorder="1" applyAlignment="1">
      <alignment horizontal="center"/>
    </xf>
    <xf numFmtId="0" fontId="42" fillId="0" borderId="22" xfId="0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 wrapText="1"/>
    </xf>
    <xf numFmtId="0" fontId="37" fillId="0" borderId="25" xfId="0" applyFont="1" applyBorder="1" applyAlignment="1">
      <alignment horizontal="center" vertical="center" wrapText="1"/>
    </xf>
    <xf numFmtId="0" fontId="40" fillId="0" borderId="20" xfId="0" applyFont="1" applyBorder="1" applyAlignment="1">
      <alignment horizontal="center" vertical="center"/>
    </xf>
    <xf numFmtId="0" fontId="40" fillId="0" borderId="16" xfId="0" applyFont="1" applyBorder="1" applyAlignment="1">
      <alignment horizontal="center" vertical="center"/>
    </xf>
    <xf numFmtId="0" fontId="40" fillId="0" borderId="54" xfId="0" applyFont="1" applyBorder="1" applyAlignment="1">
      <alignment horizontal="center" vertical="center"/>
    </xf>
    <xf numFmtId="0" fontId="37" fillId="0" borderId="54" xfId="0" applyFont="1" applyBorder="1" applyAlignment="1">
      <alignment horizontal="center" vertical="center" wrapText="1"/>
    </xf>
    <xf numFmtId="0" fontId="37" fillId="0" borderId="48" xfId="0" applyFont="1" applyBorder="1" applyAlignment="1">
      <alignment horizontal="center" vertical="center" wrapText="1"/>
    </xf>
    <xf numFmtId="0" fontId="9" fillId="0" borderId="0" xfId="0" applyFont="1" applyAlignme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right"/>
    </xf>
    <xf numFmtId="0" fontId="11" fillId="0" borderId="22" xfId="0" applyFont="1" applyBorder="1" applyAlignment="1" applyProtection="1">
      <alignment horizontal="center" vertical="center" wrapText="1"/>
      <protection locked="0"/>
    </xf>
    <xf numFmtId="0" fontId="17" fillId="5" borderId="52" xfId="0" applyFont="1" applyFill="1" applyBorder="1" applyAlignment="1">
      <alignment horizontal="left" vertical="top" wrapText="1"/>
    </xf>
    <xf numFmtId="0" fontId="0" fillId="5" borderId="14" xfId="0" applyFill="1" applyBorder="1"/>
    <xf numFmtId="0" fontId="0" fillId="5" borderId="4" xfId="0" applyFill="1" applyBorder="1"/>
    <xf numFmtId="0" fontId="17" fillId="5" borderId="22" xfId="0" applyFont="1" applyFill="1" applyBorder="1" applyAlignment="1">
      <alignment horizontal="center" vertical="center" wrapText="1"/>
    </xf>
    <xf numFmtId="0" fontId="0" fillId="5" borderId="22" xfId="0" applyFill="1" applyBorder="1" applyAlignment="1">
      <alignment vertical="center"/>
    </xf>
    <xf numFmtId="49" fontId="16" fillId="5" borderId="52" xfId="0" applyNumberFormat="1" applyFont="1" applyFill="1" applyBorder="1" applyAlignment="1">
      <alignment horizontal="center" vertical="center"/>
    </xf>
    <xf numFmtId="49" fontId="16" fillId="5" borderId="14" xfId="0" applyNumberFormat="1" applyFont="1" applyFill="1" applyBorder="1" applyAlignment="1">
      <alignment horizontal="center" vertical="center"/>
    </xf>
    <xf numFmtId="49" fontId="16" fillId="5" borderId="4" xfId="0" applyNumberFormat="1" applyFont="1" applyFill="1" applyBorder="1" applyAlignment="1">
      <alignment horizontal="center" vertical="center"/>
    </xf>
    <xf numFmtId="0" fontId="17" fillId="5" borderId="52" xfId="0" applyFont="1" applyFill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17" fillId="5" borderId="4" xfId="0" applyFont="1" applyFill="1" applyBorder="1" applyAlignment="1">
      <alignment horizontal="left" vertical="top" wrapText="1"/>
    </xf>
    <xf numFmtId="0" fontId="17" fillId="0" borderId="52" xfId="0" applyFont="1" applyFill="1" applyBorder="1" applyAlignment="1">
      <alignment horizontal="center" vertical="top" wrapText="1"/>
    </xf>
    <xf numFmtId="0" fontId="0" fillId="0" borderId="14" xfId="0" applyBorder="1" applyAlignment="1"/>
    <xf numFmtId="0" fontId="0" fillId="0" borderId="4" xfId="0" applyBorder="1" applyAlignment="1"/>
    <xf numFmtId="0" fontId="17" fillId="5" borderId="14" xfId="0" applyFont="1" applyFill="1" applyBorder="1" applyAlignment="1">
      <alignment horizontal="left" vertical="top" wrapText="1"/>
    </xf>
    <xf numFmtId="0" fontId="17" fillId="5" borderId="14" xfId="0" applyFont="1" applyFill="1" applyBorder="1" applyAlignment="1">
      <alignment horizontal="center" vertical="top" wrapText="1"/>
    </xf>
    <xf numFmtId="0" fontId="17" fillId="5" borderId="4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left" vertical="top" wrapText="1"/>
    </xf>
    <xf numFmtId="0" fontId="78" fillId="0" borderId="0" xfId="0" applyFont="1" applyAlignment="1">
      <alignment horizontal="left"/>
    </xf>
    <xf numFmtId="0" fontId="50" fillId="16" borderId="52" xfId="0" applyFont="1" applyFill="1" applyBorder="1" applyAlignment="1">
      <alignment horizontal="left" vertical="top" wrapText="1"/>
    </xf>
    <xf numFmtId="0" fontId="50" fillId="16" borderId="14" xfId="0" applyFont="1" applyFill="1" applyBorder="1" applyAlignment="1">
      <alignment horizontal="left" vertical="top" wrapText="1"/>
    </xf>
    <xf numFmtId="0" fontId="50" fillId="16" borderId="4" xfId="0" applyFont="1" applyFill="1" applyBorder="1" applyAlignment="1">
      <alignment horizontal="left" vertical="top" wrapText="1"/>
    </xf>
    <xf numFmtId="0" fontId="28" fillId="5" borderId="52" xfId="0" applyFont="1" applyFill="1" applyBorder="1" applyAlignment="1">
      <alignment horizontal="center" vertical="center" wrapText="1"/>
    </xf>
    <xf numFmtId="0" fontId="0" fillId="5" borderId="14" xfId="0" applyFill="1" applyBorder="1" applyAlignment="1">
      <alignment vertical="center"/>
    </xf>
    <xf numFmtId="0" fontId="0" fillId="5" borderId="4" xfId="0" applyFill="1" applyBorder="1" applyAlignment="1">
      <alignment vertical="center"/>
    </xf>
    <xf numFmtId="0" fontId="28" fillId="5" borderId="2" xfId="0" applyFont="1" applyFill="1" applyBorder="1" applyAlignment="1">
      <alignment horizontal="left" vertical="center" wrapText="1"/>
    </xf>
    <xf numFmtId="0" fontId="0" fillId="5" borderId="3" xfId="0" applyFill="1" applyBorder="1" applyAlignment="1">
      <alignment vertical="center"/>
    </xf>
    <xf numFmtId="0" fontId="0" fillId="5" borderId="45" xfId="0" applyFill="1" applyBorder="1" applyAlignment="1">
      <alignment vertical="center"/>
    </xf>
    <xf numFmtId="0" fontId="28" fillId="5" borderId="2" xfId="0" applyFont="1" applyFill="1" applyBorder="1" applyAlignment="1">
      <alignment horizontal="center" vertical="center" wrapText="1"/>
    </xf>
    <xf numFmtId="0" fontId="28" fillId="5" borderId="3" xfId="0" applyFont="1" applyFill="1" applyBorder="1" applyAlignment="1">
      <alignment horizontal="center" vertical="center" wrapText="1"/>
    </xf>
    <xf numFmtId="0" fontId="28" fillId="5" borderId="45" xfId="0" applyFont="1" applyFill="1" applyBorder="1" applyAlignment="1">
      <alignment horizontal="center" vertical="center" wrapText="1"/>
    </xf>
    <xf numFmtId="49" fontId="50" fillId="16" borderId="52" xfId="0" applyNumberFormat="1" applyFont="1" applyFill="1" applyBorder="1" applyAlignment="1">
      <alignment horizontal="center" vertical="top" wrapText="1"/>
    </xf>
    <xf numFmtId="49" fontId="50" fillId="16" borderId="14" xfId="0" applyNumberFormat="1" applyFont="1" applyFill="1" applyBorder="1" applyAlignment="1">
      <alignment horizontal="center" vertical="top" wrapText="1"/>
    </xf>
    <xf numFmtId="49" fontId="50" fillId="16" borderId="4" xfId="0" applyNumberFormat="1" applyFont="1" applyFill="1" applyBorder="1" applyAlignment="1">
      <alignment horizontal="center" vertical="top" wrapText="1"/>
    </xf>
    <xf numFmtId="0" fontId="28" fillId="5" borderId="22" xfId="0" applyFont="1" applyFill="1" applyBorder="1" applyAlignment="1">
      <alignment horizontal="center" vertical="center" wrapText="1"/>
    </xf>
    <xf numFmtId="0" fontId="0" fillId="5" borderId="22" xfId="0" applyFill="1" applyBorder="1" applyAlignment="1">
      <alignment horizontal="center" vertical="center"/>
    </xf>
    <xf numFmtId="0" fontId="16" fillId="16" borderId="78" xfId="0" applyFont="1" applyFill="1" applyBorder="1" applyAlignment="1">
      <alignment horizontal="left" vertical="top" wrapText="1"/>
    </xf>
    <xf numFmtId="0" fontId="16" fillId="16" borderId="0" xfId="0" applyFont="1" applyFill="1" applyBorder="1" applyAlignment="1">
      <alignment horizontal="left" vertical="top" wrapText="1"/>
    </xf>
    <xf numFmtId="0" fontId="9" fillId="5" borderId="0" xfId="9" applyFont="1" applyFill="1" applyAlignment="1">
      <alignment horizontal="center"/>
    </xf>
    <xf numFmtId="0" fontId="0" fillId="0" borderId="0" xfId="0" applyAlignment="1">
      <alignment horizontal="center"/>
    </xf>
    <xf numFmtId="0" fontId="11" fillId="5" borderId="0" xfId="9" applyFont="1" applyFill="1" applyAlignment="1">
      <alignment horizontal="center"/>
    </xf>
    <xf numFmtId="0" fontId="33" fillId="0" borderId="0" xfId="0" applyFont="1" applyAlignment="1"/>
    <xf numFmtId="0" fontId="28" fillId="5" borderId="14" xfId="0" applyFont="1" applyFill="1" applyBorder="1" applyAlignment="1">
      <alignment horizontal="center" vertical="center" wrapText="1"/>
    </xf>
    <xf numFmtId="0" fontId="28" fillId="5" borderId="4" xfId="0" applyFont="1" applyFill="1" applyBorder="1" applyAlignment="1">
      <alignment horizontal="center" vertical="center" wrapText="1"/>
    </xf>
    <xf numFmtId="0" fontId="28" fillId="5" borderId="52" xfId="0" applyFont="1" applyFill="1" applyBorder="1" applyAlignment="1">
      <alignment horizontal="left" vertical="center" wrapText="1"/>
    </xf>
    <xf numFmtId="0" fontId="28" fillId="5" borderId="14" xfId="0" applyFont="1" applyFill="1" applyBorder="1" applyAlignment="1">
      <alignment horizontal="left" vertical="center" wrapText="1"/>
    </xf>
    <xf numFmtId="0" fontId="28" fillId="5" borderId="4" xfId="0" applyFont="1" applyFill="1" applyBorder="1" applyAlignment="1">
      <alignment horizontal="left" vertical="center" wrapText="1"/>
    </xf>
    <xf numFmtId="0" fontId="17" fillId="0" borderId="0" xfId="0" applyFont="1" applyFill="1" applyBorder="1" applyAlignment="1">
      <alignment horizontal="left" vertical="top" wrapText="1"/>
    </xf>
    <xf numFmtId="0" fontId="0" fillId="0" borderId="0" xfId="0" applyAlignment="1">
      <alignment horizontal="left"/>
    </xf>
    <xf numFmtId="49" fontId="49" fillId="16" borderId="69" xfId="0" applyNumberFormat="1" applyFont="1" applyFill="1" applyBorder="1" applyAlignment="1">
      <alignment horizontal="center" vertical="center" wrapText="1"/>
    </xf>
    <xf numFmtId="49" fontId="49" fillId="16" borderId="70" xfId="0" applyNumberFormat="1" applyFont="1" applyFill="1" applyBorder="1" applyAlignment="1">
      <alignment horizontal="center" vertical="center" wrapText="1"/>
    </xf>
    <xf numFmtId="49" fontId="49" fillId="16" borderId="49" xfId="0" applyNumberFormat="1" applyFont="1" applyFill="1" applyBorder="1" applyAlignment="1">
      <alignment horizontal="center" vertical="center" wrapText="1"/>
    </xf>
    <xf numFmtId="0" fontId="17" fillId="0" borderId="0" xfId="0" applyFont="1" applyBorder="1" applyAlignment="1">
      <alignment vertical="top" wrapText="1"/>
    </xf>
    <xf numFmtId="0" fontId="36" fillId="0" borderId="0" xfId="0" applyFont="1" applyBorder="1" applyAlignment="1">
      <alignment vertical="top" wrapText="1"/>
    </xf>
    <xf numFmtId="49" fontId="49" fillId="16" borderId="69" xfId="0" applyNumberFormat="1" applyFont="1" applyFill="1" applyBorder="1" applyAlignment="1">
      <alignment horizontal="center" vertical="top" wrapText="1"/>
    </xf>
    <xf numFmtId="49" fontId="49" fillId="16" borderId="70" xfId="0" applyNumberFormat="1" applyFont="1" applyFill="1" applyBorder="1" applyAlignment="1">
      <alignment horizontal="center" vertical="top" wrapText="1"/>
    </xf>
    <xf numFmtId="49" fontId="49" fillId="16" borderId="49" xfId="0" applyNumberFormat="1" applyFont="1" applyFill="1" applyBorder="1" applyAlignment="1">
      <alignment horizontal="center" vertical="top" wrapText="1"/>
    </xf>
    <xf numFmtId="0" fontId="50" fillId="16" borderId="52" xfId="0" applyFont="1" applyFill="1" applyBorder="1" applyAlignment="1">
      <alignment vertical="top" wrapText="1"/>
    </xf>
    <xf numFmtId="0" fontId="50" fillId="16" borderId="4" xfId="0" applyFont="1" applyFill="1" applyBorder="1" applyAlignment="1">
      <alignment vertical="top" wrapText="1"/>
    </xf>
    <xf numFmtId="0" fontId="50" fillId="16" borderId="14" xfId="0" applyFont="1" applyFill="1" applyBorder="1" applyAlignment="1">
      <alignment vertical="top" wrapText="1"/>
    </xf>
    <xf numFmtId="49" fontId="50" fillId="16" borderId="22" xfId="0" applyNumberFormat="1" applyFont="1" applyFill="1" applyBorder="1" applyAlignment="1">
      <alignment horizontal="center" vertical="top" wrapText="1"/>
    </xf>
    <xf numFmtId="0" fontId="50" fillId="16" borderId="22" xfId="0" applyFont="1" applyFill="1" applyBorder="1" applyAlignment="1">
      <alignment horizontal="left" vertical="top" wrapText="1"/>
    </xf>
    <xf numFmtId="0" fontId="50" fillId="16" borderId="22" xfId="0" applyFont="1" applyFill="1" applyBorder="1" applyAlignment="1">
      <alignment horizontal="center" vertical="top" wrapText="1"/>
    </xf>
    <xf numFmtId="49" fontId="52" fillId="16" borderId="0" xfId="0" applyNumberFormat="1" applyFont="1" applyFill="1" applyAlignment="1">
      <alignment horizontal="center" vertical="center"/>
    </xf>
    <xf numFmtId="49" fontId="52" fillId="16" borderId="0" xfId="0" applyNumberFormat="1" applyFont="1" applyFill="1" applyBorder="1" applyAlignment="1">
      <alignment horizontal="center" vertical="center"/>
    </xf>
    <xf numFmtId="0" fontId="50" fillId="16" borderId="52" xfId="0" applyFont="1" applyFill="1" applyBorder="1" applyAlignment="1">
      <alignment horizontal="center" vertical="top" wrapText="1"/>
    </xf>
    <xf numFmtId="0" fontId="50" fillId="16" borderId="4" xfId="0" applyFont="1" applyFill="1" applyBorder="1" applyAlignment="1">
      <alignment horizontal="center" vertical="top" wrapText="1"/>
    </xf>
    <xf numFmtId="0" fontId="9" fillId="16" borderId="0" xfId="0" applyFont="1" applyFill="1" applyAlignment="1">
      <alignment horizontal="center" vertical="top" wrapText="1"/>
    </xf>
    <xf numFmtId="0" fontId="9" fillId="16" borderId="52" xfId="0" applyFont="1" applyFill="1" applyBorder="1" applyAlignment="1">
      <alignment horizontal="center" vertical="center" wrapText="1"/>
    </xf>
    <xf numFmtId="0" fontId="9" fillId="16" borderId="4" xfId="0" applyFont="1" applyFill="1" applyBorder="1" applyAlignment="1">
      <alignment horizontal="center" vertical="center" wrapText="1"/>
    </xf>
    <xf numFmtId="0" fontId="9" fillId="0" borderId="38" xfId="0" applyFont="1" applyBorder="1" applyAlignment="1">
      <alignment horizontal="center" vertical="center" wrapText="1"/>
    </xf>
    <xf numFmtId="0" fontId="9" fillId="0" borderId="72" xfId="0" applyFont="1" applyBorder="1" applyAlignment="1">
      <alignment horizontal="center" vertical="center" wrapText="1"/>
    </xf>
    <xf numFmtId="0" fontId="9" fillId="0" borderId="39" xfId="0" applyFont="1" applyBorder="1" applyAlignment="1">
      <alignment horizontal="center" vertical="center" wrapText="1"/>
    </xf>
    <xf numFmtId="0" fontId="9" fillId="0" borderId="77" xfId="0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9" fillId="0" borderId="75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52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9" fillId="16" borderId="22" xfId="0" applyFont="1" applyFill="1" applyBorder="1" applyAlignment="1">
      <alignment horizontal="center" vertical="center" wrapText="1"/>
    </xf>
    <xf numFmtId="0" fontId="9" fillId="16" borderId="0" xfId="0" applyFont="1" applyFill="1" applyBorder="1" applyAlignment="1">
      <alignment horizontal="left"/>
    </xf>
    <xf numFmtId="0" fontId="9" fillId="16" borderId="22" xfId="0" applyFont="1" applyFill="1" applyBorder="1" applyAlignment="1">
      <alignment horizontal="center" vertical="top" wrapText="1"/>
    </xf>
    <xf numFmtId="0" fontId="9" fillId="16" borderId="14" xfId="0" applyFont="1" applyFill="1" applyBorder="1" applyAlignment="1">
      <alignment horizontal="center" vertical="center" wrapText="1"/>
    </xf>
    <xf numFmtId="0" fontId="61" fillId="0" borderId="69" xfId="16" applyFont="1" applyBorder="1" applyAlignment="1">
      <alignment horizontal="center" vertical="center" wrapText="1"/>
    </xf>
    <xf numFmtId="0" fontId="62" fillId="0" borderId="70" xfId="16" applyFont="1" applyBorder="1" applyAlignment="1">
      <alignment horizontal="center" vertical="center" wrapText="1"/>
    </xf>
    <xf numFmtId="0" fontId="62" fillId="0" borderId="49" xfId="16" applyFont="1" applyBorder="1" applyAlignment="1">
      <alignment horizontal="center" vertical="center" wrapText="1"/>
    </xf>
    <xf numFmtId="0" fontId="63" fillId="0" borderId="69" xfId="16" applyFont="1" applyBorder="1" applyAlignment="1">
      <alignment horizontal="center" vertical="center" wrapText="1"/>
    </xf>
    <xf numFmtId="0" fontId="118" fillId="0" borderId="70" xfId="16" applyFont="1" applyBorder="1" applyAlignment="1">
      <alignment horizontal="center" vertical="center" wrapText="1"/>
    </xf>
    <xf numFmtId="0" fontId="118" fillId="0" borderId="49" xfId="16" applyFont="1" applyBorder="1" applyAlignment="1">
      <alignment horizontal="center" vertical="center" wrapText="1"/>
    </xf>
    <xf numFmtId="0" fontId="63" fillId="0" borderId="70" xfId="16" applyFont="1" applyBorder="1" applyAlignment="1">
      <alignment horizontal="center" vertical="center" wrapText="1"/>
    </xf>
    <xf numFmtId="0" fontId="63" fillId="0" borderId="49" xfId="16" applyFont="1" applyBorder="1" applyAlignment="1">
      <alignment horizontal="center" vertical="center" wrapText="1"/>
    </xf>
    <xf numFmtId="0" fontId="58" fillId="0" borderId="0" xfId="16" applyFont="1" applyAlignment="1">
      <alignment horizontal="center" vertical="center" wrapText="1"/>
    </xf>
    <xf numFmtId="0" fontId="58" fillId="0" borderId="52" xfId="16" applyFont="1" applyBorder="1" applyAlignment="1">
      <alignment horizontal="center" vertical="center" wrapText="1"/>
    </xf>
    <xf numFmtId="0" fontId="58" fillId="0" borderId="4" xfId="16" applyFont="1" applyBorder="1" applyAlignment="1">
      <alignment horizontal="center" vertical="center" wrapText="1"/>
    </xf>
    <xf numFmtId="0" fontId="59" fillId="0" borderId="68" xfId="16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46" xfId="0" applyFont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 wrapText="1"/>
    </xf>
    <xf numFmtId="0" fontId="31" fillId="0" borderId="22" xfId="11" applyFont="1" applyFill="1" applyBorder="1" applyAlignment="1" applyProtection="1">
      <alignment horizontal="center" vertical="center"/>
      <protection locked="0"/>
    </xf>
    <xf numFmtId="0" fontId="26" fillId="0" borderId="22" xfId="11" applyFont="1" applyFill="1" applyBorder="1" applyAlignment="1" applyProtection="1">
      <alignment horizontal="center" vertical="center"/>
      <protection locked="0"/>
    </xf>
    <xf numFmtId="0" fontId="26" fillId="14" borderId="22" xfId="11" applyFont="1" applyFill="1" applyBorder="1" applyAlignment="1" applyProtection="1">
      <alignment horizontal="center" vertical="center" wrapText="1"/>
    </xf>
    <xf numFmtId="0" fontId="31" fillId="0" borderId="22" xfId="11" applyFont="1" applyBorder="1" applyAlignment="1" applyProtection="1">
      <alignment horizontal="center" vertical="center"/>
    </xf>
    <xf numFmtId="0" fontId="120" fillId="0" borderId="22" xfId="13" applyFont="1" applyFill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14" fontId="12" fillId="0" borderId="22" xfId="11" applyNumberFormat="1" applyFont="1" applyBorder="1" applyAlignment="1" applyProtection="1">
      <alignment horizontal="center" vertical="center" textRotation="1"/>
      <protection locked="0"/>
    </xf>
    <xf numFmtId="0" fontId="12" fillId="0" borderId="22" xfId="11" applyNumberFormat="1" applyFont="1" applyBorder="1" applyAlignment="1" applyProtection="1">
      <alignment horizontal="center" vertical="center" textRotation="1"/>
      <protection locked="0"/>
    </xf>
    <xf numFmtId="0" fontId="31" fillId="0" borderId="52" xfId="11" applyFont="1" applyBorder="1" applyAlignment="1" applyProtection="1">
      <alignment horizontal="center" vertical="center"/>
      <protection locked="0"/>
    </xf>
    <xf numFmtId="0" fontId="31" fillId="0" borderId="14" xfId="11" applyFont="1" applyBorder="1" applyAlignment="1" applyProtection="1">
      <alignment horizontal="center" vertical="center"/>
      <protection locked="0"/>
    </xf>
    <xf numFmtId="0" fontId="31" fillId="0" borderId="4" xfId="11" applyFont="1" applyBorder="1" applyAlignment="1" applyProtection="1">
      <alignment horizontal="center" vertical="center"/>
      <protection locked="0"/>
    </xf>
    <xf numFmtId="0" fontId="31" fillId="0" borderId="22" xfId="11" applyFont="1" applyBorder="1" applyAlignment="1" applyProtection="1">
      <alignment horizontal="center" vertical="center"/>
      <protection locked="0"/>
    </xf>
    <xf numFmtId="0" fontId="26" fillId="14" borderId="22" xfId="11" applyFont="1" applyFill="1" applyBorder="1" applyAlignment="1" applyProtection="1">
      <alignment horizontal="center" vertical="center"/>
      <protection locked="0"/>
    </xf>
    <xf numFmtId="0" fontId="26" fillId="14" borderId="22" xfId="11" applyFont="1" applyFill="1" applyBorder="1" applyAlignment="1" applyProtection="1">
      <alignment horizontal="center" vertical="center" wrapText="1"/>
      <protection locked="0"/>
    </xf>
    <xf numFmtId="0" fontId="23" fillId="14" borderId="22" xfId="11" applyFont="1" applyFill="1" applyBorder="1" applyAlignment="1" applyProtection="1">
      <alignment horizontal="center" vertical="center"/>
      <protection locked="0"/>
    </xf>
  </cellXfs>
  <cellStyles count="19">
    <cellStyle name="40% - Акцент1" xfId="13" builtinId="31"/>
    <cellStyle name="Денежный" xfId="1" builtinId="4"/>
    <cellStyle name="Денежный 2" xfId="2"/>
    <cellStyle name="Денежный 2 2" xfId="8"/>
    <cellStyle name="Денежный 2 2 2" xfId="17"/>
    <cellStyle name="Обычный" xfId="0" builtinId="0"/>
    <cellStyle name="Обычный 2" xfId="3"/>
    <cellStyle name="Обычный 2 2" xfId="7"/>
    <cellStyle name="Обычный 2 2 2" xfId="18"/>
    <cellStyle name="Обычный 2 3" xfId="11"/>
    <cellStyle name="Обычный 3" xfId="10"/>
    <cellStyle name="Обычный 3 2" xfId="16"/>
    <cellStyle name="Обычный 4" xfId="4"/>
    <cellStyle name="Обычный 4 2" xfId="9"/>
    <cellStyle name="Обычный 5" xfId="15"/>
    <cellStyle name="Обычный 6" xfId="14"/>
    <cellStyle name="Обычный 7" xfId="12"/>
    <cellStyle name="Процентный" xfId="5" builtinId="5"/>
    <cellStyle name="Финансовый" xfId="6" builtinId="3"/>
  </cellStyles>
  <dxfs count="0"/>
  <tableStyles count="0" defaultTableStyle="TableStyleMedium9" defaultPivotStyle="PivotStyleLight16"/>
  <colors>
    <mruColors>
      <color rgb="FFCCFFFF"/>
      <color rgb="FF66FFFF"/>
      <color rgb="FF66FF99"/>
      <color rgb="FF0000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styles" Target="styles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4.xml"/><Relationship Id="rId15" Type="http://schemas.openxmlformats.org/officeDocument/2006/relationships/calcChain" Target="calcChain.xml"/><Relationship Id="rId10" Type="http://schemas.openxmlformats.org/officeDocument/2006/relationships/worksheet" Target="worksheets/sheet9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319672131147542"/>
          <c:y val="2.1943573667711692E-2"/>
          <c:w val="0.81454918032786849"/>
          <c:h val="0.72727272727272729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#REF!</c:f>
              <c:numCache>
                <c:formatCode>General</c:formatCode>
                <c:ptCount val="32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3">
                  <c:v>1</c:v>
                </c:pt>
                <c:pt idx="24">
                  <c:v>2</c:v>
                </c:pt>
                <c:pt idx="25">
                  <c:v>3</c:v>
                </c:pt>
                <c:pt idx="26">
                  <c:v>4</c:v>
                </c:pt>
                <c:pt idx="27">
                  <c:v>7</c:v>
                </c:pt>
                <c:pt idx="28">
                  <c:v>8</c:v>
                </c:pt>
                <c:pt idx="29">
                  <c:v>9</c:v>
                </c:pt>
                <c:pt idx="30">
                  <c:v>10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Наименование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9D67-479F-B077-F3DD6497566E}"/>
            </c:ext>
          </c:extLst>
        </c:ser>
        <c:ser>
          <c:idx val="1"/>
          <c:order val="1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9">
                  <c:v>0</c:v>
                </c:pt>
                <c:pt idx="21">
                  <c:v>0</c:v>
                </c:pt>
                <c:pt idx="31" formatCode="0.0">
                  <c:v>0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t, 0 C соды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9D67-479F-B077-F3DD6497566E}"/>
            </c:ext>
          </c:extLst>
        </c:ser>
        <c:ser>
          <c:idx val="2"/>
          <c:order val="2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9">
                  <c:v>0</c:v>
                </c:pt>
                <c:pt idx="21">
                  <c:v>0</c:v>
                </c:pt>
                <c:pt idx="31" formatCode="0.0">
                  <c:v>0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удлинение барабана, мм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9D67-479F-B077-F3DD6497566E}"/>
            </c:ext>
          </c:extLst>
        </c:ser>
        <c:ser>
          <c:idx val="3"/>
          <c:order val="3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9">
                  <c:v>0</c:v>
                </c:pt>
                <c:pt idx="21">
                  <c:v>0</c:v>
                </c:pt>
                <c:pt idx="31" formatCode="0.0">
                  <c:v>0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Вакуум мм.в.ст.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9D67-479F-B077-F3DD6497566E}"/>
            </c:ext>
          </c:extLst>
        </c:ser>
        <c:ser>
          <c:idx val="4"/>
          <c:order val="4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8" formatCode="0">
                  <c:v>0</c:v>
                </c:pt>
                <c:pt idx="19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 0 C  д.г./маз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9D67-479F-B077-F3DD6497566E}"/>
            </c:ext>
          </c:extLst>
        </c:ser>
        <c:ser>
          <c:idx val="5"/>
          <c:order val="5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8" formatCode="0">
                  <c:v>0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 0 C  д.г./газ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9D67-479F-B077-F3DD6497566E}"/>
            </c:ext>
          </c:extLst>
        </c:ser>
        <c:ser>
          <c:idx val="6"/>
          <c:order val="6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СО2 т.г. %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9D67-479F-B077-F3DD6497566E}"/>
            </c:ext>
          </c:extLst>
        </c:ser>
        <c:ser>
          <c:idx val="7"/>
          <c:order val="7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 0 C  возд. на горение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9D67-479F-B077-F3DD6497566E}"/>
            </c:ext>
          </c:extLst>
        </c:ser>
        <c:ser>
          <c:idx val="8"/>
          <c:order val="8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8" formatCode="0">
                  <c:v>0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расх. мазута кг/час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9D67-479F-B077-F3DD6497566E}"/>
            </c:ext>
          </c:extLst>
        </c:ser>
        <c:ser>
          <c:idx val="9"/>
          <c:order val="9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8" formatCode="0">
                  <c:v>0</c:v>
                </c:pt>
                <c:pt idx="21">
                  <c:v>0</c:v>
                </c:pt>
                <c:pt idx="23">
                  <c:v>1</c:v>
                </c:pt>
                <c:pt idx="24">
                  <c:v>2</c:v>
                </c:pt>
                <c:pt idx="25">
                  <c:v>3</c:v>
                </c:pt>
                <c:pt idx="26">
                  <c:v>4</c:v>
                </c:pt>
                <c:pt idx="27">
                  <c:v>5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расход газа м3/час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9D67-479F-B077-F3DD6497566E}"/>
            </c:ext>
          </c:extLst>
        </c:ser>
        <c:ser>
          <c:idx val="10"/>
          <c:order val="10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21">
                  <c:v>0</c:v>
                </c:pt>
                <c:pt idx="31" formatCode="0">
                  <c:v>0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Разр. СП мм.в.ст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9D67-479F-B077-F3DD649756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319616"/>
        <c:axId val="168325504"/>
      </c:barChart>
      <c:catAx>
        <c:axId val="168319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68325504"/>
        <c:crosses val="autoZero"/>
        <c:auto val="1"/>
        <c:lblAlgn val="ctr"/>
        <c:lblOffset val="100"/>
        <c:noMultiLvlLbl val="0"/>
      </c:catAx>
      <c:valAx>
        <c:axId val="1683255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6831961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ru-RU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21" workbookViewId="0"/>
  </sheetViews>
  <customSheetViews>
    <customSheetView guid="{9AA7F8D2-F967-49D0-A431-45AC7CAADBAA}" scale="121" state="hidden">
      <pageMargins left="0.7" right="0.7" top="0.75" bottom="0.75" header="0.3" footer="0.3"/>
    </customSheetView>
    <customSheetView guid="{088AEEB3-F71F-4FD6-B49B-55643D920FC6}" scale="121" state="hidden">
      <pageMargins left="0.7" right="0.7" top="0.75" bottom="0.75" header="0.3" footer="0.3"/>
    </customSheetView>
    <customSheetView guid="{29BD9A5E-D50F-4A88-A654-39BA9D666C53}" scale="121" state="hidden">
      <pageMargins left="0.7" right="0.7" top="0.75" bottom="0.75" header="0.3" footer="0.3"/>
    </customSheetView>
    <customSheetView guid="{D9EA6DAB-3BBE-4AEB-835D-410DB85E8702}" scale="121" state="hidden">
      <pageMargins left="0.7" right="0.7" top="0.75" bottom="0.75" header="0.3" footer="0.3"/>
    </customSheetView>
    <customSheetView guid="{CFB4A573-2790-4D20-894C-21E3B146481E}" scale="121" state="hidden">
      <pageMargins left="0.7" right="0.7" top="0.75" bottom="0.75" header="0.3" footer="0.3"/>
    </customSheetView>
    <customSheetView guid="{B2A463F0-D351-4C59-A7CF-DC4487562EFC}" scale="121" state="hidden">
      <pageMargins left="0.7" right="0.7" top="0.75" bottom="0.75" header="0.3" footer="0.3"/>
    </customSheetView>
  </custom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6950"/>
    <xdr:graphicFrame macro="">
      <xdr:nvGraphicFramePr>
        <xdr:cNvPr id="2" name="Диаграмма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7" Type="http://schemas.openxmlformats.org/officeDocument/2006/relationships/printerSettings" Target="../printerSettings/printerSettings17.bin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Relationship Id="rId6" Type="http://schemas.openxmlformats.org/officeDocument/2006/relationships/printerSettings" Target="../printerSettings/printerSettings16.bin"/><Relationship Id="rId5" Type="http://schemas.openxmlformats.org/officeDocument/2006/relationships/printerSettings" Target="../printerSettings/printerSettings15.bin"/><Relationship Id="rId4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DT249"/>
  <sheetViews>
    <sheetView tabSelected="1" view="pageBreakPreview" topLeftCell="CR52" zoomScale="60" zoomScaleNormal="45" zoomScalePageLayoutView="50" workbookViewId="0">
      <selection activeCell="CY60" sqref="CY60:DA75"/>
    </sheetView>
  </sheetViews>
  <sheetFormatPr defaultColWidth="9.109375" defaultRowHeight="18" x14ac:dyDescent="0.35"/>
  <cols>
    <col min="1" max="1" width="13.109375" style="3" customWidth="1"/>
    <col min="2" max="5" width="11.33203125" style="3" customWidth="1"/>
    <col min="6" max="6" width="11.44140625" style="3" customWidth="1"/>
    <col min="7" max="9" width="11.33203125" style="3" customWidth="1"/>
    <col min="10" max="10" width="11.6640625" style="3" customWidth="1"/>
    <col min="11" max="11" width="11.33203125" style="3" customWidth="1"/>
    <col min="12" max="12" width="11.88671875" style="3" customWidth="1"/>
    <col min="13" max="24" width="11.33203125" style="3" customWidth="1"/>
    <col min="25" max="25" width="12.44140625" style="3" customWidth="1"/>
    <col min="26" max="28" width="11.33203125" style="3" customWidth="1"/>
    <col min="29" max="29" width="12.44140625" style="3" customWidth="1"/>
    <col min="30" max="30" width="12" style="3" customWidth="1"/>
    <col min="31" max="31" width="10.33203125" style="3" customWidth="1"/>
    <col min="32" max="33" width="12.109375" style="3" customWidth="1"/>
    <col min="34" max="34" width="6.5546875" style="3" customWidth="1"/>
    <col min="35" max="35" width="13.6640625" style="3" customWidth="1"/>
    <col min="36" max="39" width="11.33203125" style="3" customWidth="1"/>
    <col min="40" max="40" width="11.6640625" style="3" customWidth="1"/>
    <col min="41" max="58" width="11.33203125" style="3" customWidth="1"/>
    <col min="59" max="59" width="12.33203125" style="3" customWidth="1"/>
    <col min="60" max="67" width="11.33203125" style="3" customWidth="1"/>
    <col min="68" max="68" width="5.88671875" style="67" customWidth="1"/>
    <col min="69" max="69" width="8.44140625" style="7" customWidth="1"/>
    <col min="70" max="70" width="47" style="1" customWidth="1"/>
    <col min="71" max="71" width="37.88671875" style="1" customWidth="1"/>
    <col min="72" max="72" width="35.6640625" style="1" customWidth="1"/>
    <col min="73" max="73" width="30.33203125" style="1" customWidth="1"/>
    <col min="74" max="74" width="33.109375" style="1" customWidth="1"/>
    <col min="75" max="75" width="28.6640625" style="1" customWidth="1"/>
    <col min="76" max="78" width="5" style="1" customWidth="1"/>
    <col min="79" max="79" width="3.44140625" style="1" customWidth="1"/>
    <col min="80" max="80" width="9.109375" style="3" hidden="1" customWidth="1"/>
    <col min="81" max="81" width="0" style="3" hidden="1" customWidth="1"/>
    <col min="82" max="82" width="10.109375" style="3" hidden="1" customWidth="1"/>
    <col min="83" max="83" width="4" style="3" hidden="1" customWidth="1"/>
    <col min="84" max="85" width="4.6640625" style="3" hidden="1" customWidth="1"/>
    <col min="86" max="86" width="4.33203125" style="3" hidden="1" customWidth="1"/>
    <col min="87" max="87" width="5.109375" style="3" hidden="1" customWidth="1"/>
    <col min="88" max="88" width="4.33203125" style="3" hidden="1" customWidth="1"/>
    <col min="89" max="89" width="3.6640625" style="3" hidden="1" customWidth="1"/>
    <col min="90" max="90" width="4" style="3" hidden="1" customWidth="1"/>
    <col min="91" max="91" width="5" style="3" customWidth="1"/>
    <col min="92" max="92" width="69.5546875" style="3" bestFit="1" customWidth="1"/>
    <col min="93" max="93" width="28.88671875" style="3" customWidth="1"/>
    <col min="94" max="94" width="34" style="3" customWidth="1"/>
    <col min="95" max="95" width="15.5546875" style="3" customWidth="1"/>
    <col min="96" max="96" width="31.88671875" style="3" customWidth="1"/>
    <col min="97" max="97" width="16.33203125" style="3" customWidth="1"/>
    <col min="98" max="98" width="19.88671875" style="3" customWidth="1"/>
    <col min="99" max="99" width="23.6640625" style="3" customWidth="1"/>
    <col min="100" max="100" width="9.109375" style="3"/>
    <col min="101" max="101" width="11.5546875" style="3" customWidth="1"/>
    <col min="102" max="102" width="22.44140625" style="853" customWidth="1"/>
    <col min="103" max="103" width="12" style="849" customWidth="1"/>
    <col min="104" max="104" width="5" style="849" customWidth="1"/>
    <col min="105" max="105" width="13.88671875" style="849" customWidth="1"/>
    <col min="106" max="106" width="18.109375" style="3" customWidth="1"/>
    <col min="107" max="16384" width="9.109375" style="3"/>
  </cols>
  <sheetData>
    <row r="1" spans="1:110" ht="21.9" customHeight="1" thickBot="1" x14ac:dyDescent="0.4">
      <c r="A1" s="5"/>
      <c r="B1" s="5"/>
      <c r="C1" s="5"/>
      <c r="D1" s="5"/>
      <c r="E1" s="5"/>
      <c r="F1" s="5"/>
      <c r="G1" s="5"/>
      <c r="H1" s="2101" t="s">
        <v>1623</v>
      </c>
      <c r="I1" s="2101"/>
      <c r="J1" s="2101"/>
      <c r="K1" s="2101"/>
      <c r="L1" s="2101"/>
      <c r="M1" s="2101"/>
      <c r="N1" s="2101"/>
      <c r="O1" s="2101"/>
      <c r="P1" s="2101"/>
      <c r="Q1" s="2101"/>
      <c r="R1" s="2101"/>
      <c r="S1" s="2101"/>
      <c r="T1" s="2101"/>
      <c r="U1" s="2101"/>
      <c r="V1" s="2101"/>
      <c r="W1" s="2101"/>
      <c r="X1" s="2101"/>
      <c r="Y1" s="2101"/>
      <c r="Z1" s="2101"/>
      <c r="AA1" s="2101"/>
      <c r="AB1" s="2101"/>
      <c r="AC1" s="254"/>
      <c r="AD1" s="254"/>
      <c r="AF1" s="253" t="s">
        <v>25</v>
      </c>
      <c r="AH1" s="6"/>
      <c r="AI1" s="5"/>
      <c r="AJ1" s="5"/>
      <c r="AK1" s="5"/>
      <c r="AL1" s="5"/>
      <c r="AM1" s="5"/>
      <c r="AN1" s="5"/>
      <c r="AO1" s="5"/>
      <c r="AP1" s="2101" t="str">
        <f>H1</f>
        <v>Лист результатов контроля технологического режима цеха № 66 (отделений Абсорбции-дистилляции-1, Карбонизации-1),
 цеха № 83 (отделения Кальцинации-1), цеха № 85 (отделения Компрессии-1)</v>
      </c>
      <c r="AQ1" s="2101"/>
      <c r="AR1" s="2101"/>
      <c r="AS1" s="2101"/>
      <c r="AT1" s="2101"/>
      <c r="AU1" s="2101"/>
      <c r="AV1" s="2101"/>
      <c r="AW1" s="2101"/>
      <c r="AX1" s="2101"/>
      <c r="AY1" s="2101"/>
      <c r="AZ1" s="2101"/>
      <c r="BA1" s="2101"/>
      <c r="BB1" s="2101"/>
      <c r="BC1" s="2101"/>
      <c r="BD1" s="2101"/>
      <c r="BE1" s="2101"/>
      <c r="BF1" s="2101"/>
      <c r="BG1" s="2101"/>
      <c r="BH1" s="2101"/>
      <c r="BI1" s="2101"/>
      <c r="BJ1" s="2101"/>
      <c r="BK1" s="254"/>
      <c r="BL1" s="254"/>
      <c r="BN1" s="253" t="s">
        <v>25</v>
      </c>
      <c r="BP1" s="6"/>
      <c r="BX1" s="3"/>
      <c r="CX1" s="996"/>
      <c r="CY1" s="960"/>
      <c r="CZ1" s="960"/>
      <c r="DA1" s="960"/>
    </row>
    <row r="2" spans="1:110" s="1" customFormat="1" ht="27" customHeight="1" thickBot="1" x14ac:dyDescent="0.55000000000000004">
      <c r="A2" s="2047" t="s">
        <v>1018</v>
      </c>
      <c r="B2" s="2047"/>
      <c r="C2" s="2047"/>
      <c r="D2" s="2048"/>
      <c r="E2" s="762">
        <f>F2+G2</f>
        <v>855</v>
      </c>
      <c r="F2" s="1649">
        <v>428</v>
      </c>
      <c r="G2" s="1649">
        <v>427</v>
      </c>
      <c r="H2" s="2101"/>
      <c r="I2" s="2101"/>
      <c r="J2" s="2101"/>
      <c r="K2" s="2101"/>
      <c r="L2" s="2101"/>
      <c r="M2" s="2101"/>
      <c r="N2" s="2101"/>
      <c r="O2" s="2101"/>
      <c r="P2" s="2101"/>
      <c r="Q2" s="2101"/>
      <c r="R2" s="2101"/>
      <c r="S2" s="2101"/>
      <c r="T2" s="2101"/>
      <c r="U2" s="2101"/>
      <c r="V2" s="2101"/>
      <c r="W2" s="2101"/>
      <c r="X2" s="2101"/>
      <c r="Y2" s="2101"/>
      <c r="Z2" s="2101"/>
      <c r="AA2" s="2101"/>
      <c r="AB2" s="2101"/>
      <c r="AC2" s="2036" t="s">
        <v>571</v>
      </c>
      <c r="AD2" s="2037"/>
      <c r="AE2" s="2037"/>
      <c r="AF2" s="2038"/>
      <c r="AG2" s="262" t="s">
        <v>785</v>
      </c>
      <c r="AH2" s="233"/>
      <c r="AI2" s="2047" t="s">
        <v>981</v>
      </c>
      <c r="AJ2" s="2047"/>
      <c r="AK2" s="2047"/>
      <c r="AL2" s="2048"/>
      <c r="AM2" s="231">
        <f>AN2+AO2</f>
        <v>865</v>
      </c>
      <c r="AN2" s="232">
        <v>425</v>
      </c>
      <c r="AO2" s="232">
        <v>440</v>
      </c>
      <c r="AP2" s="2101"/>
      <c r="AQ2" s="2101"/>
      <c r="AR2" s="2101"/>
      <c r="AS2" s="2101"/>
      <c r="AT2" s="2101"/>
      <c r="AU2" s="2101"/>
      <c r="AV2" s="2101"/>
      <c r="AW2" s="2101"/>
      <c r="AX2" s="2101"/>
      <c r="AY2" s="2101"/>
      <c r="AZ2" s="2101"/>
      <c r="BA2" s="2101"/>
      <c r="BB2" s="2101"/>
      <c r="BC2" s="2101"/>
      <c r="BD2" s="2101"/>
      <c r="BE2" s="2101"/>
      <c r="BF2" s="2101"/>
      <c r="BG2" s="2101"/>
      <c r="BH2" s="2101"/>
      <c r="BI2" s="2101"/>
      <c r="BJ2" s="2101"/>
      <c r="BK2" s="2036" t="s">
        <v>571</v>
      </c>
      <c r="BL2" s="2037"/>
      <c r="BM2" s="2037"/>
      <c r="BN2" s="2038"/>
      <c r="BO2" s="652" t="s">
        <v>884</v>
      </c>
      <c r="BP2" s="234"/>
      <c r="BQ2" s="235"/>
      <c r="CM2" s="235"/>
      <c r="CN2" s="571"/>
      <c r="CO2" s="571"/>
      <c r="CP2" s="572"/>
      <c r="CQ2" s="572"/>
      <c r="CR2" s="571" t="s">
        <v>1067</v>
      </c>
      <c r="CS2" s="571"/>
      <c r="CT2" s="264"/>
      <c r="CU2" s="2"/>
      <c r="CX2" s="996"/>
      <c r="CY2" s="960"/>
      <c r="CZ2" s="960"/>
      <c r="DA2" s="960"/>
    </row>
    <row r="3" spans="1:110" s="1" customFormat="1" ht="27" customHeight="1" thickBot="1" x14ac:dyDescent="0.5">
      <c r="A3" s="2047" t="s">
        <v>64</v>
      </c>
      <c r="B3" s="2047"/>
      <c r="C3" s="2047"/>
      <c r="D3" s="2047"/>
      <c r="E3" s="991"/>
      <c r="F3" s="2052">
        <v>4292</v>
      </c>
      <c r="G3" s="2053"/>
      <c r="H3" s="764" t="s">
        <v>982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AA3" s="2"/>
      <c r="AB3" s="2"/>
      <c r="AC3" s="769" t="s">
        <v>27</v>
      </c>
      <c r="AD3" s="755" t="s">
        <v>795</v>
      </c>
      <c r="AE3" s="755" t="s">
        <v>796</v>
      </c>
      <c r="AF3" s="767" t="s">
        <v>1083</v>
      </c>
      <c r="AG3" s="768" t="s">
        <v>1084</v>
      </c>
      <c r="AH3" s="236"/>
      <c r="AI3" s="2047" t="s">
        <v>64</v>
      </c>
      <c r="AJ3" s="2047"/>
      <c r="AK3" s="2047"/>
      <c r="AL3" s="2047"/>
      <c r="AM3" s="991"/>
      <c r="AN3" s="2064">
        <v>5236</v>
      </c>
      <c r="AO3" s="2065"/>
      <c r="AP3" s="654" t="s">
        <v>885</v>
      </c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I3" s="2"/>
      <c r="BJ3" s="2"/>
      <c r="BK3" s="840" t="s">
        <v>27</v>
      </c>
      <c r="BL3" s="755" t="s">
        <v>795</v>
      </c>
      <c r="BM3" s="755" t="s">
        <v>796</v>
      </c>
      <c r="BN3" s="767" t="s">
        <v>1083</v>
      </c>
      <c r="BO3" s="768" t="s">
        <v>1084</v>
      </c>
      <c r="BP3" s="234"/>
      <c r="BQ3" s="235"/>
      <c r="BV3" s="264"/>
      <c r="BW3" s="264"/>
      <c r="CM3" s="235"/>
      <c r="CN3" s="571" t="s">
        <v>464</v>
      </c>
      <c r="CO3" s="571"/>
      <c r="CP3" s="572"/>
      <c r="CQ3" s="572"/>
      <c r="CR3" s="572" t="s">
        <v>1068</v>
      </c>
      <c r="CS3" s="572"/>
      <c r="CT3" s="265"/>
      <c r="CX3" s="996"/>
      <c r="CY3" s="960"/>
      <c r="CZ3" s="960"/>
      <c r="DA3" s="960"/>
    </row>
    <row r="4" spans="1:110" s="1" customFormat="1" ht="21.9" customHeight="1" thickBot="1" x14ac:dyDescent="0.5">
      <c r="A4" s="2047" t="s">
        <v>713</v>
      </c>
      <c r="B4" s="2047"/>
      <c r="C4" s="2047"/>
      <c r="D4" s="2047"/>
      <c r="E4" s="1477"/>
      <c r="F4" s="2052">
        <v>475</v>
      </c>
      <c r="G4" s="2053"/>
      <c r="H4" s="764" t="s">
        <v>1008</v>
      </c>
      <c r="L4" s="1783" t="s">
        <v>59</v>
      </c>
      <c r="M4" s="1784"/>
      <c r="N4" s="2076" t="s">
        <v>1702</v>
      </c>
      <c r="O4" s="2077"/>
      <c r="P4" s="222"/>
      <c r="Q4" s="1783" t="s">
        <v>60</v>
      </c>
      <c r="R4" s="1784"/>
      <c r="S4" s="765">
        <v>1</v>
      </c>
      <c r="T4" s="222"/>
      <c r="U4" s="1783" t="s">
        <v>61</v>
      </c>
      <c r="V4" s="1784"/>
      <c r="W4" s="765" t="s">
        <v>1703</v>
      </c>
      <c r="Y4" s="988"/>
      <c r="Z4" s="958"/>
      <c r="AA4" s="2"/>
      <c r="AB4" s="2"/>
      <c r="AC4" s="621">
        <v>1</v>
      </c>
      <c r="AD4" s="1510">
        <v>30</v>
      </c>
      <c r="AE4" s="1510">
        <v>48</v>
      </c>
      <c r="AF4" s="1624">
        <v>51</v>
      </c>
      <c r="AG4" s="1624">
        <v>55</v>
      </c>
      <c r="AH4" s="238"/>
      <c r="AI4" s="2047" t="s">
        <v>713</v>
      </c>
      <c r="AJ4" s="2047"/>
      <c r="AK4" s="2047"/>
      <c r="AL4" s="2047"/>
      <c r="AM4" s="1477"/>
      <c r="AN4" s="2064">
        <v>492</v>
      </c>
      <c r="AO4" s="2065"/>
      <c r="AP4" s="764" t="s">
        <v>1008</v>
      </c>
      <c r="AT4" s="1783" t="s">
        <v>59</v>
      </c>
      <c r="AU4" s="1784"/>
      <c r="AV4" s="2076" t="str">
        <f>N4</f>
        <v>04.03.2026г</v>
      </c>
      <c r="AW4" s="2077"/>
      <c r="AX4" s="222"/>
      <c r="AY4" s="1783" t="s">
        <v>60</v>
      </c>
      <c r="AZ4" s="1784"/>
      <c r="BA4" s="765">
        <v>2</v>
      </c>
      <c r="BB4" s="222"/>
      <c r="BC4" s="1783" t="s">
        <v>61</v>
      </c>
      <c r="BD4" s="1784"/>
      <c r="BE4" s="765" t="s">
        <v>1724</v>
      </c>
      <c r="BG4" s="988"/>
      <c r="BH4" s="958"/>
      <c r="BI4" s="2"/>
      <c r="BJ4" s="2"/>
      <c r="BK4" s="621">
        <v>1</v>
      </c>
      <c r="BL4" s="281">
        <v>31</v>
      </c>
      <c r="BM4" s="281">
        <v>46</v>
      </c>
      <c r="BN4" s="1624">
        <v>53</v>
      </c>
      <c r="BO4" s="1624">
        <v>54</v>
      </c>
      <c r="BP4" s="234"/>
      <c r="BQ4" s="960"/>
      <c r="BR4" s="573" t="s">
        <v>464</v>
      </c>
      <c r="BS4" s="572"/>
      <c r="BT4" s="572"/>
      <c r="BU4" s="572"/>
      <c r="BV4" s="572"/>
      <c r="BW4" s="571" t="s">
        <v>1067</v>
      </c>
      <c r="CM4" s="960"/>
      <c r="CN4" s="571" t="s">
        <v>469</v>
      </c>
      <c r="CO4" s="571"/>
      <c r="CP4" s="572"/>
      <c r="CQ4" s="572"/>
      <c r="CR4" s="572"/>
      <c r="CS4" s="572"/>
      <c r="CT4" s="265"/>
      <c r="CX4" s="996"/>
      <c r="CY4" s="960"/>
      <c r="CZ4" s="960"/>
      <c r="DA4" s="960"/>
    </row>
    <row r="5" spans="1:110" s="1" customFormat="1" ht="22.5" customHeight="1" thickBot="1" x14ac:dyDescent="0.5">
      <c r="A5" s="2047" t="s">
        <v>714</v>
      </c>
      <c r="B5" s="2047"/>
      <c r="C5" s="2047"/>
      <c r="D5" s="2047"/>
      <c r="E5" s="763"/>
      <c r="F5" s="2073">
        <v>272</v>
      </c>
      <c r="G5" s="2074"/>
      <c r="H5" s="764" t="s">
        <v>982</v>
      </c>
      <c r="I5" s="239"/>
      <c r="J5" s="239"/>
      <c r="K5" s="239"/>
      <c r="L5" s="2079"/>
      <c r="M5" s="2079"/>
      <c r="N5" s="2075"/>
      <c r="O5" s="2075"/>
      <c r="P5" s="239"/>
      <c r="Q5" s="2079"/>
      <c r="R5" s="2079"/>
      <c r="S5" s="988"/>
      <c r="T5" s="239"/>
      <c r="U5" s="2079"/>
      <c r="V5" s="2079"/>
      <c r="W5" s="988"/>
      <c r="X5" s="239"/>
      <c r="Y5" s="239"/>
      <c r="AC5" s="962">
        <v>2</v>
      </c>
      <c r="AD5" s="1511"/>
      <c r="AE5" s="1511"/>
      <c r="AF5" s="1511"/>
      <c r="AG5" s="1625">
        <v>61</v>
      </c>
      <c r="AH5" s="238"/>
      <c r="AI5" s="2047" t="s">
        <v>714</v>
      </c>
      <c r="AJ5" s="2047"/>
      <c r="AK5" s="2047"/>
      <c r="AL5" s="2047"/>
      <c r="AM5" s="763"/>
      <c r="AN5" s="2098">
        <v>275</v>
      </c>
      <c r="AO5" s="2099"/>
      <c r="AP5" s="654" t="s">
        <v>885</v>
      </c>
      <c r="AQ5" s="239"/>
      <c r="AR5" s="239"/>
      <c r="AS5" s="239"/>
      <c r="AT5" s="2035"/>
      <c r="AU5" s="2035"/>
      <c r="AV5" s="2094"/>
      <c r="AW5" s="2094"/>
      <c r="AX5" s="839"/>
      <c r="AY5" s="2035"/>
      <c r="AZ5" s="2035"/>
      <c r="BA5" s="987"/>
      <c r="BB5" s="839"/>
      <c r="BC5" s="2035"/>
      <c r="BD5" s="2035"/>
      <c r="BE5" s="987"/>
      <c r="BF5" s="239"/>
      <c r="BG5" s="239"/>
      <c r="BK5" s="962">
        <v>2</v>
      </c>
      <c r="BL5" s="282">
        <v>29</v>
      </c>
      <c r="BM5" s="282">
        <v>46</v>
      </c>
      <c r="BN5" s="1625">
        <v>55</v>
      </c>
      <c r="BO5" s="1625">
        <v>55</v>
      </c>
      <c r="BP5" s="234"/>
      <c r="BQ5" s="235"/>
      <c r="BR5" s="573" t="s">
        <v>1625</v>
      </c>
      <c r="BS5" s="572"/>
      <c r="BT5" s="572"/>
      <c r="BU5" s="572"/>
      <c r="BV5" s="572"/>
      <c r="BW5" s="572" t="s">
        <v>1069</v>
      </c>
      <c r="CN5" s="571" t="s">
        <v>470</v>
      </c>
      <c r="CO5" s="571"/>
      <c r="CP5" s="571"/>
      <c r="CQ5" s="571"/>
      <c r="CR5" s="572"/>
      <c r="CS5" s="572"/>
      <c r="CT5" s="265"/>
      <c r="CX5" s="996"/>
      <c r="CY5" s="960"/>
      <c r="CZ5" s="960"/>
      <c r="DA5" s="960"/>
    </row>
    <row r="6" spans="1:110" ht="22.5" customHeight="1" thickBot="1" x14ac:dyDescent="0.5">
      <c r="A6" s="959"/>
      <c r="B6" s="1964" t="s">
        <v>415</v>
      </c>
      <c r="C6" s="1965"/>
      <c r="D6" s="1965"/>
      <c r="E6" s="1965"/>
      <c r="F6" s="1965"/>
      <c r="G6" s="1965"/>
      <c r="H6" s="1965"/>
      <c r="I6" s="1965"/>
      <c r="J6" s="1966"/>
      <c r="K6" s="1964" t="s">
        <v>414</v>
      </c>
      <c r="L6" s="1965"/>
      <c r="M6" s="1965"/>
      <c r="N6" s="1965"/>
      <c r="O6" s="1965"/>
      <c r="P6" s="1965"/>
      <c r="Q6" s="1965"/>
      <c r="R6" s="1965"/>
      <c r="S6" s="1965"/>
      <c r="T6" s="1965"/>
      <c r="U6" s="1965"/>
      <c r="V6" s="1965"/>
      <c r="W6" s="1965"/>
      <c r="X6" s="1965"/>
      <c r="Y6" s="1965"/>
      <c r="Z6" s="1965"/>
      <c r="AA6" s="1965"/>
      <c r="AB6" s="1966"/>
      <c r="AC6" s="962">
        <v>3</v>
      </c>
      <c r="AD6" s="1511">
        <v>30</v>
      </c>
      <c r="AE6" s="1511">
        <v>50</v>
      </c>
      <c r="AF6" s="1625">
        <v>53</v>
      </c>
      <c r="AG6" s="1625">
        <v>57</v>
      </c>
      <c r="AH6" s="14"/>
      <c r="AI6" s="959"/>
      <c r="AJ6" s="1964" t="s">
        <v>415</v>
      </c>
      <c r="AK6" s="1965"/>
      <c r="AL6" s="1965"/>
      <c r="AM6" s="1965"/>
      <c r="AN6" s="1965"/>
      <c r="AO6" s="1965"/>
      <c r="AP6" s="1965"/>
      <c r="AQ6" s="1965"/>
      <c r="AR6" s="1966"/>
      <c r="AS6" s="1964" t="s">
        <v>414</v>
      </c>
      <c r="AT6" s="1965"/>
      <c r="AU6" s="1965"/>
      <c r="AV6" s="1965"/>
      <c r="AW6" s="1965"/>
      <c r="AX6" s="1965"/>
      <c r="AY6" s="1965"/>
      <c r="AZ6" s="1965"/>
      <c r="BA6" s="1965"/>
      <c r="BB6" s="1965"/>
      <c r="BC6" s="1965"/>
      <c r="BD6" s="1965"/>
      <c r="BE6" s="1965"/>
      <c r="BF6" s="1965"/>
      <c r="BG6" s="1965"/>
      <c r="BH6" s="1965"/>
      <c r="BI6" s="1965"/>
      <c r="BJ6" s="1966"/>
      <c r="BK6" s="962">
        <v>3</v>
      </c>
      <c r="BL6" s="282">
        <v>30</v>
      </c>
      <c r="BM6" s="282">
        <v>50</v>
      </c>
      <c r="BN6" s="1625">
        <v>56</v>
      </c>
      <c r="BO6" s="282">
        <v>59</v>
      </c>
      <c r="BP6" s="6"/>
      <c r="BR6" s="571" t="s">
        <v>1626</v>
      </c>
      <c r="BS6" s="572"/>
      <c r="BT6" s="572"/>
      <c r="BU6" s="572"/>
      <c r="BV6" s="572"/>
      <c r="BW6" s="574"/>
      <c r="BZ6" s="15"/>
      <c r="CM6" s="7"/>
      <c r="CN6" s="571" t="s">
        <v>793</v>
      </c>
      <c r="CO6" s="572"/>
      <c r="CP6" s="572"/>
      <c r="CQ6" s="572"/>
      <c r="CR6" s="986"/>
      <c r="CS6" s="986"/>
      <c r="CT6" s="263"/>
      <c r="CU6" s="212"/>
      <c r="CX6" s="783"/>
      <c r="CY6" s="2080" t="str">
        <f>N4</f>
        <v>04.03.2026г</v>
      </c>
      <c r="CZ6" s="2080"/>
      <c r="DA6" s="2080"/>
    </row>
    <row r="7" spans="1:110" ht="36.75" customHeight="1" thickBot="1" x14ac:dyDescent="0.5">
      <c r="A7" s="2049" t="s">
        <v>4</v>
      </c>
      <c r="B7" s="1900" t="s">
        <v>1552</v>
      </c>
      <c r="C7" s="2082"/>
      <c r="D7" s="1903" t="s">
        <v>431</v>
      </c>
      <c r="E7" s="1904"/>
      <c r="F7" s="1905"/>
      <c r="G7" s="1903" t="s">
        <v>416</v>
      </c>
      <c r="H7" s="1904"/>
      <c r="I7" s="1904"/>
      <c r="J7" s="1905"/>
      <c r="K7" s="2036" t="s">
        <v>1556</v>
      </c>
      <c r="L7" s="2037"/>
      <c r="M7" s="2038"/>
      <c r="N7" s="2036" t="s">
        <v>1557</v>
      </c>
      <c r="O7" s="2037"/>
      <c r="P7" s="2038"/>
      <c r="Q7" s="2036" t="s">
        <v>1558</v>
      </c>
      <c r="R7" s="2037"/>
      <c r="S7" s="2037"/>
      <c r="T7" s="2038"/>
      <c r="U7" s="2036" t="s">
        <v>1559</v>
      </c>
      <c r="V7" s="2037"/>
      <c r="W7" s="2037"/>
      <c r="X7" s="2038"/>
      <c r="Y7" s="2036" t="s">
        <v>1560</v>
      </c>
      <c r="Z7" s="2037"/>
      <c r="AA7" s="2037"/>
      <c r="AB7" s="2038"/>
      <c r="AC7" s="962">
        <v>4</v>
      </c>
      <c r="AD7" s="1511">
        <v>30</v>
      </c>
      <c r="AE7" s="1511">
        <v>48</v>
      </c>
      <c r="AF7" s="1625">
        <v>51</v>
      </c>
      <c r="AG7" s="1625">
        <v>57</v>
      </c>
      <c r="AH7" s="16"/>
      <c r="AI7" s="2049" t="s">
        <v>4</v>
      </c>
      <c r="AJ7" s="1900" t="s">
        <v>1552</v>
      </c>
      <c r="AK7" s="2082"/>
      <c r="AL7" s="1903" t="s">
        <v>431</v>
      </c>
      <c r="AM7" s="1904"/>
      <c r="AN7" s="1905"/>
      <c r="AO7" s="1903" t="s">
        <v>416</v>
      </c>
      <c r="AP7" s="1904"/>
      <c r="AQ7" s="1904"/>
      <c r="AR7" s="1905"/>
      <c r="AS7" s="2036" t="s">
        <v>1556</v>
      </c>
      <c r="AT7" s="2037"/>
      <c r="AU7" s="2038"/>
      <c r="AV7" s="2036" t="s">
        <v>1557</v>
      </c>
      <c r="AW7" s="2037"/>
      <c r="AX7" s="2038"/>
      <c r="AY7" s="2036" t="s">
        <v>1558</v>
      </c>
      <c r="AZ7" s="2037"/>
      <c r="BA7" s="2037"/>
      <c r="BB7" s="2038"/>
      <c r="BC7" s="2036" t="s">
        <v>1559</v>
      </c>
      <c r="BD7" s="2037"/>
      <c r="BE7" s="2037"/>
      <c r="BF7" s="2038"/>
      <c r="BG7" s="2036" t="s">
        <v>1560</v>
      </c>
      <c r="BH7" s="2037"/>
      <c r="BI7" s="2037"/>
      <c r="BJ7" s="2038"/>
      <c r="BK7" s="962">
        <v>4</v>
      </c>
      <c r="BL7" s="282">
        <v>29</v>
      </c>
      <c r="BM7" s="282">
        <v>46</v>
      </c>
      <c r="BN7" s="1625">
        <v>54</v>
      </c>
      <c r="BO7" s="282">
        <v>59</v>
      </c>
      <c r="BP7" s="6"/>
      <c r="BR7" s="571" t="s">
        <v>786</v>
      </c>
      <c r="BS7" s="573"/>
      <c r="BT7" s="572"/>
      <c r="BU7" s="572"/>
      <c r="BV7" s="572"/>
      <c r="BW7" s="572"/>
      <c r="BZ7" s="960"/>
      <c r="CM7" s="7"/>
      <c r="CN7" s="2091"/>
      <c r="CO7" s="2091"/>
      <c r="CP7" s="2091"/>
      <c r="CQ7" s="2091"/>
      <c r="CR7" s="2091"/>
      <c r="CS7" s="2091"/>
      <c r="CT7" s="264"/>
      <c r="CU7" s="211"/>
      <c r="CX7" s="1323"/>
      <c r="CY7" s="1315" t="s">
        <v>1274</v>
      </c>
      <c r="CZ7" s="1315"/>
      <c r="DA7" s="1315" t="s">
        <v>1370</v>
      </c>
    </row>
    <row r="8" spans="1:110" s="88" customFormat="1" ht="46.5" customHeight="1" thickBot="1" x14ac:dyDescent="0.5">
      <c r="A8" s="2081"/>
      <c r="B8" s="1075" t="s">
        <v>20</v>
      </c>
      <c r="C8" s="766" t="s">
        <v>1075</v>
      </c>
      <c r="D8" s="1031" t="s">
        <v>22</v>
      </c>
      <c r="E8" s="1032" t="s">
        <v>1075</v>
      </c>
      <c r="F8" s="1030" t="s">
        <v>882</v>
      </c>
      <c r="G8" s="1033" t="s">
        <v>1078</v>
      </c>
      <c r="H8" s="1054" t="s">
        <v>1422</v>
      </c>
      <c r="I8" s="1054" t="s">
        <v>1079</v>
      </c>
      <c r="J8" s="1030" t="s">
        <v>794</v>
      </c>
      <c r="K8" s="793" t="s">
        <v>5</v>
      </c>
      <c r="L8" s="1034" t="s">
        <v>6</v>
      </c>
      <c r="M8" s="794" t="s">
        <v>7</v>
      </c>
      <c r="N8" s="793" t="s">
        <v>5</v>
      </c>
      <c r="O8" s="1034" t="s">
        <v>6</v>
      </c>
      <c r="P8" s="1035" t="s">
        <v>7</v>
      </c>
      <c r="Q8" s="1033" t="s">
        <v>1080</v>
      </c>
      <c r="R8" s="1054" t="s">
        <v>794</v>
      </c>
      <c r="S8" s="1054" t="s">
        <v>1081</v>
      </c>
      <c r="T8" s="1056" t="s">
        <v>1082</v>
      </c>
      <c r="U8" s="1033" t="s">
        <v>1080</v>
      </c>
      <c r="V8" s="1054" t="s">
        <v>794</v>
      </c>
      <c r="W8" s="1054" t="s">
        <v>1081</v>
      </c>
      <c r="X8" s="1030" t="s">
        <v>1082</v>
      </c>
      <c r="Y8" s="1057" t="s">
        <v>1080</v>
      </c>
      <c r="Z8" s="1054" t="s">
        <v>794</v>
      </c>
      <c r="AA8" s="1054" t="s">
        <v>1081</v>
      </c>
      <c r="AB8" s="1030" t="s">
        <v>1082</v>
      </c>
      <c r="AC8" s="1055">
        <v>5</v>
      </c>
      <c r="AD8" s="1511">
        <v>30</v>
      </c>
      <c r="AE8" s="1511">
        <v>48</v>
      </c>
      <c r="AF8" s="1625">
        <v>51</v>
      </c>
      <c r="AG8" s="1625">
        <v>55</v>
      </c>
      <c r="AH8" s="119"/>
      <c r="AI8" s="2050"/>
      <c r="AJ8" s="1031" t="s">
        <v>20</v>
      </c>
      <c r="AK8" s="766" t="s">
        <v>1075</v>
      </c>
      <c r="AL8" s="1031" t="s">
        <v>22</v>
      </c>
      <c r="AM8" s="1032" t="s">
        <v>1075</v>
      </c>
      <c r="AN8" s="1030" t="s">
        <v>882</v>
      </c>
      <c r="AO8" s="1033" t="s">
        <v>1078</v>
      </c>
      <c r="AP8" s="1054" t="s">
        <v>1422</v>
      </c>
      <c r="AQ8" s="1054" t="s">
        <v>1079</v>
      </c>
      <c r="AR8" s="1030" t="s">
        <v>794</v>
      </c>
      <c r="AS8" s="793" t="s">
        <v>5</v>
      </c>
      <c r="AT8" s="1034" t="s">
        <v>6</v>
      </c>
      <c r="AU8" s="794" t="s">
        <v>7</v>
      </c>
      <c r="AV8" s="793" t="s">
        <v>5</v>
      </c>
      <c r="AW8" s="1034" t="s">
        <v>6</v>
      </c>
      <c r="AX8" s="1035" t="s">
        <v>7</v>
      </c>
      <c r="AY8" s="1033" t="s">
        <v>1080</v>
      </c>
      <c r="AZ8" s="1054" t="s">
        <v>794</v>
      </c>
      <c r="BA8" s="1054" t="s">
        <v>1081</v>
      </c>
      <c r="BB8" s="1056" t="s">
        <v>1082</v>
      </c>
      <c r="BC8" s="1033" t="s">
        <v>1080</v>
      </c>
      <c r="BD8" s="1054" t="s">
        <v>794</v>
      </c>
      <c r="BE8" s="1054" t="s">
        <v>1081</v>
      </c>
      <c r="BF8" s="1030" t="s">
        <v>1082</v>
      </c>
      <c r="BG8" s="1057" t="s">
        <v>1080</v>
      </c>
      <c r="BH8" s="1054" t="s">
        <v>794</v>
      </c>
      <c r="BI8" s="1054" t="s">
        <v>1081</v>
      </c>
      <c r="BJ8" s="1030" t="s">
        <v>1082</v>
      </c>
      <c r="BK8" s="962">
        <v>5</v>
      </c>
      <c r="BL8" s="282"/>
      <c r="BM8" s="282"/>
      <c r="BN8" s="282"/>
      <c r="BO8" s="282">
        <v>60</v>
      </c>
      <c r="BP8" s="85"/>
      <c r="BQ8" s="86"/>
      <c r="BR8" s="2092" t="s">
        <v>792</v>
      </c>
      <c r="BS8" s="573"/>
      <c r="BT8" s="572"/>
      <c r="BU8" s="572"/>
      <c r="BV8" s="572"/>
      <c r="BW8" s="572"/>
      <c r="BX8" s="210"/>
      <c r="BY8" s="210"/>
      <c r="BZ8" s="990"/>
      <c r="CA8" s="87"/>
      <c r="CM8" s="86"/>
      <c r="CN8" s="2089"/>
      <c r="CO8" s="2089"/>
      <c r="CP8" s="2089"/>
      <c r="CQ8" s="2089"/>
      <c r="CR8" s="2089"/>
      <c r="CS8" s="2089"/>
      <c r="CT8" s="213"/>
      <c r="CU8" s="990"/>
      <c r="CX8" s="1321" t="s">
        <v>1355</v>
      </c>
      <c r="CY8" s="1316">
        <f>MIN(C11:C18,AK11:AK18,C25:C32,AK25:AK32)</f>
        <v>0.06</v>
      </c>
      <c r="CZ8" s="1316" t="s">
        <v>247</v>
      </c>
      <c r="DA8" s="1316">
        <f>MAX(C11:C18,AK11:AK18,C25:C32,AK25:AK32)</f>
        <v>0.24</v>
      </c>
      <c r="DC8" s="3"/>
      <c r="DD8" s="3"/>
      <c r="DE8" s="3"/>
      <c r="DF8" s="3"/>
    </row>
    <row r="9" spans="1:110" s="21" customFormat="1" ht="21.9" customHeight="1" x14ac:dyDescent="0.45">
      <c r="A9" s="2061" t="s">
        <v>1133</v>
      </c>
      <c r="B9" s="2062" t="s">
        <v>1517</v>
      </c>
      <c r="C9" s="2054"/>
      <c r="D9" s="2062" t="s">
        <v>1517</v>
      </c>
      <c r="E9" s="2056">
        <v>0.92361111111111116</v>
      </c>
      <c r="F9" s="2058">
        <v>0.95833333333333337</v>
      </c>
      <c r="G9" s="2078">
        <v>0.46</v>
      </c>
      <c r="H9" s="2039"/>
      <c r="I9" s="2039">
        <v>88.1</v>
      </c>
      <c r="J9" s="2046">
        <v>102.3</v>
      </c>
      <c r="K9" s="2072">
        <v>66.900000000000006</v>
      </c>
      <c r="L9" s="2044">
        <v>71.400000000000006</v>
      </c>
      <c r="M9" s="2100">
        <v>61.8</v>
      </c>
      <c r="N9" s="2072">
        <v>65.5</v>
      </c>
      <c r="O9" s="2083">
        <v>75.7</v>
      </c>
      <c r="P9" s="2084">
        <v>58.5</v>
      </c>
      <c r="Q9" s="2086">
        <v>95.4</v>
      </c>
      <c r="R9" s="2060">
        <v>26.6</v>
      </c>
      <c r="S9" s="2060">
        <v>94.2</v>
      </c>
      <c r="T9" s="2011">
        <f>S9-R9</f>
        <v>67.599999999999994</v>
      </c>
      <c r="U9" s="2086">
        <v>95.4</v>
      </c>
      <c r="V9" s="2060">
        <v>27</v>
      </c>
      <c r="W9" s="2060">
        <v>94.6</v>
      </c>
      <c r="X9" s="2011">
        <f>W9-V9</f>
        <v>67.599999999999994</v>
      </c>
      <c r="Y9" s="2095">
        <v>95.4</v>
      </c>
      <c r="Z9" s="2060">
        <v>26.6</v>
      </c>
      <c r="AA9" s="2060">
        <v>94.6</v>
      </c>
      <c r="AB9" s="2011">
        <f>AA9-Z9</f>
        <v>68</v>
      </c>
      <c r="AC9" s="962">
        <v>6</v>
      </c>
      <c r="AD9" s="1511"/>
      <c r="AE9" s="1511"/>
      <c r="AF9" s="1511"/>
      <c r="AG9" s="1511">
        <v>60</v>
      </c>
      <c r="AH9" s="18"/>
      <c r="AI9" s="2061" t="s">
        <v>1146</v>
      </c>
      <c r="AJ9" s="2062" t="s">
        <v>1517</v>
      </c>
      <c r="AK9" s="2054"/>
      <c r="AL9" s="2062" t="s">
        <v>1517</v>
      </c>
      <c r="AM9" s="2056">
        <v>0.4861111111111111</v>
      </c>
      <c r="AN9" s="2058"/>
      <c r="AO9" s="2078">
        <v>0.56000000000000005</v>
      </c>
      <c r="AP9" s="2039"/>
      <c r="AQ9" s="2039">
        <v>88.1</v>
      </c>
      <c r="AR9" s="2046">
        <v>102.3</v>
      </c>
      <c r="AS9" s="2087">
        <v>57.4</v>
      </c>
      <c r="AT9" s="2044">
        <v>51.9</v>
      </c>
      <c r="AU9" s="2046">
        <v>55.3</v>
      </c>
      <c r="AV9" s="2102">
        <v>58.5</v>
      </c>
      <c r="AW9" s="2044">
        <v>60.7</v>
      </c>
      <c r="AX9" s="2084">
        <v>61</v>
      </c>
      <c r="AY9" s="2093">
        <v>96.2</v>
      </c>
      <c r="AZ9" s="2039">
        <v>28.6</v>
      </c>
      <c r="BA9" s="2039">
        <v>97.8</v>
      </c>
      <c r="BB9" s="2011">
        <f>BA9-AZ9</f>
        <v>69.199999999999989</v>
      </c>
      <c r="BC9" s="2093">
        <v>96.6</v>
      </c>
      <c r="BD9" s="2039">
        <v>28.6</v>
      </c>
      <c r="BE9" s="2039">
        <v>97.4</v>
      </c>
      <c r="BF9" s="2011">
        <f>BE9-BD9</f>
        <v>68.800000000000011</v>
      </c>
      <c r="BG9" s="2088">
        <v>96.6</v>
      </c>
      <c r="BH9" s="2039">
        <v>28.6</v>
      </c>
      <c r="BI9" s="2039">
        <v>97.4</v>
      </c>
      <c r="BJ9" s="2011">
        <f>BI9-BH9</f>
        <v>68.800000000000011</v>
      </c>
      <c r="BK9" s="962">
        <v>6</v>
      </c>
      <c r="BL9" s="282">
        <v>26</v>
      </c>
      <c r="BM9" s="282">
        <v>47</v>
      </c>
      <c r="BN9" s="1625">
        <v>53</v>
      </c>
      <c r="BO9" s="1625">
        <v>56</v>
      </c>
      <c r="BP9" s="19"/>
      <c r="BQ9" s="20"/>
      <c r="BR9" s="2092"/>
      <c r="BS9" s="572"/>
      <c r="BT9" s="572"/>
      <c r="BU9" s="572"/>
      <c r="BV9" s="572"/>
      <c r="BW9" s="572"/>
      <c r="BX9" s="210"/>
      <c r="BY9" s="210"/>
      <c r="BZ9" s="211"/>
      <c r="CA9" s="1"/>
      <c r="CM9" s="20"/>
      <c r="CN9" s="2090" t="s">
        <v>467</v>
      </c>
      <c r="CO9" s="2090"/>
      <c r="CP9" s="2090"/>
      <c r="CQ9" s="2090"/>
      <c r="CR9" s="2090"/>
      <c r="CS9" s="2090"/>
      <c r="CT9" s="211"/>
      <c r="CU9" s="211"/>
      <c r="CX9" s="1321" t="s">
        <v>1358</v>
      </c>
      <c r="CY9" s="1317">
        <f>MIN(BL95:BL101)</f>
        <v>0</v>
      </c>
      <c r="CZ9" s="1317"/>
      <c r="DA9" s="1317">
        <f>MAX(BL95:BL101)</f>
        <v>0</v>
      </c>
      <c r="DC9" s="3"/>
      <c r="DD9" s="3"/>
      <c r="DE9" s="3"/>
      <c r="DF9" s="3"/>
    </row>
    <row r="10" spans="1:110" s="21" customFormat="1" ht="21.9" customHeight="1" thickBot="1" x14ac:dyDescent="0.5">
      <c r="A10" s="2061"/>
      <c r="B10" s="2063"/>
      <c r="C10" s="2055"/>
      <c r="D10" s="2063"/>
      <c r="E10" s="2057"/>
      <c r="F10" s="2059"/>
      <c r="G10" s="2020"/>
      <c r="H10" s="1730"/>
      <c r="I10" s="1730"/>
      <c r="J10" s="1732"/>
      <c r="K10" s="2071"/>
      <c r="L10" s="2045"/>
      <c r="M10" s="2069"/>
      <c r="N10" s="2071"/>
      <c r="O10" s="2025"/>
      <c r="P10" s="2085"/>
      <c r="Q10" s="2071"/>
      <c r="R10" s="2025"/>
      <c r="S10" s="2025"/>
      <c r="T10" s="2012"/>
      <c r="U10" s="2071"/>
      <c r="V10" s="2025"/>
      <c r="W10" s="2025"/>
      <c r="X10" s="2012"/>
      <c r="Y10" s="2030"/>
      <c r="Z10" s="2025"/>
      <c r="AA10" s="2025"/>
      <c r="AB10" s="2012"/>
      <c r="AC10" s="962">
        <v>7</v>
      </c>
      <c r="AD10" s="1511">
        <v>31</v>
      </c>
      <c r="AE10" s="1511">
        <v>49</v>
      </c>
      <c r="AF10" s="1625">
        <v>51</v>
      </c>
      <c r="AG10" s="1625">
        <v>55</v>
      </c>
      <c r="AH10" s="18"/>
      <c r="AI10" s="2061"/>
      <c r="AJ10" s="2063"/>
      <c r="AK10" s="2055"/>
      <c r="AL10" s="2063"/>
      <c r="AM10" s="2057"/>
      <c r="AN10" s="2059"/>
      <c r="AO10" s="2020"/>
      <c r="AP10" s="1730"/>
      <c r="AQ10" s="1730"/>
      <c r="AR10" s="1732"/>
      <c r="AS10" s="2041"/>
      <c r="AT10" s="2045"/>
      <c r="AU10" s="1732"/>
      <c r="AV10" s="2103"/>
      <c r="AW10" s="2045"/>
      <c r="AX10" s="2085"/>
      <c r="AY10" s="1736"/>
      <c r="AZ10" s="1730"/>
      <c r="BA10" s="1730"/>
      <c r="BB10" s="2012"/>
      <c r="BC10" s="1736"/>
      <c r="BD10" s="1730"/>
      <c r="BE10" s="1730"/>
      <c r="BF10" s="2012"/>
      <c r="BG10" s="1759"/>
      <c r="BH10" s="1730"/>
      <c r="BI10" s="1730"/>
      <c r="BJ10" s="2012"/>
      <c r="BK10" s="962">
        <v>7</v>
      </c>
      <c r="BL10" s="282">
        <v>31</v>
      </c>
      <c r="BM10" s="282">
        <v>48</v>
      </c>
      <c r="BN10" s="1625">
        <v>56</v>
      </c>
      <c r="BO10" s="282">
        <v>60</v>
      </c>
      <c r="BP10" s="19"/>
      <c r="BQ10" s="20"/>
      <c r="BR10" s="2092"/>
      <c r="BS10" s="571"/>
      <c r="BT10" s="572"/>
      <c r="BU10" s="572"/>
      <c r="BV10" s="572"/>
      <c r="BW10" s="572"/>
      <c r="BX10" s="209"/>
      <c r="BY10" s="209"/>
      <c r="BZ10" s="209"/>
      <c r="CA10" s="22"/>
      <c r="CB10" s="23"/>
      <c r="CM10" s="20"/>
      <c r="CN10" s="2090"/>
      <c r="CO10" s="2090"/>
      <c r="CP10" s="2090"/>
      <c r="CQ10" s="2090"/>
      <c r="CR10" s="2090"/>
      <c r="CS10" s="2090"/>
      <c r="CT10" s="209"/>
      <c r="CU10" s="209"/>
      <c r="CX10" s="1321" t="s">
        <v>1359</v>
      </c>
      <c r="CY10" s="1317">
        <f>MIN(F11:F22,AN11:AN22,F25:F34,AN25:AN34)</f>
        <v>0</v>
      </c>
      <c r="CZ10" s="1317" t="s">
        <v>247</v>
      </c>
      <c r="DA10" s="1317">
        <f>MAX(F11:F22,AN11:AN22,F25:F34,AN25:AN34)</f>
        <v>0</v>
      </c>
      <c r="DC10" s="3"/>
      <c r="DD10" s="3"/>
      <c r="DE10" s="3"/>
      <c r="DF10" s="3"/>
    </row>
    <row r="11" spans="1:110" s="21" customFormat="1" ht="21.9" customHeight="1" x14ac:dyDescent="0.45">
      <c r="A11" s="2061" t="s">
        <v>1134</v>
      </c>
      <c r="B11" s="2031">
        <v>1</v>
      </c>
      <c r="C11" s="1902"/>
      <c r="D11" s="2028">
        <v>1</v>
      </c>
      <c r="E11" s="2013">
        <v>0.06</v>
      </c>
      <c r="F11" s="2016" t="s">
        <v>1717</v>
      </c>
      <c r="G11" s="2019"/>
      <c r="H11" s="1729"/>
      <c r="I11" s="1729"/>
      <c r="J11" s="2051">
        <v>103.1</v>
      </c>
      <c r="K11" s="2070"/>
      <c r="L11" s="2024"/>
      <c r="M11" s="2104"/>
      <c r="N11" s="2070"/>
      <c r="O11" s="2024"/>
      <c r="P11" s="2066"/>
      <c r="Q11" s="2070"/>
      <c r="R11" s="2024"/>
      <c r="S11" s="2024"/>
      <c r="T11" s="2068"/>
      <c r="U11" s="2070" t="s">
        <v>1704</v>
      </c>
      <c r="V11" s="2024"/>
      <c r="W11" s="2024"/>
      <c r="X11" s="2068"/>
      <c r="Y11" s="2029"/>
      <c r="Z11" s="2024"/>
      <c r="AA11" s="2024"/>
      <c r="AB11" s="2068"/>
      <c r="AC11" s="962">
        <v>8</v>
      </c>
      <c r="AD11" s="1511">
        <v>28</v>
      </c>
      <c r="AE11" s="1511">
        <v>52</v>
      </c>
      <c r="AF11" s="1625">
        <v>43</v>
      </c>
      <c r="AG11" s="1625">
        <v>53</v>
      </c>
      <c r="AH11" s="18"/>
      <c r="AI11" s="2061" t="s">
        <v>1147</v>
      </c>
      <c r="AJ11" s="2031">
        <v>1</v>
      </c>
      <c r="AK11" s="1902"/>
      <c r="AL11" s="2028">
        <v>1</v>
      </c>
      <c r="AM11" s="2013">
        <v>0.2</v>
      </c>
      <c r="AN11" s="2016"/>
      <c r="AO11" s="2019"/>
      <c r="AP11" s="1729"/>
      <c r="AQ11" s="1729"/>
      <c r="AR11" s="2051">
        <v>102</v>
      </c>
      <c r="AS11" s="2040"/>
      <c r="AT11" s="2042"/>
      <c r="AU11" s="2096"/>
      <c r="AV11" s="2040"/>
      <c r="AW11" s="2042"/>
      <c r="AX11" s="2106"/>
      <c r="AY11" s="1735"/>
      <c r="AZ11" s="1729"/>
      <c r="BA11" s="1729"/>
      <c r="BB11" s="1731"/>
      <c r="BC11" s="1735"/>
      <c r="BD11" s="1729"/>
      <c r="BE11" s="1729"/>
      <c r="BF11" s="1731"/>
      <c r="BG11" s="1758"/>
      <c r="BH11" s="1729"/>
      <c r="BI11" s="1729"/>
      <c r="BJ11" s="1731"/>
      <c r="BK11" s="962">
        <v>8</v>
      </c>
      <c r="BL11" s="282"/>
      <c r="BM11" s="282"/>
      <c r="BN11" s="282"/>
      <c r="BO11" s="1625">
        <v>61</v>
      </c>
      <c r="BP11" s="19"/>
      <c r="BQ11" s="20"/>
      <c r="BR11" s="575"/>
      <c r="BS11" s="571"/>
      <c r="BT11" s="572"/>
      <c r="BU11" s="572"/>
      <c r="BV11" s="572"/>
      <c r="BW11" s="572"/>
      <c r="BX11" s="209"/>
      <c r="BY11" s="209"/>
      <c r="BZ11" s="209"/>
      <c r="CA11" s="22"/>
      <c r="CB11" s="23"/>
      <c r="CM11" s="20"/>
      <c r="CN11" s="1716"/>
      <c r="CO11" s="1716"/>
      <c r="CP11" s="1716"/>
      <c r="CQ11" s="1716"/>
      <c r="CR11" s="1716"/>
      <c r="CS11" s="1716"/>
      <c r="CT11" s="209"/>
      <c r="CU11" s="209"/>
      <c r="CX11" s="1321" t="s">
        <v>1360</v>
      </c>
      <c r="CY11" s="1316">
        <f>MIN(E11:E22,AM11:AM22,E25:E34,AM25:AM34)</f>
        <v>0.06</v>
      </c>
      <c r="CZ11" s="1316" t="s">
        <v>247</v>
      </c>
      <c r="DA11" s="1316">
        <f>MAX(E11:E22,AM11:AM22,E25:E34,AM25:AM34)</f>
        <v>0.2</v>
      </c>
      <c r="DC11" s="3"/>
      <c r="DD11" s="3"/>
      <c r="DE11" s="3"/>
      <c r="DF11" s="3"/>
    </row>
    <row r="12" spans="1:110" s="21" customFormat="1" ht="21.9" customHeight="1" x14ac:dyDescent="0.4">
      <c r="A12" s="2061"/>
      <c r="B12" s="2015"/>
      <c r="C12" s="2013"/>
      <c r="D12" s="1834"/>
      <c r="E12" s="2013"/>
      <c r="F12" s="2016"/>
      <c r="G12" s="2020"/>
      <c r="H12" s="1730"/>
      <c r="I12" s="1730"/>
      <c r="J12" s="1732"/>
      <c r="K12" s="2071"/>
      <c r="L12" s="2025"/>
      <c r="M12" s="2105"/>
      <c r="N12" s="2071"/>
      <c r="O12" s="2025"/>
      <c r="P12" s="2067"/>
      <c r="Q12" s="2071"/>
      <c r="R12" s="2025"/>
      <c r="S12" s="2025"/>
      <c r="T12" s="2069"/>
      <c r="U12" s="2071"/>
      <c r="V12" s="2025"/>
      <c r="W12" s="2025"/>
      <c r="X12" s="2069"/>
      <c r="Y12" s="2030"/>
      <c r="Z12" s="2025"/>
      <c r="AA12" s="2025"/>
      <c r="AB12" s="2069"/>
      <c r="AC12" s="962">
        <v>9</v>
      </c>
      <c r="AD12" s="1511">
        <v>30</v>
      </c>
      <c r="AE12" s="1511">
        <v>49</v>
      </c>
      <c r="AF12" s="1625">
        <v>53</v>
      </c>
      <c r="AG12" s="1625">
        <v>55</v>
      </c>
      <c r="AH12" s="18"/>
      <c r="AI12" s="2061"/>
      <c r="AJ12" s="2015"/>
      <c r="AK12" s="2013"/>
      <c r="AL12" s="1834"/>
      <c r="AM12" s="2013"/>
      <c r="AN12" s="2016"/>
      <c r="AO12" s="2020"/>
      <c r="AP12" s="1730"/>
      <c r="AQ12" s="1730"/>
      <c r="AR12" s="1732"/>
      <c r="AS12" s="2041"/>
      <c r="AT12" s="2043"/>
      <c r="AU12" s="2097"/>
      <c r="AV12" s="2041"/>
      <c r="AW12" s="2043"/>
      <c r="AX12" s="2107"/>
      <c r="AY12" s="1736"/>
      <c r="AZ12" s="1730"/>
      <c r="BA12" s="1730"/>
      <c r="BB12" s="1732"/>
      <c r="BC12" s="1736"/>
      <c r="BD12" s="1730"/>
      <c r="BE12" s="1730"/>
      <c r="BF12" s="1732"/>
      <c r="BG12" s="1759"/>
      <c r="BH12" s="1730"/>
      <c r="BI12" s="1730"/>
      <c r="BJ12" s="1732"/>
      <c r="BK12" s="962">
        <v>9</v>
      </c>
      <c r="BL12" s="282">
        <v>30</v>
      </c>
      <c r="BM12" s="282">
        <v>50</v>
      </c>
      <c r="BN12" s="1625">
        <v>57</v>
      </c>
      <c r="BO12" s="282">
        <v>58</v>
      </c>
      <c r="BP12" s="19"/>
      <c r="BQ12" s="20"/>
      <c r="BR12" s="221"/>
      <c r="BS12" s="222"/>
      <c r="BT12" s="212"/>
      <c r="BU12" s="212"/>
      <c r="BV12" s="212"/>
      <c r="BW12" s="212"/>
      <c r="BX12" s="209"/>
      <c r="BY12" s="212"/>
      <c r="BZ12" s="209"/>
      <c r="CA12" s="22"/>
      <c r="CB12" s="23"/>
      <c r="CM12" s="20"/>
      <c r="CN12" s="1716" t="s">
        <v>187</v>
      </c>
      <c r="CO12" s="1716"/>
      <c r="CP12" s="1716"/>
      <c r="CQ12" s="1716"/>
      <c r="CR12" s="1716"/>
      <c r="CS12" s="1716"/>
      <c r="CT12" s="209"/>
      <c r="CU12" s="209"/>
      <c r="CX12" s="1321" t="s">
        <v>1361</v>
      </c>
      <c r="CY12" s="1317">
        <f>MIN(AC78:AC89,BK78:BK89)</f>
        <v>81</v>
      </c>
      <c r="CZ12" s="1317" t="s">
        <v>247</v>
      </c>
      <c r="DA12" s="1317">
        <f>MAX(AC78:AC89,BK78:BK89)</f>
        <v>89</v>
      </c>
      <c r="DC12" s="3"/>
      <c r="DD12" s="3"/>
      <c r="DE12" s="3"/>
      <c r="DF12" s="3"/>
    </row>
    <row r="13" spans="1:110" s="21" customFormat="1" ht="21.9" customHeight="1" x14ac:dyDescent="0.4">
      <c r="A13" s="2061" t="s">
        <v>1135</v>
      </c>
      <c r="B13" s="2014">
        <v>2</v>
      </c>
      <c r="C13" s="2013">
        <v>0.06</v>
      </c>
      <c r="D13" s="1833">
        <v>2</v>
      </c>
      <c r="E13" s="2026">
        <v>0.06</v>
      </c>
      <c r="F13" s="2027" t="s">
        <v>1717</v>
      </c>
      <c r="G13" s="2019"/>
      <c r="H13" s="1729"/>
      <c r="I13" s="1729"/>
      <c r="J13" s="2051">
        <v>102.7</v>
      </c>
      <c r="K13" s="2070"/>
      <c r="L13" s="2024"/>
      <c r="M13" s="2104"/>
      <c r="N13" s="2070"/>
      <c r="O13" s="2024"/>
      <c r="P13" s="2066"/>
      <c r="Q13" s="2070"/>
      <c r="R13" s="2024"/>
      <c r="S13" s="2024"/>
      <c r="T13" s="2068"/>
      <c r="U13" s="2070"/>
      <c r="V13" s="2024"/>
      <c r="W13" s="2024"/>
      <c r="X13" s="2068"/>
      <c r="Y13" s="2029"/>
      <c r="Z13" s="2024"/>
      <c r="AA13" s="2024"/>
      <c r="AB13" s="2068"/>
      <c r="AC13" s="962">
        <v>10</v>
      </c>
      <c r="AD13" s="1511">
        <v>30</v>
      </c>
      <c r="AE13" s="1511">
        <v>49</v>
      </c>
      <c r="AF13" s="1625">
        <v>45</v>
      </c>
      <c r="AG13" s="1625">
        <v>50</v>
      </c>
      <c r="AH13" s="18"/>
      <c r="AI13" s="2061" t="s">
        <v>1148</v>
      </c>
      <c r="AJ13" s="2014">
        <v>2</v>
      </c>
      <c r="AK13" s="2013">
        <v>0.12</v>
      </c>
      <c r="AL13" s="1833">
        <v>2</v>
      </c>
      <c r="AM13" s="2026" t="s">
        <v>1741</v>
      </c>
      <c r="AN13" s="2027"/>
      <c r="AO13" s="2019"/>
      <c r="AP13" s="1729"/>
      <c r="AQ13" s="1729"/>
      <c r="AR13" s="1733">
        <v>102.3</v>
      </c>
      <c r="AS13" s="1735"/>
      <c r="AT13" s="1729"/>
      <c r="AU13" s="2032"/>
      <c r="AV13" s="1735"/>
      <c r="AW13" s="1729"/>
      <c r="AX13" s="1794"/>
      <c r="AY13" s="1735"/>
      <c r="AZ13" s="1729"/>
      <c r="BA13" s="1729"/>
      <c r="BB13" s="1731"/>
      <c r="BC13" s="1735"/>
      <c r="BD13" s="1729"/>
      <c r="BE13" s="1729"/>
      <c r="BF13" s="1731"/>
      <c r="BG13" s="1758"/>
      <c r="BH13" s="1729"/>
      <c r="BI13" s="1729"/>
      <c r="BJ13" s="1731"/>
      <c r="BK13" s="962">
        <v>10</v>
      </c>
      <c r="BL13" s="282">
        <v>31</v>
      </c>
      <c r="BM13" s="282">
        <v>47</v>
      </c>
      <c r="BN13" s="1625">
        <v>49</v>
      </c>
      <c r="BO13" s="1625">
        <v>53</v>
      </c>
      <c r="BP13" s="19"/>
      <c r="BQ13" s="20"/>
      <c r="BR13" s="990"/>
      <c r="BS13" s="990"/>
      <c r="BT13" s="990"/>
      <c r="BU13" s="990"/>
      <c r="BV13" s="990"/>
      <c r="BW13" s="990"/>
      <c r="BX13" s="990"/>
      <c r="BY13" s="990"/>
      <c r="BZ13" s="209"/>
      <c r="CA13" s="22"/>
      <c r="CB13" s="23"/>
      <c r="CM13" s="20"/>
      <c r="CN13" s="1716"/>
      <c r="CO13" s="1716"/>
      <c r="CP13" s="1716"/>
      <c r="CQ13" s="1716"/>
      <c r="CR13" s="1716"/>
      <c r="CS13" s="1716"/>
      <c r="CT13" s="209"/>
      <c r="CU13" s="209"/>
      <c r="CX13" s="1321" t="s">
        <v>1362</v>
      </c>
      <c r="CY13" s="1317">
        <f>MIN(BM95:BM101)</f>
        <v>0</v>
      </c>
      <c r="CZ13" s="1317" t="s">
        <v>247</v>
      </c>
      <c r="DA13" s="1317">
        <f>MAX(BM95:BM101)</f>
        <v>0</v>
      </c>
      <c r="DC13" s="3"/>
      <c r="DD13" s="3"/>
      <c r="DE13" s="3"/>
      <c r="DF13" s="3"/>
    </row>
    <row r="14" spans="1:110" s="21" customFormat="1" ht="21.9" customHeight="1" x14ac:dyDescent="0.55000000000000004">
      <c r="A14" s="2061"/>
      <c r="B14" s="2015"/>
      <c r="C14" s="2013"/>
      <c r="D14" s="1834"/>
      <c r="E14" s="2026"/>
      <c r="F14" s="2027"/>
      <c r="G14" s="2020"/>
      <c r="H14" s="1730"/>
      <c r="I14" s="1730"/>
      <c r="J14" s="1732"/>
      <c r="K14" s="2071"/>
      <c r="L14" s="2025"/>
      <c r="M14" s="2105"/>
      <c r="N14" s="2071"/>
      <c r="O14" s="2025"/>
      <c r="P14" s="2067"/>
      <c r="Q14" s="2071"/>
      <c r="R14" s="2025"/>
      <c r="S14" s="2025"/>
      <c r="T14" s="2069"/>
      <c r="U14" s="2071"/>
      <c r="V14" s="2025"/>
      <c r="W14" s="2025"/>
      <c r="X14" s="2069"/>
      <c r="Y14" s="2030"/>
      <c r="Z14" s="2025"/>
      <c r="AA14" s="2025"/>
      <c r="AB14" s="2069"/>
      <c r="AC14" s="962">
        <v>11</v>
      </c>
      <c r="AD14" s="1511"/>
      <c r="AE14" s="1511"/>
      <c r="AF14" s="1511"/>
      <c r="AG14" s="1511"/>
      <c r="AH14" s="18"/>
      <c r="AI14" s="2061"/>
      <c r="AJ14" s="2015"/>
      <c r="AK14" s="2013"/>
      <c r="AL14" s="1834"/>
      <c r="AM14" s="2026"/>
      <c r="AN14" s="2027"/>
      <c r="AO14" s="2020"/>
      <c r="AP14" s="1730"/>
      <c r="AQ14" s="1730"/>
      <c r="AR14" s="1734"/>
      <c r="AS14" s="1736"/>
      <c r="AT14" s="1730"/>
      <c r="AU14" s="2033"/>
      <c r="AV14" s="1736"/>
      <c r="AW14" s="1730"/>
      <c r="AX14" s="1795"/>
      <c r="AY14" s="1736"/>
      <c r="AZ14" s="1730"/>
      <c r="BA14" s="1730"/>
      <c r="BB14" s="1732"/>
      <c r="BC14" s="1736"/>
      <c r="BD14" s="1730"/>
      <c r="BE14" s="1730"/>
      <c r="BF14" s="1732"/>
      <c r="BG14" s="1759"/>
      <c r="BH14" s="1730"/>
      <c r="BI14" s="1730"/>
      <c r="BJ14" s="1732"/>
      <c r="BK14" s="962">
        <v>11</v>
      </c>
      <c r="BL14" s="282"/>
      <c r="BM14" s="282"/>
      <c r="BN14" s="282"/>
      <c r="BO14" s="282"/>
      <c r="BP14" s="19"/>
      <c r="BQ14" s="20"/>
      <c r="BR14" s="990"/>
      <c r="BS14" s="990"/>
      <c r="BT14" s="990"/>
      <c r="BU14" s="990"/>
      <c r="BV14" s="990"/>
      <c r="BW14" s="990"/>
      <c r="BX14" s="990"/>
      <c r="BY14" s="990"/>
      <c r="BZ14" s="209"/>
      <c r="CA14" s="22"/>
      <c r="CB14" s="23"/>
      <c r="CM14" s="20"/>
      <c r="CN14" s="209"/>
      <c r="CO14" s="267"/>
      <c r="CP14" s="268"/>
      <c r="CQ14" s="209"/>
      <c r="CR14" s="209"/>
      <c r="CS14" s="209"/>
      <c r="CT14" s="209"/>
      <c r="CU14" s="209"/>
      <c r="CX14" s="1321" t="s">
        <v>1363</v>
      </c>
      <c r="CY14" s="1318">
        <f>MIN(AC40:AC46,AC48:AC54,BK40:BK46,BK48:BK54)</f>
        <v>55</v>
      </c>
      <c r="CZ14" s="1318" t="s">
        <v>247</v>
      </c>
      <c r="DA14" s="1318">
        <f>MAX(AC40:AC46,AC48:AC54,BK40:BK46,BK48:BK54)</f>
        <v>89</v>
      </c>
      <c r="DC14" s="3"/>
      <c r="DD14" s="3"/>
      <c r="DE14" s="3"/>
      <c r="DF14" s="3"/>
    </row>
    <row r="15" spans="1:110" s="21" customFormat="1" ht="21.9" customHeight="1" x14ac:dyDescent="0.4">
      <c r="A15" s="2061" t="s">
        <v>1136</v>
      </c>
      <c r="B15" s="2014">
        <v>3</v>
      </c>
      <c r="C15" s="2013">
        <v>0.06</v>
      </c>
      <c r="D15" s="2028">
        <v>3</v>
      </c>
      <c r="E15" s="2026">
        <v>0.06</v>
      </c>
      <c r="F15" s="2027" t="s">
        <v>1717</v>
      </c>
      <c r="G15" s="2019"/>
      <c r="H15" s="1729"/>
      <c r="I15" s="1729"/>
      <c r="J15" s="2051">
        <v>102</v>
      </c>
      <c r="K15" s="2070"/>
      <c r="L15" s="2024"/>
      <c r="M15" s="2104"/>
      <c r="N15" s="2070"/>
      <c r="O15" s="2024"/>
      <c r="P15" s="2066"/>
      <c r="Q15" s="2070"/>
      <c r="R15" s="2024"/>
      <c r="S15" s="2024"/>
      <c r="T15" s="2068"/>
      <c r="U15" s="2070" t="s">
        <v>1704</v>
      </c>
      <c r="V15" s="2024"/>
      <c r="W15" s="2024"/>
      <c r="X15" s="2068"/>
      <c r="Y15" s="2029"/>
      <c r="Z15" s="2024"/>
      <c r="AA15" s="2024"/>
      <c r="AB15" s="2068"/>
      <c r="AC15" s="962">
        <v>12</v>
      </c>
      <c r="AD15" s="1511"/>
      <c r="AE15" s="1511"/>
      <c r="AF15" s="1511"/>
      <c r="AG15" s="1511">
        <v>58</v>
      </c>
      <c r="AH15" s="18"/>
      <c r="AI15" s="2061" t="s">
        <v>1149</v>
      </c>
      <c r="AJ15" s="2014">
        <v>3</v>
      </c>
      <c r="AK15" s="2013">
        <v>0.12</v>
      </c>
      <c r="AL15" s="2028">
        <v>3</v>
      </c>
      <c r="AM15" s="2026" t="s">
        <v>1741</v>
      </c>
      <c r="AN15" s="2027"/>
      <c r="AO15" s="2019"/>
      <c r="AP15" s="1729"/>
      <c r="AQ15" s="1729"/>
      <c r="AR15" s="1733">
        <v>103.9</v>
      </c>
      <c r="AS15" s="1735"/>
      <c r="AT15" s="1729"/>
      <c r="AU15" s="2032"/>
      <c r="AV15" s="1735"/>
      <c r="AW15" s="1729"/>
      <c r="AX15" s="1794"/>
      <c r="AY15" s="1735"/>
      <c r="AZ15" s="1729"/>
      <c r="BA15" s="1729"/>
      <c r="BB15" s="1731"/>
      <c r="BC15" s="1735"/>
      <c r="BD15" s="1729"/>
      <c r="BE15" s="1729"/>
      <c r="BF15" s="1731"/>
      <c r="BG15" s="1758"/>
      <c r="BH15" s="1729"/>
      <c r="BI15" s="1729"/>
      <c r="BJ15" s="1731"/>
      <c r="BK15" s="962">
        <v>12</v>
      </c>
      <c r="BL15" s="282"/>
      <c r="BM15" s="282"/>
      <c r="BN15" s="282"/>
      <c r="BO15" s="282">
        <v>58</v>
      </c>
      <c r="BP15" s="19"/>
      <c r="BQ15" s="20"/>
      <c r="BR15" s="2090" t="s">
        <v>787</v>
      </c>
      <c r="BS15" s="2090"/>
      <c r="BT15" s="2090"/>
      <c r="BU15" s="2090"/>
      <c r="BV15" s="2090"/>
      <c r="BW15" s="2090"/>
      <c r="BX15" s="41"/>
      <c r="BY15" s="41"/>
      <c r="BZ15" s="41"/>
      <c r="CA15" s="22"/>
      <c r="CB15" s="23"/>
      <c r="CM15" s="20"/>
      <c r="CN15" s="209"/>
      <c r="CO15" s="1716" t="s">
        <v>90</v>
      </c>
      <c r="CP15" s="1739" t="str">
        <f>N4</f>
        <v>04.03.2026г</v>
      </c>
      <c r="CQ15" s="209"/>
      <c r="CR15" s="209"/>
      <c r="CS15" s="209"/>
      <c r="CT15" s="209"/>
      <c r="CU15" s="209"/>
      <c r="CX15" s="1321" t="s">
        <v>1364</v>
      </c>
      <c r="CY15" s="1317">
        <f>MIN(J9:J34,AR9:AR34)</f>
        <v>100</v>
      </c>
      <c r="CZ15" s="1317" t="s">
        <v>247</v>
      </c>
      <c r="DA15" s="1317">
        <f>MAX(J9:J34,AR9:AR34)</f>
        <v>104.3</v>
      </c>
      <c r="DC15" s="3"/>
      <c r="DD15" s="3"/>
      <c r="DE15" s="3"/>
      <c r="DF15" s="3"/>
    </row>
    <row r="16" spans="1:110" s="21" customFormat="1" ht="21.9" customHeight="1" x14ac:dyDescent="0.4">
      <c r="A16" s="2061"/>
      <c r="B16" s="2015"/>
      <c r="C16" s="2013"/>
      <c r="D16" s="1834"/>
      <c r="E16" s="2026"/>
      <c r="F16" s="2027"/>
      <c r="G16" s="2020"/>
      <c r="H16" s="1730"/>
      <c r="I16" s="1730"/>
      <c r="J16" s="1732"/>
      <c r="K16" s="2071"/>
      <c r="L16" s="2025"/>
      <c r="M16" s="2105"/>
      <c r="N16" s="2071"/>
      <c r="O16" s="2025"/>
      <c r="P16" s="2067"/>
      <c r="Q16" s="2071"/>
      <c r="R16" s="2025"/>
      <c r="S16" s="2025"/>
      <c r="T16" s="2069"/>
      <c r="U16" s="2071"/>
      <c r="V16" s="2025"/>
      <c r="W16" s="2025"/>
      <c r="X16" s="2069"/>
      <c r="Y16" s="2030"/>
      <c r="Z16" s="2025"/>
      <c r="AA16" s="2025"/>
      <c r="AB16" s="2069"/>
      <c r="AC16" s="962">
        <v>13</v>
      </c>
      <c r="AD16" s="1511">
        <v>30</v>
      </c>
      <c r="AE16" s="1511">
        <v>50</v>
      </c>
      <c r="AF16" s="1625">
        <v>54</v>
      </c>
      <c r="AG16" s="1625">
        <v>55</v>
      </c>
      <c r="AH16" s="18"/>
      <c r="AI16" s="2061"/>
      <c r="AJ16" s="2015"/>
      <c r="AK16" s="2013"/>
      <c r="AL16" s="1834"/>
      <c r="AM16" s="2026"/>
      <c r="AN16" s="2027"/>
      <c r="AO16" s="2020"/>
      <c r="AP16" s="1730"/>
      <c r="AQ16" s="1730"/>
      <c r="AR16" s="1734"/>
      <c r="AS16" s="1736"/>
      <c r="AT16" s="1730"/>
      <c r="AU16" s="2033"/>
      <c r="AV16" s="1736"/>
      <c r="AW16" s="1730"/>
      <c r="AX16" s="1795"/>
      <c r="AY16" s="1736"/>
      <c r="AZ16" s="1730"/>
      <c r="BA16" s="1730"/>
      <c r="BB16" s="1732"/>
      <c r="BC16" s="1736"/>
      <c r="BD16" s="1730"/>
      <c r="BE16" s="1730"/>
      <c r="BF16" s="1732"/>
      <c r="BG16" s="1759"/>
      <c r="BH16" s="1730"/>
      <c r="BI16" s="1730"/>
      <c r="BJ16" s="1732"/>
      <c r="BK16" s="962">
        <v>13</v>
      </c>
      <c r="BL16" s="282">
        <v>29</v>
      </c>
      <c r="BM16" s="282">
        <v>48</v>
      </c>
      <c r="BN16" s="1625">
        <v>56</v>
      </c>
      <c r="BO16" s="1625">
        <v>56</v>
      </c>
      <c r="BP16" s="19"/>
      <c r="BQ16" s="20"/>
      <c r="BR16" s="2090"/>
      <c r="BS16" s="2090"/>
      <c r="BT16" s="2090"/>
      <c r="BU16" s="2090"/>
      <c r="BV16" s="2090"/>
      <c r="BW16" s="2090"/>
      <c r="BX16" s="990"/>
      <c r="BY16" s="990"/>
      <c r="BZ16" s="209"/>
      <c r="CA16" s="22"/>
      <c r="CB16" s="23"/>
      <c r="CM16" s="20"/>
      <c r="CN16" s="209"/>
      <c r="CO16" s="1716"/>
      <c r="CP16" s="1739"/>
      <c r="CQ16" s="209"/>
      <c r="CR16" s="209"/>
      <c r="CS16" s="209"/>
      <c r="CT16" s="209"/>
      <c r="CU16" s="209"/>
      <c r="CX16" s="1321" t="s">
        <v>1366</v>
      </c>
      <c r="CY16" s="1317">
        <f>MIN(I9:I35,AQ9:AQ35)</f>
        <v>88.1</v>
      </c>
      <c r="CZ16" s="1319" t="s">
        <v>247</v>
      </c>
      <c r="DA16" s="1317">
        <f>MAX(I9:I35,AQ9:AQ35)</f>
        <v>88.5</v>
      </c>
      <c r="DC16" s="3"/>
      <c r="DD16" s="3"/>
      <c r="DE16" s="3"/>
      <c r="DF16" s="3"/>
    </row>
    <row r="17" spans="1:110" s="21" customFormat="1" ht="21.9" customHeight="1" x14ac:dyDescent="0.4">
      <c r="A17" s="2061" t="s">
        <v>1137</v>
      </c>
      <c r="B17" s="2014">
        <v>4</v>
      </c>
      <c r="C17" s="2013">
        <v>0.06</v>
      </c>
      <c r="D17" s="2028">
        <v>5</v>
      </c>
      <c r="E17" s="2026">
        <v>0.06</v>
      </c>
      <c r="F17" s="2016" t="s">
        <v>1717</v>
      </c>
      <c r="G17" s="2019"/>
      <c r="H17" s="1729"/>
      <c r="I17" s="1729"/>
      <c r="J17" s="2051">
        <v>103.5</v>
      </c>
      <c r="K17" s="2070" t="s">
        <v>752</v>
      </c>
      <c r="L17" s="2024" t="s">
        <v>752</v>
      </c>
      <c r="M17" s="2104">
        <v>67.7</v>
      </c>
      <c r="N17" s="2070">
        <v>68.8</v>
      </c>
      <c r="O17" s="2024">
        <v>67.400000000000006</v>
      </c>
      <c r="P17" s="2066">
        <v>67.900000000000006</v>
      </c>
      <c r="Q17" s="2070">
        <v>95</v>
      </c>
      <c r="R17" s="2024">
        <v>29</v>
      </c>
      <c r="S17" s="2024">
        <v>96.6</v>
      </c>
      <c r="T17" s="2011">
        <f t="shared" ref="T17" si="0">S17-R17</f>
        <v>67.599999999999994</v>
      </c>
      <c r="U17" s="2070">
        <v>95</v>
      </c>
      <c r="V17" s="2024">
        <v>30.2</v>
      </c>
      <c r="W17" s="2024">
        <v>96.6</v>
      </c>
      <c r="X17" s="2011">
        <f t="shared" ref="X17" si="1">W17-V17</f>
        <v>66.399999999999991</v>
      </c>
      <c r="Y17" s="2029">
        <v>95.4</v>
      </c>
      <c r="Z17" s="2024">
        <v>29.8</v>
      </c>
      <c r="AA17" s="2024">
        <v>97</v>
      </c>
      <c r="AB17" s="2011">
        <f t="shared" ref="AB17" si="2">AA17-Z17</f>
        <v>67.2</v>
      </c>
      <c r="AC17" s="962">
        <v>14</v>
      </c>
      <c r="AD17" s="1511"/>
      <c r="AE17" s="1511"/>
      <c r="AF17" s="1511"/>
      <c r="AG17" s="1511"/>
      <c r="AH17" s="18"/>
      <c r="AI17" s="2061" t="s">
        <v>1150</v>
      </c>
      <c r="AJ17" s="2014">
        <v>4</v>
      </c>
      <c r="AK17" s="2013">
        <v>0.24</v>
      </c>
      <c r="AL17" s="2028">
        <v>5</v>
      </c>
      <c r="AM17" s="2026" t="s">
        <v>1741</v>
      </c>
      <c r="AN17" s="2027"/>
      <c r="AO17" s="2019"/>
      <c r="AP17" s="1729"/>
      <c r="AQ17" s="1729"/>
      <c r="AR17" s="1733">
        <v>104.3</v>
      </c>
      <c r="AS17" s="1735"/>
      <c r="AT17" s="1729"/>
      <c r="AU17" s="2032"/>
      <c r="AV17" s="1735"/>
      <c r="AW17" s="1729"/>
      <c r="AX17" s="1794"/>
      <c r="AY17" s="1735"/>
      <c r="AZ17" s="1729"/>
      <c r="BA17" s="1729"/>
      <c r="BB17" s="1731"/>
      <c r="BC17" s="1735"/>
      <c r="BD17" s="1729"/>
      <c r="BE17" s="1729"/>
      <c r="BF17" s="1731"/>
      <c r="BG17" s="1758"/>
      <c r="BH17" s="1729"/>
      <c r="BI17" s="1729"/>
      <c r="BJ17" s="1731"/>
      <c r="BK17" s="962">
        <v>14</v>
      </c>
      <c r="BL17" s="282"/>
      <c r="BM17" s="282"/>
      <c r="BN17" s="282"/>
      <c r="BO17" s="282"/>
      <c r="BP17" s="19"/>
      <c r="BQ17" s="20"/>
      <c r="BR17" s="1716"/>
      <c r="BS17" s="1716"/>
      <c r="BT17" s="1716"/>
      <c r="BU17" s="1716"/>
      <c r="BV17" s="1716"/>
      <c r="BW17" s="1716"/>
      <c r="BX17" s="213"/>
      <c r="BY17" s="213"/>
      <c r="BZ17" s="209"/>
      <c r="CA17" s="22"/>
      <c r="CB17" s="23"/>
      <c r="CM17" s="20"/>
      <c r="CN17" s="209"/>
      <c r="CO17" s="209"/>
      <c r="CP17" s="209"/>
      <c r="CQ17" s="209"/>
      <c r="CR17" s="209"/>
      <c r="CS17" s="209"/>
      <c r="CT17" s="209"/>
      <c r="CU17" s="209"/>
      <c r="CX17" s="1321" t="s">
        <v>248</v>
      </c>
      <c r="CY17" s="1316">
        <f>MIN(G9:G34,AO9:AO34)</f>
        <v>0.4</v>
      </c>
      <c r="CZ17" s="1316" t="s">
        <v>247</v>
      </c>
      <c r="DA17" s="1316">
        <f>MAX(G9:G34,AO9:AO34)</f>
        <v>0.56000000000000005</v>
      </c>
      <c r="DC17" s="3"/>
      <c r="DD17" s="3"/>
      <c r="DE17" s="3"/>
      <c r="DF17" s="3"/>
    </row>
    <row r="18" spans="1:110" s="21" customFormat="1" ht="21.9" customHeight="1" thickBot="1" x14ac:dyDescent="0.6">
      <c r="A18" s="2061"/>
      <c r="B18" s="2015"/>
      <c r="C18" s="2013"/>
      <c r="D18" s="1834"/>
      <c r="E18" s="2026"/>
      <c r="F18" s="2016"/>
      <c r="G18" s="2020"/>
      <c r="H18" s="1730"/>
      <c r="I18" s="1730"/>
      <c r="J18" s="1732"/>
      <c r="K18" s="2071"/>
      <c r="L18" s="2025"/>
      <c r="M18" s="2105"/>
      <c r="N18" s="2071"/>
      <c r="O18" s="2025"/>
      <c r="P18" s="2067"/>
      <c r="Q18" s="2071"/>
      <c r="R18" s="2025"/>
      <c r="S18" s="2025"/>
      <c r="T18" s="2012"/>
      <c r="U18" s="2071"/>
      <c r="V18" s="2025"/>
      <c r="W18" s="2025"/>
      <c r="X18" s="2012"/>
      <c r="Y18" s="2030"/>
      <c r="Z18" s="2025"/>
      <c r="AA18" s="2025"/>
      <c r="AB18" s="2012"/>
      <c r="AC18" s="965">
        <v>15</v>
      </c>
      <c r="AD18" s="1512">
        <v>30</v>
      </c>
      <c r="AE18" s="1512">
        <v>47</v>
      </c>
      <c r="AF18" s="1626">
        <v>50</v>
      </c>
      <c r="AG18" s="1626">
        <v>52</v>
      </c>
      <c r="AH18" s="18"/>
      <c r="AI18" s="2061"/>
      <c r="AJ18" s="2015"/>
      <c r="AK18" s="2013"/>
      <c r="AL18" s="1834"/>
      <c r="AM18" s="2026"/>
      <c r="AN18" s="2027"/>
      <c r="AO18" s="2020"/>
      <c r="AP18" s="1730"/>
      <c r="AQ18" s="1730"/>
      <c r="AR18" s="1734"/>
      <c r="AS18" s="1736"/>
      <c r="AT18" s="1730"/>
      <c r="AU18" s="2033"/>
      <c r="AV18" s="1736"/>
      <c r="AW18" s="1730"/>
      <c r="AX18" s="1795"/>
      <c r="AY18" s="1736"/>
      <c r="AZ18" s="1730"/>
      <c r="BA18" s="1730"/>
      <c r="BB18" s="1732"/>
      <c r="BC18" s="1736"/>
      <c r="BD18" s="1730"/>
      <c r="BE18" s="1730"/>
      <c r="BF18" s="1732"/>
      <c r="BG18" s="1759"/>
      <c r="BH18" s="1730"/>
      <c r="BI18" s="1730"/>
      <c r="BJ18" s="1732"/>
      <c r="BK18" s="965">
        <v>15</v>
      </c>
      <c r="BL18" s="283">
        <v>31</v>
      </c>
      <c r="BM18" s="283">
        <v>46</v>
      </c>
      <c r="BN18" s="1626">
        <v>51</v>
      </c>
      <c r="BO18" s="1626">
        <v>52</v>
      </c>
      <c r="BP18" s="19"/>
      <c r="BQ18" s="20"/>
      <c r="BR18" s="266"/>
      <c r="BS18" s="266"/>
      <c r="BT18" s="1003"/>
      <c r="BU18" s="1763" t="str">
        <f>N4</f>
        <v>04.03.2026г</v>
      </c>
      <c r="BV18" s="269"/>
      <c r="BW18" s="269"/>
      <c r="BX18" s="211"/>
      <c r="BY18" s="211"/>
      <c r="BZ18" s="209"/>
      <c r="CA18" s="22"/>
      <c r="CB18" s="23"/>
      <c r="CM18" s="20"/>
      <c r="CN18" s="209"/>
      <c r="CO18" s="209"/>
      <c r="CP18" s="209"/>
      <c r="CQ18" s="209"/>
      <c r="CR18" s="209"/>
      <c r="CS18" s="209"/>
      <c r="CT18" s="209"/>
      <c r="CU18" s="209"/>
      <c r="CX18" s="1321" t="s">
        <v>1365</v>
      </c>
      <c r="CY18" s="1318">
        <f>MIN(F73,AN73)</f>
        <v>62</v>
      </c>
      <c r="CZ18" s="1318" t="s">
        <v>247</v>
      </c>
      <c r="DA18" s="1318">
        <f>MAX(F73,AN73)</f>
        <v>64</v>
      </c>
      <c r="DC18" s="3"/>
      <c r="DD18" s="3"/>
      <c r="DE18" s="3"/>
      <c r="DF18" s="3"/>
    </row>
    <row r="19" spans="1:110" s="21" customFormat="1" ht="21.9" customHeight="1" x14ac:dyDescent="0.55000000000000004">
      <c r="A19" s="2061" t="s">
        <v>1138</v>
      </c>
      <c r="B19" s="2014"/>
      <c r="C19" s="2013"/>
      <c r="D19" s="2028">
        <v>7</v>
      </c>
      <c r="E19" s="2026"/>
      <c r="F19" s="2026"/>
      <c r="G19" s="2019"/>
      <c r="H19" s="1729"/>
      <c r="I19" s="1729"/>
      <c r="J19" s="1733">
        <v>102.7</v>
      </c>
      <c r="K19" s="2070"/>
      <c r="L19" s="2024"/>
      <c r="M19" s="2104"/>
      <c r="N19" s="2070"/>
      <c r="O19" s="2024"/>
      <c r="P19" s="2066"/>
      <c r="Q19" s="2070"/>
      <c r="R19" s="2024"/>
      <c r="S19" s="2024"/>
      <c r="T19" s="2068"/>
      <c r="U19" s="2070" t="s">
        <v>1704</v>
      </c>
      <c r="V19" s="2024"/>
      <c r="W19" s="2024"/>
      <c r="X19" s="2068"/>
      <c r="Y19" s="2029"/>
      <c r="Z19" s="2024"/>
      <c r="AA19" s="2024"/>
      <c r="AB19" s="2068"/>
      <c r="AC19" s="621">
        <v>1</v>
      </c>
      <c r="AD19" s="1511">
        <v>31</v>
      </c>
      <c r="AE19" s="1511">
        <v>52</v>
      </c>
      <c r="AF19" s="1625">
        <v>45</v>
      </c>
      <c r="AG19" s="1625">
        <v>50</v>
      </c>
      <c r="AH19" s="18"/>
      <c r="AI19" s="2061" t="s">
        <v>1151</v>
      </c>
      <c r="AJ19" s="2014"/>
      <c r="AK19" s="2013"/>
      <c r="AL19" s="2028">
        <v>7</v>
      </c>
      <c r="AM19" s="2026"/>
      <c r="AN19" s="2027"/>
      <c r="AO19" s="2019"/>
      <c r="AP19" s="1729"/>
      <c r="AQ19" s="1729"/>
      <c r="AR19" s="1733">
        <v>103.9</v>
      </c>
      <c r="AS19" s="1735"/>
      <c r="AT19" s="1729"/>
      <c r="AU19" s="2032"/>
      <c r="AV19" s="1735"/>
      <c r="AW19" s="1729"/>
      <c r="AX19" s="1794"/>
      <c r="AY19" s="1735"/>
      <c r="AZ19" s="1729"/>
      <c r="BA19" s="1729"/>
      <c r="BB19" s="1731"/>
      <c r="BC19" s="1735"/>
      <c r="BD19" s="1729"/>
      <c r="BE19" s="1729"/>
      <c r="BF19" s="1731"/>
      <c r="BG19" s="1758"/>
      <c r="BH19" s="1729"/>
      <c r="BI19" s="1729"/>
      <c r="BJ19" s="1731"/>
      <c r="BK19" s="621">
        <v>1</v>
      </c>
      <c r="BL19" s="282">
        <v>31</v>
      </c>
      <c r="BM19" s="282">
        <v>47</v>
      </c>
      <c r="BN19" s="1625">
        <v>53</v>
      </c>
      <c r="BO19" s="1625">
        <v>57</v>
      </c>
      <c r="BP19" s="19"/>
      <c r="BQ19" s="20"/>
      <c r="BR19" s="266"/>
      <c r="BS19" s="266"/>
      <c r="BT19" s="267" t="s">
        <v>90</v>
      </c>
      <c r="BU19" s="1763"/>
      <c r="BV19" s="266"/>
      <c r="BW19" s="266"/>
      <c r="BX19" s="209"/>
      <c r="BY19" s="209"/>
      <c r="BZ19" s="990"/>
      <c r="CA19" s="22"/>
      <c r="CB19" s="22"/>
      <c r="CM19" s="20"/>
      <c r="CN19" s="1811" t="s">
        <v>401</v>
      </c>
      <c r="CO19" s="1812"/>
      <c r="CP19" s="1723" t="s">
        <v>83</v>
      </c>
      <c r="CQ19" s="1724"/>
      <c r="CR19" s="1724"/>
      <c r="CS19" s="1725"/>
      <c r="CT19" s="217"/>
      <c r="CU19" s="216"/>
      <c r="CX19" s="1321"/>
      <c r="CY19" s="1319"/>
      <c r="CZ19" s="1319"/>
      <c r="DA19" s="1319"/>
      <c r="DC19" s="3"/>
      <c r="DD19" s="3"/>
      <c r="DE19" s="3"/>
      <c r="DF19" s="3"/>
    </row>
    <row r="20" spans="1:110" s="21" customFormat="1" ht="21.9" customHeight="1" x14ac:dyDescent="0.4">
      <c r="A20" s="2061"/>
      <c r="B20" s="2015"/>
      <c r="C20" s="2013"/>
      <c r="D20" s="1834"/>
      <c r="E20" s="2026"/>
      <c r="F20" s="2026"/>
      <c r="G20" s="2020"/>
      <c r="H20" s="1730"/>
      <c r="I20" s="1730"/>
      <c r="J20" s="1734"/>
      <c r="K20" s="2071"/>
      <c r="L20" s="2025"/>
      <c r="M20" s="2105"/>
      <c r="N20" s="2071"/>
      <c r="O20" s="2025"/>
      <c r="P20" s="2067"/>
      <c r="Q20" s="2071"/>
      <c r="R20" s="2025"/>
      <c r="S20" s="2025"/>
      <c r="T20" s="2069"/>
      <c r="U20" s="2071"/>
      <c r="V20" s="2025"/>
      <c r="W20" s="2025"/>
      <c r="X20" s="2069"/>
      <c r="Y20" s="2030"/>
      <c r="Z20" s="2025"/>
      <c r="AA20" s="2025"/>
      <c r="AB20" s="2069"/>
      <c r="AC20" s="962">
        <v>2</v>
      </c>
      <c r="AD20" s="1511">
        <v>29</v>
      </c>
      <c r="AE20" s="1511">
        <v>49</v>
      </c>
      <c r="AF20" s="1625">
        <v>50</v>
      </c>
      <c r="AG20" s="1625">
        <v>55</v>
      </c>
      <c r="AH20" s="18"/>
      <c r="AI20" s="2061"/>
      <c r="AJ20" s="2015"/>
      <c r="AK20" s="2013"/>
      <c r="AL20" s="1834"/>
      <c r="AM20" s="2026"/>
      <c r="AN20" s="2027"/>
      <c r="AO20" s="2020"/>
      <c r="AP20" s="1730"/>
      <c r="AQ20" s="1730"/>
      <c r="AR20" s="1734"/>
      <c r="AS20" s="1736"/>
      <c r="AT20" s="1730"/>
      <c r="AU20" s="2033"/>
      <c r="AV20" s="1736"/>
      <c r="AW20" s="1730"/>
      <c r="AX20" s="1795"/>
      <c r="AY20" s="1736"/>
      <c r="AZ20" s="1730"/>
      <c r="BA20" s="1730"/>
      <c r="BB20" s="1732"/>
      <c r="BC20" s="1736"/>
      <c r="BD20" s="1730"/>
      <c r="BE20" s="1730"/>
      <c r="BF20" s="1732"/>
      <c r="BG20" s="1759"/>
      <c r="BH20" s="1730"/>
      <c r="BI20" s="1730"/>
      <c r="BJ20" s="1732"/>
      <c r="BK20" s="962">
        <v>2</v>
      </c>
      <c r="BL20" s="282">
        <v>34</v>
      </c>
      <c r="BM20" s="282">
        <v>44</v>
      </c>
      <c r="BN20" s="1625">
        <v>58</v>
      </c>
      <c r="BO20" s="1625">
        <v>57</v>
      </c>
      <c r="BP20" s="19"/>
      <c r="BQ20" s="20"/>
      <c r="BR20" s="209"/>
      <c r="BS20" s="209"/>
      <c r="BT20" s="209"/>
      <c r="BU20" s="209"/>
      <c r="BV20" s="209"/>
      <c r="BW20" s="209"/>
      <c r="BX20" s="209"/>
      <c r="BY20" s="209"/>
      <c r="BZ20" s="990"/>
      <c r="CA20" s="4"/>
      <c r="CB20" s="4"/>
      <c r="CM20" s="20"/>
      <c r="CN20" s="1813"/>
      <c r="CO20" s="1814"/>
      <c r="CP20" s="1726"/>
      <c r="CQ20" s="1727"/>
      <c r="CR20" s="1727"/>
      <c r="CS20" s="1728"/>
      <c r="CT20" s="217"/>
      <c r="CU20" s="216"/>
      <c r="CX20" s="1321" t="s">
        <v>1367</v>
      </c>
      <c r="CY20" s="1318">
        <f>MIN(AB40:AB46,AB48:AB54,BJ40:BJ46,BJ48:BJ54)</f>
        <v>67</v>
      </c>
      <c r="CZ20" s="1318" t="s">
        <v>247</v>
      </c>
      <c r="DA20" s="1318">
        <f>MAX(AB40:AB46,AB48:AB54,BJ40:BJ46,BJ48:BJ54)</f>
        <v>90</v>
      </c>
      <c r="DC20" s="3"/>
      <c r="DD20" s="3"/>
      <c r="DE20" s="3"/>
      <c r="DF20" s="3"/>
    </row>
    <row r="21" spans="1:110" s="21" customFormat="1" ht="21.9" customHeight="1" x14ac:dyDescent="0.4">
      <c r="A21" s="2061" t="s">
        <v>1139</v>
      </c>
      <c r="B21" s="1833">
        <v>5</v>
      </c>
      <c r="C21" s="2034">
        <v>0.06</v>
      </c>
      <c r="D21" s="1833"/>
      <c r="E21" s="2013"/>
      <c r="F21" s="2016"/>
      <c r="G21" s="2019">
        <v>0.4</v>
      </c>
      <c r="H21" s="1729"/>
      <c r="I21" s="1729">
        <v>88.1</v>
      </c>
      <c r="J21" s="1733">
        <v>102.7</v>
      </c>
      <c r="K21" s="2110"/>
      <c r="L21" s="2115"/>
      <c r="M21" s="2225"/>
      <c r="N21" s="2110"/>
      <c r="O21" s="2115"/>
      <c r="P21" s="2109"/>
      <c r="Q21" s="2070"/>
      <c r="R21" s="2024"/>
      <c r="S21" s="2024"/>
      <c r="T21" s="2068"/>
      <c r="U21" s="2070"/>
      <c r="V21" s="2024"/>
      <c r="W21" s="2024"/>
      <c r="X21" s="2068"/>
      <c r="Y21" s="2029"/>
      <c r="Z21" s="2024"/>
      <c r="AA21" s="2024"/>
      <c r="AB21" s="2068"/>
      <c r="AC21" s="962">
        <v>3</v>
      </c>
      <c r="AD21" s="1513">
        <v>30</v>
      </c>
      <c r="AE21" s="1513">
        <v>50</v>
      </c>
      <c r="AF21" s="1640">
        <v>54</v>
      </c>
      <c r="AG21" s="1640">
        <v>57</v>
      </c>
      <c r="AH21" s="18"/>
      <c r="AI21" s="2061" t="s">
        <v>1152</v>
      </c>
      <c r="AJ21" s="1833">
        <v>5</v>
      </c>
      <c r="AK21" s="2034">
        <v>0.36</v>
      </c>
      <c r="AL21" s="1833"/>
      <c r="AM21" s="2013"/>
      <c r="AN21" s="2016"/>
      <c r="AO21" s="2019">
        <v>0.42</v>
      </c>
      <c r="AP21" s="1729"/>
      <c r="AQ21" s="1729">
        <v>88.5</v>
      </c>
      <c r="AR21" s="1733">
        <v>100</v>
      </c>
      <c r="AS21" s="2021">
        <v>61.1</v>
      </c>
      <c r="AT21" s="2016">
        <v>58.2</v>
      </c>
      <c r="AU21" s="2108">
        <v>61.2</v>
      </c>
      <c r="AV21" s="2021"/>
      <c r="AW21" s="2016"/>
      <c r="AX21" s="2114"/>
      <c r="AY21" s="1735"/>
      <c r="AZ21" s="1729">
        <v>30.2</v>
      </c>
      <c r="BA21" s="1729">
        <v>98.2</v>
      </c>
      <c r="BB21" s="2011">
        <f>BA21-AZ21</f>
        <v>68</v>
      </c>
      <c r="BC21" s="1735"/>
      <c r="BD21" s="1729">
        <v>29.8</v>
      </c>
      <c r="BE21" s="1729">
        <v>98.2</v>
      </c>
      <c r="BF21" s="2011">
        <f>BE21-BD21</f>
        <v>68.400000000000006</v>
      </c>
      <c r="BG21" s="1758"/>
      <c r="BH21" s="1729">
        <v>29.4</v>
      </c>
      <c r="BI21" s="1729">
        <v>101.1</v>
      </c>
      <c r="BJ21" s="1731">
        <f>BI21-BH21</f>
        <v>71.699999999999989</v>
      </c>
      <c r="BK21" s="962">
        <v>3</v>
      </c>
      <c r="BL21" s="284">
        <v>30</v>
      </c>
      <c r="BM21" s="284">
        <v>46</v>
      </c>
      <c r="BN21" s="1640">
        <v>58</v>
      </c>
      <c r="BO21" s="284">
        <v>59</v>
      </c>
      <c r="BP21" s="19"/>
      <c r="BQ21" s="20"/>
      <c r="BR21" s="209"/>
      <c r="BS21" s="209"/>
      <c r="BT21" s="209"/>
      <c r="BU21" s="209"/>
      <c r="BV21" s="209"/>
      <c r="BW21" s="209"/>
      <c r="BX21" s="209"/>
      <c r="BY21" s="209"/>
      <c r="BZ21" s="990"/>
      <c r="CA21" s="4"/>
      <c r="CB21" s="4"/>
      <c r="CM21" s="20"/>
      <c r="CN21" s="1813"/>
      <c r="CO21" s="1814"/>
      <c r="CP21" s="1723" t="s">
        <v>85</v>
      </c>
      <c r="CQ21" s="1724"/>
      <c r="CR21" s="1723" t="s">
        <v>86</v>
      </c>
      <c r="CS21" s="1725"/>
      <c r="CT21" s="276"/>
      <c r="CU21" s="277"/>
      <c r="CX21" s="1321" t="s">
        <v>1356</v>
      </c>
      <c r="CY21" s="1317">
        <f>MIN(U40:U53,W40:W53,BC40:BC53,BE40:BE53)</f>
        <v>4</v>
      </c>
      <c r="CZ21" s="1317" t="s">
        <v>247</v>
      </c>
      <c r="DA21" s="1317">
        <f>MAX(U40:U53,W40:W53,BC40:BC53,BE40:BE53)</f>
        <v>8</v>
      </c>
      <c r="DC21" s="3"/>
      <c r="DD21" s="3"/>
      <c r="DE21" s="3"/>
      <c r="DF21" s="3"/>
    </row>
    <row r="22" spans="1:110" s="21" customFormat="1" ht="21.9" customHeight="1" thickBot="1" x14ac:dyDescent="0.45">
      <c r="A22" s="2061"/>
      <c r="B22" s="1834"/>
      <c r="C22" s="2034"/>
      <c r="D22" s="1834"/>
      <c r="E22" s="2013"/>
      <c r="F22" s="2016"/>
      <c r="G22" s="2020"/>
      <c r="H22" s="1730"/>
      <c r="I22" s="1730"/>
      <c r="J22" s="1734"/>
      <c r="K22" s="2110"/>
      <c r="L22" s="2115"/>
      <c r="M22" s="2225"/>
      <c r="N22" s="2110"/>
      <c r="O22" s="2115"/>
      <c r="P22" s="2109"/>
      <c r="Q22" s="2071"/>
      <c r="R22" s="2025"/>
      <c r="S22" s="2025"/>
      <c r="T22" s="2069"/>
      <c r="U22" s="2071"/>
      <c r="V22" s="2025"/>
      <c r="W22" s="2025"/>
      <c r="X22" s="2069"/>
      <c r="Y22" s="2030"/>
      <c r="Z22" s="2025"/>
      <c r="AA22" s="2025"/>
      <c r="AB22" s="2069"/>
      <c r="AC22" s="962">
        <v>4</v>
      </c>
      <c r="AD22" s="1513">
        <v>30</v>
      </c>
      <c r="AE22" s="1513">
        <v>52</v>
      </c>
      <c r="AF22" s="1640">
        <v>50</v>
      </c>
      <c r="AG22" s="1513">
        <v>59</v>
      </c>
      <c r="AH22" s="18"/>
      <c r="AI22" s="2061"/>
      <c r="AJ22" s="1834"/>
      <c r="AK22" s="2034"/>
      <c r="AL22" s="1834"/>
      <c r="AM22" s="2013"/>
      <c r="AN22" s="2016"/>
      <c r="AO22" s="2020"/>
      <c r="AP22" s="1730"/>
      <c r="AQ22" s="1730"/>
      <c r="AR22" s="1734"/>
      <c r="AS22" s="2021"/>
      <c r="AT22" s="2016"/>
      <c r="AU22" s="2108"/>
      <c r="AV22" s="2021"/>
      <c r="AW22" s="2016"/>
      <c r="AX22" s="2114"/>
      <c r="AY22" s="1736"/>
      <c r="AZ22" s="1730"/>
      <c r="BA22" s="1730"/>
      <c r="BB22" s="2012"/>
      <c r="BC22" s="1736"/>
      <c r="BD22" s="1730"/>
      <c r="BE22" s="1730"/>
      <c r="BF22" s="2012"/>
      <c r="BG22" s="1759"/>
      <c r="BH22" s="1730"/>
      <c r="BI22" s="1730"/>
      <c r="BJ22" s="1732"/>
      <c r="BK22" s="962">
        <v>4</v>
      </c>
      <c r="BL22" s="284">
        <v>31</v>
      </c>
      <c r="BM22" s="284">
        <v>45</v>
      </c>
      <c r="BN22" s="1640">
        <v>56</v>
      </c>
      <c r="BO22" s="284">
        <v>60</v>
      </c>
      <c r="BP22" s="19"/>
      <c r="BQ22" s="20"/>
      <c r="BR22" s="1994" t="s">
        <v>401</v>
      </c>
      <c r="BS22" s="1995"/>
      <c r="BT22" s="1957" t="s">
        <v>83</v>
      </c>
      <c r="BU22" s="1957"/>
      <c r="BV22" s="1957"/>
      <c r="BW22" s="1957"/>
      <c r="BX22" s="214"/>
      <c r="BY22" s="209"/>
      <c r="BZ22" s="990"/>
      <c r="CA22" s="4"/>
      <c r="CB22" s="4"/>
      <c r="CM22" s="20"/>
      <c r="CN22" s="1813"/>
      <c r="CO22" s="1814"/>
      <c r="CP22" s="1726"/>
      <c r="CQ22" s="1727"/>
      <c r="CR22" s="1726"/>
      <c r="CS22" s="1728"/>
      <c r="CT22" s="276"/>
      <c r="CU22" s="277"/>
      <c r="CX22" s="1321" t="s">
        <v>1368</v>
      </c>
      <c r="CY22" s="1317">
        <f>MIN(P40:P46,P48:P54,S40:S53,AX40:AX46,AX48:AX54,BA40:BA53)</f>
        <v>4</v>
      </c>
      <c r="CZ22" s="1319" t="s">
        <v>247</v>
      </c>
      <c r="DA22" s="1317">
        <f>MAX(P40:P46,P48:P54,S40:S53,AX40:AX46,AX48:AX54,BA40:BA53)</f>
        <v>10.8</v>
      </c>
      <c r="DC22" s="3"/>
      <c r="DD22" s="3"/>
      <c r="DE22" s="3"/>
      <c r="DF22" s="3"/>
    </row>
    <row r="23" spans="1:110" s="21" customFormat="1" ht="21.9" customHeight="1" x14ac:dyDescent="0.4">
      <c r="A23" s="2061" t="s">
        <v>1140</v>
      </c>
      <c r="B23" s="2174" t="s">
        <v>1517</v>
      </c>
      <c r="C23" s="2054"/>
      <c r="D23" s="2017" t="s">
        <v>1517</v>
      </c>
      <c r="E23" s="2022"/>
      <c r="F23" s="2022"/>
      <c r="G23" s="2019"/>
      <c r="H23" s="1729"/>
      <c r="I23" s="1729"/>
      <c r="J23" s="1733">
        <v>102</v>
      </c>
      <c r="K23" s="2070"/>
      <c r="L23" s="2024"/>
      <c r="M23" s="2113"/>
      <c r="N23" s="2070"/>
      <c r="O23" s="2024"/>
      <c r="P23" s="2111"/>
      <c r="Q23" s="2070"/>
      <c r="R23" s="2024"/>
      <c r="S23" s="2024"/>
      <c r="T23" s="2068"/>
      <c r="U23" s="2070" t="s">
        <v>1704</v>
      </c>
      <c r="V23" s="2024"/>
      <c r="W23" s="2024"/>
      <c r="X23" s="2068"/>
      <c r="Y23" s="2029"/>
      <c r="Z23" s="2024"/>
      <c r="AA23" s="2024"/>
      <c r="AB23" s="2068"/>
      <c r="AC23" s="962">
        <v>5</v>
      </c>
      <c r="AD23" s="1513"/>
      <c r="AE23" s="1513"/>
      <c r="AF23" s="1513"/>
      <c r="AG23" s="1513">
        <v>60</v>
      </c>
      <c r="AH23" s="18"/>
      <c r="AI23" s="2061" t="s">
        <v>1153</v>
      </c>
      <c r="AJ23" s="2174" t="s">
        <v>1517</v>
      </c>
      <c r="AK23" s="2054"/>
      <c r="AL23" s="2017" t="s">
        <v>1517</v>
      </c>
      <c r="AM23" s="2022"/>
      <c r="AN23" s="2022"/>
      <c r="AO23" s="2019"/>
      <c r="AP23" s="1729"/>
      <c r="AQ23" s="1729"/>
      <c r="AR23" s="1733">
        <v>102</v>
      </c>
      <c r="AS23" s="1735"/>
      <c r="AT23" s="1729"/>
      <c r="AU23" s="1733"/>
      <c r="AV23" s="1735"/>
      <c r="AW23" s="1729"/>
      <c r="AX23" s="1866"/>
      <c r="AY23" s="1735"/>
      <c r="AZ23" s="1729"/>
      <c r="BA23" s="1729"/>
      <c r="BB23" s="1731"/>
      <c r="BC23" s="1735"/>
      <c r="BD23" s="1729"/>
      <c r="BE23" s="1729"/>
      <c r="BF23" s="1731"/>
      <c r="BG23" s="1758"/>
      <c r="BH23" s="1729"/>
      <c r="BI23" s="1729"/>
      <c r="BJ23" s="1731"/>
      <c r="BK23" s="962">
        <v>5</v>
      </c>
      <c r="BL23" s="284"/>
      <c r="BM23" s="284"/>
      <c r="BN23" s="284"/>
      <c r="BO23" s="1640">
        <v>55</v>
      </c>
      <c r="BP23" s="19"/>
      <c r="BQ23" s="20"/>
      <c r="BR23" s="1996"/>
      <c r="BS23" s="1997"/>
      <c r="BT23" s="1957"/>
      <c r="BU23" s="1957"/>
      <c r="BV23" s="1957"/>
      <c r="BW23" s="1957"/>
      <c r="BX23" s="214"/>
      <c r="BY23" s="209"/>
      <c r="BZ23" s="990"/>
      <c r="CA23" s="4"/>
      <c r="CB23" s="4"/>
      <c r="CM23" s="20"/>
      <c r="CN23" s="1813"/>
      <c r="CO23" s="1814"/>
      <c r="CP23" s="1931" t="s">
        <v>771</v>
      </c>
      <c r="CQ23" s="1941"/>
      <c r="CR23" s="1931" t="s">
        <v>773</v>
      </c>
      <c r="CS23" s="1932"/>
      <c r="CT23" s="278"/>
      <c r="CU23" s="279"/>
      <c r="CX23" s="1321" t="s">
        <v>1369</v>
      </c>
      <c r="CY23" s="1317">
        <f>MIN(AW40:AW46,AW48:AW54,AZ40:AZ53,O40:O46,O48:O54,R40:R53)</f>
        <v>1.4</v>
      </c>
      <c r="CZ23" s="1319" t="s">
        <v>247</v>
      </c>
      <c r="DA23" s="1317">
        <f>MAX(AW40:AW46,AW48:AW54,AZ40:AZ53,O40:O46,O48:O54,R40:R53)</f>
        <v>3.2</v>
      </c>
      <c r="DC23" s="3"/>
      <c r="DD23" s="3"/>
      <c r="DE23" s="3"/>
      <c r="DF23" s="3"/>
    </row>
    <row r="24" spans="1:110" s="21" customFormat="1" ht="21.9" customHeight="1" thickBot="1" x14ac:dyDescent="0.45">
      <c r="A24" s="2061"/>
      <c r="B24" s="2063"/>
      <c r="C24" s="2055"/>
      <c r="D24" s="2018"/>
      <c r="E24" s="2023"/>
      <c r="F24" s="2023"/>
      <c r="G24" s="2020"/>
      <c r="H24" s="1730"/>
      <c r="I24" s="1730"/>
      <c r="J24" s="1734"/>
      <c r="K24" s="2071"/>
      <c r="L24" s="2025"/>
      <c r="M24" s="2069"/>
      <c r="N24" s="2071"/>
      <c r="O24" s="2025"/>
      <c r="P24" s="2112"/>
      <c r="Q24" s="2071"/>
      <c r="R24" s="2025"/>
      <c r="S24" s="2025"/>
      <c r="T24" s="2069"/>
      <c r="U24" s="2071"/>
      <c r="V24" s="2025"/>
      <c r="W24" s="2025"/>
      <c r="X24" s="2069"/>
      <c r="Y24" s="2030"/>
      <c r="Z24" s="2025"/>
      <c r="AA24" s="2025"/>
      <c r="AB24" s="2069"/>
      <c r="AC24" s="962">
        <v>6</v>
      </c>
      <c r="AD24" s="1513">
        <v>27</v>
      </c>
      <c r="AE24" s="1513">
        <v>46</v>
      </c>
      <c r="AF24" s="1640">
        <v>54</v>
      </c>
      <c r="AG24" s="1640">
        <v>54</v>
      </c>
      <c r="AH24" s="18"/>
      <c r="AI24" s="2061"/>
      <c r="AJ24" s="2063"/>
      <c r="AK24" s="2055"/>
      <c r="AL24" s="2018"/>
      <c r="AM24" s="2023"/>
      <c r="AN24" s="2023"/>
      <c r="AO24" s="2020"/>
      <c r="AP24" s="1730"/>
      <c r="AQ24" s="1730"/>
      <c r="AR24" s="1734"/>
      <c r="AS24" s="1736"/>
      <c r="AT24" s="1730"/>
      <c r="AU24" s="1734"/>
      <c r="AV24" s="1736"/>
      <c r="AW24" s="1730"/>
      <c r="AX24" s="1867"/>
      <c r="AY24" s="1736"/>
      <c r="AZ24" s="1730"/>
      <c r="BA24" s="1730"/>
      <c r="BB24" s="1732"/>
      <c r="BC24" s="1736"/>
      <c r="BD24" s="1730"/>
      <c r="BE24" s="1730"/>
      <c r="BF24" s="1732"/>
      <c r="BG24" s="1759"/>
      <c r="BH24" s="1730"/>
      <c r="BI24" s="1730"/>
      <c r="BJ24" s="1732"/>
      <c r="BK24" s="962">
        <v>6</v>
      </c>
      <c r="BL24" s="284">
        <v>31</v>
      </c>
      <c r="BM24" s="284">
        <v>45</v>
      </c>
      <c r="BN24" s="1640">
        <v>57</v>
      </c>
      <c r="BO24" s="1640">
        <v>57</v>
      </c>
      <c r="BP24" s="19"/>
      <c r="BQ24" s="20"/>
      <c r="BR24" s="1996"/>
      <c r="BS24" s="1997"/>
      <c r="BT24" s="1803" t="s">
        <v>85</v>
      </c>
      <c r="BU24" s="1804"/>
      <c r="BV24" s="1803" t="s">
        <v>86</v>
      </c>
      <c r="BW24" s="1804"/>
      <c r="BX24" s="209"/>
      <c r="BY24" s="209"/>
      <c r="BZ24" s="990"/>
      <c r="CA24" s="22"/>
      <c r="CB24" s="23"/>
      <c r="CM24" s="20"/>
      <c r="CN24" s="1813"/>
      <c r="CO24" s="1814"/>
      <c r="CP24" s="1931"/>
      <c r="CQ24" s="1941"/>
      <c r="CR24" s="1931"/>
      <c r="CS24" s="1932"/>
      <c r="CT24" s="278"/>
      <c r="CU24" s="279"/>
      <c r="CX24" s="1321" t="s">
        <v>249</v>
      </c>
      <c r="CY24" s="1317">
        <f>MIN(Q40:Q46,Q48:Q54,AY40:AY46,AY48:AY54)</f>
        <v>60.9</v>
      </c>
      <c r="CZ24" s="1319" t="s">
        <v>247</v>
      </c>
      <c r="DA24" s="1317">
        <f>MAX(Q40:Q46,Q48:Q54,AY40:AY46,AY48:AY54)</f>
        <v>65.7</v>
      </c>
      <c r="DC24" s="3"/>
      <c r="DD24" s="3"/>
      <c r="DE24" s="3"/>
      <c r="DF24" s="3"/>
    </row>
    <row r="25" spans="1:110" s="21" customFormat="1" ht="21.9" customHeight="1" x14ac:dyDescent="0.4">
      <c r="A25" s="2061" t="s">
        <v>1141</v>
      </c>
      <c r="B25" s="2031">
        <v>1</v>
      </c>
      <c r="C25" s="1902"/>
      <c r="D25" s="2028"/>
      <c r="E25" s="1902"/>
      <c r="F25" s="2016"/>
      <c r="G25" s="2019"/>
      <c r="H25" s="1729"/>
      <c r="I25" s="1729"/>
      <c r="J25" s="1733">
        <v>102.7</v>
      </c>
      <c r="K25" s="2070"/>
      <c r="L25" s="2024"/>
      <c r="M25" s="2113"/>
      <c r="N25" s="2070"/>
      <c r="O25" s="2024"/>
      <c r="P25" s="2111"/>
      <c r="Q25" s="2070"/>
      <c r="R25" s="2024"/>
      <c r="S25" s="2024"/>
      <c r="T25" s="2113"/>
      <c r="U25" s="2070"/>
      <c r="V25" s="2024"/>
      <c r="W25" s="2024"/>
      <c r="X25" s="2113"/>
      <c r="Y25" s="2029"/>
      <c r="Z25" s="2024"/>
      <c r="AA25" s="2024"/>
      <c r="AB25" s="2113"/>
      <c r="AC25" s="962">
        <v>7</v>
      </c>
      <c r="AD25" s="1513">
        <v>31</v>
      </c>
      <c r="AE25" s="1513">
        <v>52</v>
      </c>
      <c r="AF25" s="1640">
        <v>54</v>
      </c>
      <c r="AG25" s="1513">
        <v>58</v>
      </c>
      <c r="AH25" s="18"/>
      <c r="AI25" s="2061" t="s">
        <v>1154</v>
      </c>
      <c r="AJ25" s="2031">
        <v>1</v>
      </c>
      <c r="AK25" s="1902"/>
      <c r="AL25" s="2028"/>
      <c r="AM25" s="1902"/>
      <c r="AN25" s="2016"/>
      <c r="AO25" s="2019"/>
      <c r="AP25" s="1729"/>
      <c r="AQ25" s="1729"/>
      <c r="AR25" s="1733" t="s">
        <v>247</v>
      </c>
      <c r="AS25" s="1735"/>
      <c r="AT25" s="1729"/>
      <c r="AU25" s="1733"/>
      <c r="AV25" s="1735"/>
      <c r="AW25" s="1729"/>
      <c r="AX25" s="1866"/>
      <c r="AY25" s="1735"/>
      <c r="AZ25" s="1729"/>
      <c r="BA25" s="1729"/>
      <c r="BB25" s="1733"/>
      <c r="BC25" s="1735"/>
      <c r="BD25" s="1729"/>
      <c r="BE25" s="1729"/>
      <c r="BF25" s="1733"/>
      <c r="BG25" s="1758"/>
      <c r="BH25" s="1729"/>
      <c r="BI25" s="1729"/>
      <c r="BJ25" s="1733"/>
      <c r="BK25" s="962">
        <v>7</v>
      </c>
      <c r="BL25" s="284">
        <v>31</v>
      </c>
      <c r="BM25" s="284">
        <v>48</v>
      </c>
      <c r="BN25" s="1640">
        <v>58</v>
      </c>
      <c r="BO25" s="1640">
        <v>61</v>
      </c>
      <c r="BP25" s="19"/>
      <c r="BQ25" s="20"/>
      <c r="BR25" s="1996"/>
      <c r="BS25" s="1997"/>
      <c r="BT25" s="1805"/>
      <c r="BU25" s="1806"/>
      <c r="BV25" s="1805"/>
      <c r="BW25" s="1806"/>
      <c r="BX25" s="209"/>
      <c r="BY25" s="209"/>
      <c r="BZ25" s="990"/>
      <c r="CA25" s="1"/>
      <c r="CM25" s="20"/>
      <c r="CN25" s="1813"/>
      <c r="CO25" s="1814"/>
      <c r="CP25" s="1931" t="s">
        <v>772</v>
      </c>
      <c r="CQ25" s="1941"/>
      <c r="CR25" s="1931" t="s">
        <v>774</v>
      </c>
      <c r="CS25" s="1932"/>
      <c r="CT25" s="278"/>
      <c r="CU25" s="279"/>
      <c r="CX25" s="1321" t="s">
        <v>1371</v>
      </c>
      <c r="CY25" s="1316">
        <f>MIN(Y40:Y54,BG40:BG54)</f>
        <v>0.36</v>
      </c>
      <c r="CZ25" s="1316" t="s">
        <v>247</v>
      </c>
      <c r="DA25" s="1316">
        <f>MAX(Y40:Y54,BG40:BG54)</f>
        <v>1.5</v>
      </c>
      <c r="DC25" s="3"/>
      <c r="DD25" s="3"/>
      <c r="DE25" s="3"/>
      <c r="DF25" s="3"/>
    </row>
    <row r="26" spans="1:110" s="21" customFormat="1" ht="21.9" customHeight="1" x14ac:dyDescent="0.4">
      <c r="A26" s="2061"/>
      <c r="B26" s="2015"/>
      <c r="C26" s="2013"/>
      <c r="D26" s="1834"/>
      <c r="E26" s="2013"/>
      <c r="F26" s="2016"/>
      <c r="G26" s="2020"/>
      <c r="H26" s="1730"/>
      <c r="I26" s="1730"/>
      <c r="J26" s="1734"/>
      <c r="K26" s="2071"/>
      <c r="L26" s="2025"/>
      <c r="M26" s="2069"/>
      <c r="N26" s="2071"/>
      <c r="O26" s="2025"/>
      <c r="P26" s="2112"/>
      <c r="Q26" s="2071"/>
      <c r="R26" s="2025"/>
      <c r="S26" s="2025"/>
      <c r="T26" s="2069"/>
      <c r="U26" s="2071"/>
      <c r="V26" s="2025"/>
      <c r="W26" s="2025"/>
      <c r="X26" s="2069"/>
      <c r="Y26" s="2030"/>
      <c r="Z26" s="2025"/>
      <c r="AA26" s="2025"/>
      <c r="AB26" s="2069"/>
      <c r="AC26" s="962">
        <v>8</v>
      </c>
      <c r="AD26" s="1513"/>
      <c r="AE26" s="1513"/>
      <c r="AF26" s="1513"/>
      <c r="AG26" s="1640">
        <v>61</v>
      </c>
      <c r="AH26" s="18"/>
      <c r="AI26" s="2061"/>
      <c r="AJ26" s="2015"/>
      <c r="AK26" s="2013"/>
      <c r="AL26" s="1834"/>
      <c r="AM26" s="2013"/>
      <c r="AN26" s="2016"/>
      <c r="AO26" s="2020"/>
      <c r="AP26" s="1730"/>
      <c r="AQ26" s="1730"/>
      <c r="AR26" s="1734"/>
      <c r="AS26" s="1736"/>
      <c r="AT26" s="1730"/>
      <c r="AU26" s="1734"/>
      <c r="AV26" s="1736"/>
      <c r="AW26" s="1730"/>
      <c r="AX26" s="1867"/>
      <c r="AY26" s="1736"/>
      <c r="AZ26" s="1730"/>
      <c r="BA26" s="1730"/>
      <c r="BB26" s="1734"/>
      <c r="BC26" s="1736"/>
      <c r="BD26" s="1730"/>
      <c r="BE26" s="1730"/>
      <c r="BF26" s="1734"/>
      <c r="BG26" s="1759"/>
      <c r="BH26" s="1730"/>
      <c r="BI26" s="1730"/>
      <c r="BJ26" s="1734"/>
      <c r="BK26" s="962">
        <v>8</v>
      </c>
      <c r="BL26" s="284"/>
      <c r="BM26" s="284"/>
      <c r="BN26" s="284"/>
      <c r="BO26" s="284">
        <v>58</v>
      </c>
      <c r="BP26" s="19"/>
      <c r="BQ26" s="20"/>
      <c r="BR26" s="1996"/>
      <c r="BS26" s="1997"/>
      <c r="BT26" s="1892" t="s">
        <v>771</v>
      </c>
      <c r="BU26" s="1893"/>
      <c r="BV26" s="1892" t="s">
        <v>773</v>
      </c>
      <c r="BW26" s="1893"/>
      <c r="BX26" s="209"/>
      <c r="BY26" s="209"/>
      <c r="BZ26" s="990"/>
      <c r="CA26" s="1"/>
      <c r="CM26" s="20"/>
      <c r="CN26" s="1815"/>
      <c r="CO26" s="1816"/>
      <c r="CP26" s="1939"/>
      <c r="CQ26" s="1942"/>
      <c r="CR26" s="1939"/>
      <c r="CS26" s="1940"/>
      <c r="CT26" s="278"/>
      <c r="CU26" s="279"/>
      <c r="CX26" s="1322"/>
      <c r="CY26" s="1320"/>
      <c r="CZ26" s="1320"/>
      <c r="DA26" s="1320"/>
      <c r="DC26" s="3"/>
      <c r="DD26" s="3"/>
      <c r="DE26" s="3"/>
      <c r="DF26" s="3"/>
    </row>
    <row r="27" spans="1:110" s="21" customFormat="1" ht="21.9" customHeight="1" x14ac:dyDescent="0.4">
      <c r="A27" s="2061" t="s">
        <v>1142</v>
      </c>
      <c r="B27" s="2014">
        <v>2</v>
      </c>
      <c r="C27" s="2013"/>
      <c r="D27" s="1833"/>
      <c r="E27" s="2013"/>
      <c r="F27" s="2016"/>
      <c r="G27" s="2019"/>
      <c r="H27" s="1729"/>
      <c r="I27" s="1729"/>
      <c r="J27" s="1733">
        <v>102.7</v>
      </c>
      <c r="K27" s="1735"/>
      <c r="L27" s="1729"/>
      <c r="M27" s="1733"/>
      <c r="N27" s="1735"/>
      <c r="O27" s="1729"/>
      <c r="P27" s="1866"/>
      <c r="Q27" s="1735"/>
      <c r="R27" s="1729"/>
      <c r="S27" s="1729"/>
      <c r="T27" s="1733"/>
      <c r="U27" s="2070" t="s">
        <v>1704</v>
      </c>
      <c r="V27" s="1729"/>
      <c r="W27" s="1729"/>
      <c r="X27" s="1733"/>
      <c r="Y27" s="1758"/>
      <c r="Z27" s="1729"/>
      <c r="AA27" s="1729"/>
      <c r="AB27" s="1733"/>
      <c r="AC27" s="962">
        <v>9</v>
      </c>
      <c r="AD27" s="1513">
        <v>31</v>
      </c>
      <c r="AE27" s="1513">
        <v>52</v>
      </c>
      <c r="AF27" s="1640">
        <v>54</v>
      </c>
      <c r="AG27" s="1640">
        <v>57</v>
      </c>
      <c r="AH27" s="18"/>
      <c r="AI27" s="2061" t="s">
        <v>1155</v>
      </c>
      <c r="AJ27" s="2014">
        <v>2</v>
      </c>
      <c r="AK27" s="2013"/>
      <c r="AL27" s="1833"/>
      <c r="AM27" s="2013"/>
      <c r="AN27" s="2016"/>
      <c r="AO27" s="2019"/>
      <c r="AP27" s="1729"/>
      <c r="AQ27" s="1729"/>
      <c r="AR27" s="1733">
        <v>102.3</v>
      </c>
      <c r="AS27" s="1735"/>
      <c r="AT27" s="1729"/>
      <c r="AU27" s="1733"/>
      <c r="AV27" s="1735"/>
      <c r="AW27" s="1729"/>
      <c r="AX27" s="1866"/>
      <c r="AY27" s="1735"/>
      <c r="AZ27" s="1729"/>
      <c r="BA27" s="1729"/>
      <c r="BB27" s="1733"/>
      <c r="BC27" s="1735"/>
      <c r="BD27" s="1729"/>
      <c r="BE27" s="1729"/>
      <c r="BF27" s="1733"/>
      <c r="BG27" s="1758"/>
      <c r="BH27" s="1729"/>
      <c r="BI27" s="1729"/>
      <c r="BJ27" s="1733"/>
      <c r="BK27" s="962">
        <v>9</v>
      </c>
      <c r="BL27" s="284">
        <v>30</v>
      </c>
      <c r="BM27" s="284">
        <v>48</v>
      </c>
      <c r="BN27" s="1640">
        <v>58</v>
      </c>
      <c r="BO27" s="1640">
        <v>57</v>
      </c>
      <c r="BP27" s="19"/>
      <c r="BQ27" s="20"/>
      <c r="BR27" s="1996"/>
      <c r="BS27" s="1997"/>
      <c r="BT27" s="1789"/>
      <c r="BU27" s="1790"/>
      <c r="BV27" s="1789"/>
      <c r="BW27" s="1790"/>
      <c r="BX27" s="209"/>
      <c r="BY27" s="209"/>
      <c r="BZ27" s="215"/>
      <c r="CA27" s="1"/>
      <c r="CM27" s="20"/>
      <c r="CN27" s="1793" t="s">
        <v>776</v>
      </c>
      <c r="CO27" s="1793"/>
      <c r="CP27" s="1943">
        <f>AVERAGE(C95:C106,G95:G106,K95:K106)</f>
        <v>99.32999999999997</v>
      </c>
      <c r="CQ27" s="1943"/>
      <c r="CR27" s="1943">
        <f>AVERAGE(AK95:AK106,AO95:AO106,AS95:AS106)</f>
        <v>99.32999999999997</v>
      </c>
      <c r="CS27" s="1943"/>
      <c r="CT27" s="280"/>
      <c r="CU27" s="214"/>
      <c r="CX27" s="1321" t="s">
        <v>1372</v>
      </c>
      <c r="CY27" s="1317">
        <f>MIN(T9:T33,X9:X33,AB9:AB33,BB9:BB33,BF9:BF33,BJ9:BJ33)</f>
        <v>66.399999999999991</v>
      </c>
      <c r="CZ27" s="1319" t="s">
        <v>247</v>
      </c>
      <c r="DA27" s="1317">
        <f>MAX(T9:T33,X9:X33,AB9:AB33,BB9:BB33,BF9:BF33,BJ9:BJ33)</f>
        <v>71.699999999999989</v>
      </c>
      <c r="DC27" s="3"/>
      <c r="DD27" s="3"/>
      <c r="DE27" s="3"/>
      <c r="DF27" s="3"/>
    </row>
    <row r="28" spans="1:110" s="21" customFormat="1" ht="21.9" customHeight="1" thickBot="1" x14ac:dyDescent="0.45">
      <c r="A28" s="2061"/>
      <c r="B28" s="2015"/>
      <c r="C28" s="2013"/>
      <c r="D28" s="1834"/>
      <c r="E28" s="2013"/>
      <c r="F28" s="2016"/>
      <c r="G28" s="2020"/>
      <c r="H28" s="1730"/>
      <c r="I28" s="1730"/>
      <c r="J28" s="1734"/>
      <c r="K28" s="1736"/>
      <c r="L28" s="1730"/>
      <c r="M28" s="1734"/>
      <c r="N28" s="1736"/>
      <c r="O28" s="1730"/>
      <c r="P28" s="1867"/>
      <c r="Q28" s="1736"/>
      <c r="R28" s="1730"/>
      <c r="S28" s="1730"/>
      <c r="T28" s="1734"/>
      <c r="U28" s="2071"/>
      <c r="V28" s="1730"/>
      <c r="W28" s="1730"/>
      <c r="X28" s="1734"/>
      <c r="Y28" s="1759"/>
      <c r="Z28" s="1730"/>
      <c r="AA28" s="1730"/>
      <c r="AB28" s="1734"/>
      <c r="AC28" s="962">
        <v>10</v>
      </c>
      <c r="AD28" s="1513">
        <v>29</v>
      </c>
      <c r="AE28" s="1513">
        <v>48</v>
      </c>
      <c r="AF28" s="1640">
        <v>39</v>
      </c>
      <c r="AG28" s="1640">
        <v>45</v>
      </c>
      <c r="AH28" s="18"/>
      <c r="AI28" s="2061"/>
      <c r="AJ28" s="2015"/>
      <c r="AK28" s="2013"/>
      <c r="AL28" s="1834"/>
      <c r="AM28" s="2013"/>
      <c r="AN28" s="2016"/>
      <c r="AO28" s="2020"/>
      <c r="AP28" s="1730"/>
      <c r="AQ28" s="1730"/>
      <c r="AR28" s="1734"/>
      <c r="AS28" s="1736"/>
      <c r="AT28" s="1730"/>
      <c r="AU28" s="1734"/>
      <c r="AV28" s="1736"/>
      <c r="AW28" s="1730"/>
      <c r="AX28" s="1867"/>
      <c r="AY28" s="1736"/>
      <c r="AZ28" s="1730"/>
      <c r="BA28" s="1730"/>
      <c r="BB28" s="1734"/>
      <c r="BC28" s="1736"/>
      <c r="BD28" s="1730"/>
      <c r="BE28" s="1730"/>
      <c r="BF28" s="1734"/>
      <c r="BG28" s="1759"/>
      <c r="BH28" s="1730"/>
      <c r="BI28" s="1730"/>
      <c r="BJ28" s="1734"/>
      <c r="BK28" s="962">
        <v>10</v>
      </c>
      <c r="BL28" s="284">
        <v>30</v>
      </c>
      <c r="BM28" s="284">
        <v>50</v>
      </c>
      <c r="BN28" s="1640">
        <v>49</v>
      </c>
      <c r="BO28" s="1640">
        <v>55</v>
      </c>
      <c r="BP28" s="19"/>
      <c r="BQ28" s="20"/>
      <c r="BR28" s="1996"/>
      <c r="BS28" s="1997"/>
      <c r="BT28" s="1789" t="s">
        <v>772</v>
      </c>
      <c r="BU28" s="1790"/>
      <c r="BV28" s="1789" t="s">
        <v>774</v>
      </c>
      <c r="BW28" s="1790"/>
      <c r="BX28" s="209"/>
      <c r="BY28" s="209"/>
      <c r="BZ28" s="215"/>
      <c r="CA28" s="1"/>
      <c r="CM28" s="20"/>
      <c r="CN28" s="1793"/>
      <c r="CO28" s="1793"/>
      <c r="CP28" s="1943"/>
      <c r="CQ28" s="1943"/>
      <c r="CR28" s="1943"/>
      <c r="CS28" s="1943"/>
      <c r="CT28" s="214"/>
      <c r="CU28" s="214"/>
      <c r="CX28" s="1321" t="s">
        <v>250</v>
      </c>
      <c r="CY28" s="1317">
        <f>MIN(Q9:Q33,U9:U33,Y9:Y33,AY9:AY33,BC9:BC33,BG9:BG33)</f>
        <v>95</v>
      </c>
      <c r="CZ28" s="1319" t="s">
        <v>247</v>
      </c>
      <c r="DA28" s="1317">
        <f>MAX(Q9:Q33,U9:U33,Y9:Y33,AY9:AY33,BC9:BC33,BG9:BG33)</f>
        <v>98.6</v>
      </c>
      <c r="DC28" s="3"/>
      <c r="DD28" s="3"/>
      <c r="DE28" s="3"/>
      <c r="DF28" s="3"/>
    </row>
    <row r="29" spans="1:110" s="21" customFormat="1" ht="21.9" customHeight="1" thickBot="1" x14ac:dyDescent="0.45">
      <c r="A29" s="2061" t="s">
        <v>1143</v>
      </c>
      <c r="B29" s="1833">
        <v>3</v>
      </c>
      <c r="C29" s="2013"/>
      <c r="D29" s="1833"/>
      <c r="E29" s="2013"/>
      <c r="F29" s="2016"/>
      <c r="G29" s="2019"/>
      <c r="H29" s="1729"/>
      <c r="I29" s="1729"/>
      <c r="J29" s="1733">
        <v>102.3</v>
      </c>
      <c r="K29" s="1060"/>
      <c r="L29" s="1041">
        <f>ROUND(AVERAGE(K9:M28),1)</f>
        <v>67</v>
      </c>
      <c r="M29" s="1059"/>
      <c r="N29" s="1058"/>
      <c r="O29" s="1041">
        <f>ROUND(AVERAGE(N9:P28),1)</f>
        <v>67.3</v>
      </c>
      <c r="P29" s="1061"/>
      <c r="Q29" s="1735"/>
      <c r="R29" s="1729"/>
      <c r="S29" s="1729"/>
      <c r="T29" s="1733"/>
      <c r="U29" s="2070"/>
      <c r="V29" s="1729"/>
      <c r="W29" s="1729"/>
      <c r="X29" s="1733"/>
      <c r="Y29" s="1758"/>
      <c r="Z29" s="1729"/>
      <c r="AA29" s="1729"/>
      <c r="AB29" s="1733"/>
      <c r="AC29" s="962">
        <v>11</v>
      </c>
      <c r="AD29" s="1513"/>
      <c r="AE29" s="1513"/>
      <c r="AF29" s="1513"/>
      <c r="AG29" s="1513"/>
      <c r="AH29" s="18"/>
      <c r="AI29" s="2061" t="s">
        <v>1156</v>
      </c>
      <c r="AJ29" s="1833">
        <v>3</v>
      </c>
      <c r="AK29" s="2013"/>
      <c r="AL29" s="1833"/>
      <c r="AM29" s="2013"/>
      <c r="AN29" s="2016"/>
      <c r="AO29" s="2019"/>
      <c r="AP29" s="1729"/>
      <c r="AQ29" s="1729"/>
      <c r="AR29" s="1733">
        <v>103.5</v>
      </c>
      <c r="AS29" s="1058"/>
      <c r="AT29" s="1041">
        <f>ROUND(AVERAGE(AS9:AU28),1)</f>
        <v>57.5</v>
      </c>
      <c r="AU29" s="1059"/>
      <c r="AV29" s="1058"/>
      <c r="AW29" s="1041">
        <f>ROUND(AVERAGE(AV9:AX28),1)</f>
        <v>60.1</v>
      </c>
      <c r="AX29" s="1059"/>
      <c r="AY29" s="1735"/>
      <c r="AZ29" s="1729"/>
      <c r="BA29" s="1729"/>
      <c r="BB29" s="1733"/>
      <c r="BC29" s="1735"/>
      <c r="BD29" s="1729"/>
      <c r="BE29" s="1729"/>
      <c r="BF29" s="1733"/>
      <c r="BG29" s="1758"/>
      <c r="BH29" s="1729"/>
      <c r="BI29" s="1729"/>
      <c r="BJ29" s="1733"/>
      <c r="BK29" s="962">
        <v>11</v>
      </c>
      <c r="BL29" s="284"/>
      <c r="BM29" s="284"/>
      <c r="BN29" s="284"/>
      <c r="BO29" s="284"/>
      <c r="BP29" s="19"/>
      <c r="BQ29" s="20"/>
      <c r="BR29" s="1998"/>
      <c r="BS29" s="1999"/>
      <c r="BT29" s="1791"/>
      <c r="BU29" s="1792"/>
      <c r="BV29" s="1791"/>
      <c r="BW29" s="1792"/>
      <c r="BX29" s="209"/>
      <c r="BY29" s="209"/>
      <c r="BZ29" s="215"/>
      <c r="CA29" s="1"/>
      <c r="CM29" s="20"/>
      <c r="CN29" s="1793"/>
      <c r="CO29" s="1793"/>
      <c r="CP29" s="1943"/>
      <c r="CQ29" s="1943"/>
      <c r="CR29" s="1943"/>
      <c r="CS29" s="1943"/>
      <c r="CT29" s="214"/>
      <c r="CU29" s="214"/>
      <c r="CX29" s="1321" t="s">
        <v>1374</v>
      </c>
      <c r="CY29" s="1318">
        <f>MIN(AD4:AD33,BL4:BL33)</f>
        <v>26</v>
      </c>
      <c r="CZ29" s="1318" t="s">
        <v>247</v>
      </c>
      <c r="DA29" s="1318">
        <f>MAX(AD4:AD33,BL4:BL33)</f>
        <v>34</v>
      </c>
      <c r="DC29" s="3"/>
      <c r="DD29" s="3"/>
      <c r="DE29" s="3"/>
      <c r="DF29" s="3"/>
    </row>
    <row r="30" spans="1:110" s="21" customFormat="1" ht="21.9" customHeight="1" thickBot="1" x14ac:dyDescent="0.45">
      <c r="A30" s="2061"/>
      <c r="B30" s="1834"/>
      <c r="C30" s="2013"/>
      <c r="D30" s="1834"/>
      <c r="E30" s="2013"/>
      <c r="F30" s="2016"/>
      <c r="G30" s="2020"/>
      <c r="H30" s="1730"/>
      <c r="I30" s="1730"/>
      <c r="J30" s="1734"/>
      <c r="K30" s="1847" t="s">
        <v>1567</v>
      </c>
      <c r="L30" s="1848"/>
      <c r="M30" s="1849"/>
      <c r="N30" s="1847" t="s">
        <v>1566</v>
      </c>
      <c r="O30" s="1848"/>
      <c r="P30" s="1849"/>
      <c r="Q30" s="1736"/>
      <c r="R30" s="1730"/>
      <c r="S30" s="1730"/>
      <c r="T30" s="1734"/>
      <c r="U30" s="2071"/>
      <c r="V30" s="1730"/>
      <c r="W30" s="1730"/>
      <c r="X30" s="1734"/>
      <c r="Y30" s="1759"/>
      <c r="Z30" s="1730"/>
      <c r="AA30" s="1730"/>
      <c r="AB30" s="1734"/>
      <c r="AC30" s="962">
        <v>12</v>
      </c>
      <c r="AD30" s="1513"/>
      <c r="AE30" s="1513"/>
      <c r="AF30" s="1513"/>
      <c r="AG30" s="1513">
        <v>58</v>
      </c>
      <c r="AH30" s="18"/>
      <c r="AI30" s="2061"/>
      <c r="AJ30" s="1834"/>
      <c r="AK30" s="2013"/>
      <c r="AL30" s="1834"/>
      <c r="AM30" s="2013"/>
      <c r="AN30" s="2016"/>
      <c r="AO30" s="2020"/>
      <c r="AP30" s="1730"/>
      <c r="AQ30" s="1730"/>
      <c r="AR30" s="1734"/>
      <c r="AS30" s="1847" t="s">
        <v>1567</v>
      </c>
      <c r="AT30" s="1848"/>
      <c r="AU30" s="1849"/>
      <c r="AV30" s="1847" t="s">
        <v>1566</v>
      </c>
      <c r="AW30" s="1848"/>
      <c r="AX30" s="1849"/>
      <c r="AY30" s="1736"/>
      <c r="AZ30" s="1730"/>
      <c r="BA30" s="1730"/>
      <c r="BB30" s="1734"/>
      <c r="BC30" s="1736"/>
      <c r="BD30" s="1730"/>
      <c r="BE30" s="1730"/>
      <c r="BF30" s="1734"/>
      <c r="BG30" s="1759"/>
      <c r="BH30" s="1730"/>
      <c r="BI30" s="1730"/>
      <c r="BJ30" s="1734"/>
      <c r="BK30" s="962">
        <v>12</v>
      </c>
      <c r="BL30" s="284"/>
      <c r="BM30" s="284"/>
      <c r="BN30" s="284"/>
      <c r="BO30" s="1640">
        <v>55</v>
      </c>
      <c r="BP30" s="19"/>
      <c r="BQ30" s="20"/>
      <c r="BR30" s="1817" t="s">
        <v>788</v>
      </c>
      <c r="BS30" s="1818"/>
      <c r="BT30" s="1717">
        <f>B131</f>
        <v>5.7889999999999997</v>
      </c>
      <c r="BU30" s="1718"/>
      <c r="BV30" s="1717">
        <f>AJ131</f>
        <v>5.875</v>
      </c>
      <c r="BW30" s="1718"/>
      <c r="BX30" s="209"/>
      <c r="BY30" s="209"/>
      <c r="BZ30" s="215"/>
      <c r="CA30" s="1"/>
      <c r="CM30" s="20"/>
      <c r="CN30" s="1793"/>
      <c r="CO30" s="1793"/>
      <c r="CP30" s="1943"/>
      <c r="CQ30" s="1943"/>
      <c r="CR30" s="1943"/>
      <c r="CS30" s="1943"/>
      <c r="CT30" s="214"/>
      <c r="CU30" s="214"/>
      <c r="CX30" s="1321" t="s">
        <v>1375</v>
      </c>
      <c r="CY30" s="1318">
        <f>MIN(AE4:AE33,BM4:BM33)</f>
        <v>44</v>
      </c>
      <c r="CZ30" s="1318" t="s">
        <v>247</v>
      </c>
      <c r="DA30" s="1318">
        <f>MAX(AE4:AE33,BM4:BM33)</f>
        <v>52</v>
      </c>
      <c r="DC30" s="3"/>
      <c r="DD30" s="3"/>
      <c r="DE30" s="3"/>
      <c r="DF30" s="3"/>
    </row>
    <row r="31" spans="1:110" s="21" customFormat="1" ht="21.9" customHeight="1" thickBot="1" x14ac:dyDescent="0.45">
      <c r="A31" s="2061" t="s">
        <v>1144</v>
      </c>
      <c r="B31" s="1897">
        <v>4</v>
      </c>
      <c r="C31" s="1835"/>
      <c r="D31" s="1833"/>
      <c r="E31" s="1901"/>
      <c r="F31" s="1729"/>
      <c r="G31" s="2019"/>
      <c r="H31" s="1729"/>
      <c r="I31" s="1729"/>
      <c r="J31" s="1733">
        <v>103.1</v>
      </c>
      <c r="K31" s="286">
        <v>54</v>
      </c>
      <c r="L31" s="287">
        <v>68</v>
      </c>
      <c r="M31" s="288">
        <v>72</v>
      </c>
      <c r="N31" s="1623">
        <v>36</v>
      </c>
      <c r="O31" s="287">
        <v>38</v>
      </c>
      <c r="P31" s="288">
        <v>38</v>
      </c>
      <c r="Q31" s="1735"/>
      <c r="R31" s="1760"/>
      <c r="S31" s="1760"/>
      <c r="T31" s="1881"/>
      <c r="U31" s="2070" t="s">
        <v>1704</v>
      </c>
      <c r="V31" s="1760"/>
      <c r="W31" s="1760"/>
      <c r="X31" s="1881"/>
      <c r="Y31" s="1758"/>
      <c r="Z31" s="1760"/>
      <c r="AA31" s="1760"/>
      <c r="AB31" s="1881"/>
      <c r="AC31" s="962">
        <v>13</v>
      </c>
      <c r="AD31" s="1513">
        <v>30</v>
      </c>
      <c r="AE31" s="1513">
        <v>49</v>
      </c>
      <c r="AF31" s="1640">
        <v>55</v>
      </c>
      <c r="AG31" s="1640">
        <v>56</v>
      </c>
      <c r="AH31" s="18"/>
      <c r="AI31" s="2061" t="s">
        <v>1157</v>
      </c>
      <c r="AJ31" s="1897">
        <v>4</v>
      </c>
      <c r="AK31" s="1835"/>
      <c r="AL31" s="1833"/>
      <c r="AM31" s="1901"/>
      <c r="AN31" s="1729"/>
      <c r="AO31" s="2019"/>
      <c r="AP31" s="1729"/>
      <c r="AQ31" s="1729"/>
      <c r="AR31" s="1733" t="s">
        <v>247</v>
      </c>
      <c r="AS31" s="286">
        <v>63</v>
      </c>
      <c r="AT31" s="287">
        <v>61</v>
      </c>
      <c r="AU31" s="288">
        <v>71</v>
      </c>
      <c r="AV31" s="286">
        <v>41</v>
      </c>
      <c r="AW31" s="287">
        <v>39</v>
      </c>
      <c r="AX31" s="289">
        <v>39</v>
      </c>
      <c r="AY31" s="1735"/>
      <c r="AZ31" s="1760"/>
      <c r="BA31" s="1760"/>
      <c r="BB31" s="1881"/>
      <c r="BC31" s="1735"/>
      <c r="BD31" s="1760"/>
      <c r="BE31" s="1760"/>
      <c r="BF31" s="1881"/>
      <c r="BG31" s="1758"/>
      <c r="BH31" s="1760"/>
      <c r="BI31" s="1760"/>
      <c r="BJ31" s="1881"/>
      <c r="BK31" s="962">
        <v>13</v>
      </c>
      <c r="BL31" s="284">
        <v>30</v>
      </c>
      <c r="BM31" s="284">
        <v>48</v>
      </c>
      <c r="BN31" s="1640">
        <v>57</v>
      </c>
      <c r="BO31" s="1640">
        <v>56</v>
      </c>
      <c r="BP31" s="19"/>
      <c r="BQ31" s="20"/>
      <c r="BR31" s="1800"/>
      <c r="BS31" s="1799"/>
      <c r="BT31" s="1719"/>
      <c r="BU31" s="1720"/>
      <c r="BV31" s="1719"/>
      <c r="BW31" s="1720"/>
      <c r="BX31" s="209"/>
      <c r="BY31" s="209"/>
      <c r="BZ31" s="990"/>
      <c r="CA31" s="1"/>
      <c r="CM31" s="20"/>
      <c r="CN31" s="1793"/>
      <c r="CO31" s="1793"/>
      <c r="CP31" s="1943"/>
      <c r="CQ31" s="1943"/>
      <c r="CR31" s="1943"/>
      <c r="CS31" s="1943"/>
      <c r="CT31" s="275"/>
      <c r="CU31" s="214"/>
      <c r="CX31" s="1321" t="s">
        <v>1357</v>
      </c>
      <c r="CY31" s="1317">
        <f>MIN(K9:M28,AS9:AU28)</f>
        <v>51.9</v>
      </c>
      <c r="CZ31" s="1319" t="s">
        <v>247</v>
      </c>
      <c r="DA31" s="1317">
        <f>MAX(K9:M28,AS9:AU28)</f>
        <v>71.400000000000006</v>
      </c>
      <c r="DC31" s="3"/>
      <c r="DD31" s="3"/>
      <c r="DE31" s="3"/>
      <c r="DF31" s="3"/>
    </row>
    <row r="32" spans="1:110" s="21" customFormat="1" ht="21.9" customHeight="1" thickBot="1" x14ac:dyDescent="0.45">
      <c r="A32" s="2061"/>
      <c r="B32" s="1898"/>
      <c r="C32" s="1836"/>
      <c r="D32" s="1834"/>
      <c r="E32" s="1902"/>
      <c r="F32" s="1730"/>
      <c r="G32" s="2020"/>
      <c r="H32" s="1730"/>
      <c r="I32" s="1730"/>
      <c r="J32" s="1734"/>
      <c r="K32" s="2145"/>
      <c r="L32" s="2146"/>
      <c r="M32" s="2147"/>
      <c r="N32" s="2145"/>
      <c r="O32" s="2146"/>
      <c r="P32" s="2147"/>
      <c r="Q32" s="2008"/>
      <c r="R32" s="1761"/>
      <c r="S32" s="1761"/>
      <c r="T32" s="1882"/>
      <c r="U32" s="2071"/>
      <c r="V32" s="1761"/>
      <c r="W32" s="1761"/>
      <c r="X32" s="1882"/>
      <c r="Y32" s="1759"/>
      <c r="Z32" s="1761"/>
      <c r="AA32" s="1761"/>
      <c r="AB32" s="1882"/>
      <c r="AC32" s="962">
        <v>14</v>
      </c>
      <c r="AD32" s="1513"/>
      <c r="AE32" s="1513"/>
      <c r="AF32" s="1513"/>
      <c r="AG32" s="1513"/>
      <c r="AH32" s="18"/>
      <c r="AI32" s="2061"/>
      <c r="AJ32" s="1898"/>
      <c r="AK32" s="1836"/>
      <c r="AL32" s="1834"/>
      <c r="AM32" s="1902"/>
      <c r="AN32" s="1730"/>
      <c r="AO32" s="2020"/>
      <c r="AP32" s="1730"/>
      <c r="AQ32" s="1730"/>
      <c r="AR32" s="1734"/>
      <c r="AS32" s="2145"/>
      <c r="AT32" s="2146"/>
      <c r="AU32" s="2147"/>
      <c r="AV32" s="2145"/>
      <c r="AW32" s="2146"/>
      <c r="AX32" s="2147"/>
      <c r="AY32" s="2008"/>
      <c r="AZ32" s="1761"/>
      <c r="BA32" s="1761"/>
      <c r="BB32" s="1882"/>
      <c r="BC32" s="2008"/>
      <c r="BD32" s="1761"/>
      <c r="BE32" s="1761"/>
      <c r="BF32" s="1882"/>
      <c r="BG32" s="1759"/>
      <c r="BH32" s="1761"/>
      <c r="BI32" s="1761"/>
      <c r="BJ32" s="1882"/>
      <c r="BK32" s="962">
        <v>14</v>
      </c>
      <c r="BL32" s="285"/>
      <c r="BM32" s="285"/>
      <c r="BN32" s="285"/>
      <c r="BO32" s="285"/>
      <c r="BP32" s="19"/>
      <c r="BQ32" s="20"/>
      <c r="BR32" s="1800"/>
      <c r="BS32" s="1799"/>
      <c r="BT32" s="1719"/>
      <c r="BU32" s="1720"/>
      <c r="BV32" s="1719"/>
      <c r="BW32" s="1720"/>
      <c r="BX32" s="209"/>
      <c r="BY32" s="209"/>
      <c r="BZ32" s="990"/>
      <c r="CA32" s="1"/>
      <c r="CM32" s="20"/>
      <c r="CN32" s="1793" t="s">
        <v>758</v>
      </c>
      <c r="CO32" s="1793"/>
      <c r="CP32" s="1786" t="e">
        <f>CQ70</f>
        <v>#DIV/0!</v>
      </c>
      <c r="CQ32" s="1786"/>
      <c r="CR32" s="1786" t="e">
        <f>CQ71</f>
        <v>#DIV/0!</v>
      </c>
      <c r="CS32" s="1786"/>
      <c r="CT32" s="214"/>
      <c r="CU32" s="214"/>
      <c r="CX32" s="1321" t="s">
        <v>1373</v>
      </c>
      <c r="CY32" s="1317">
        <f>MIN(AD78:AE89,BL78:BM89)</f>
        <v>50</v>
      </c>
      <c r="CZ32" s="1317" t="s">
        <v>247</v>
      </c>
      <c r="DA32" s="1317">
        <f>MAX(AD78:AE89,BL78:BM89)</f>
        <v>59</v>
      </c>
      <c r="DC32" s="3"/>
      <c r="DD32" s="3"/>
      <c r="DE32" s="3"/>
      <c r="DF32" s="3"/>
    </row>
    <row r="33" spans="1:110" s="21" customFormat="1" ht="21.9" customHeight="1" thickBot="1" x14ac:dyDescent="0.45">
      <c r="A33" s="2229"/>
      <c r="B33" s="2172">
        <v>5</v>
      </c>
      <c r="C33" s="1835"/>
      <c r="D33" s="1833"/>
      <c r="E33" s="1901"/>
      <c r="F33" s="1729"/>
      <c r="G33" s="1429"/>
      <c r="H33" s="961"/>
      <c r="I33" s="961"/>
      <c r="J33" s="963"/>
      <c r="K33" s="295"/>
      <c r="L33" s="296">
        <f>ROUND(AVERAGE(K31:M32),0)</f>
        <v>65</v>
      </c>
      <c r="M33" s="297"/>
      <c r="N33" s="295"/>
      <c r="O33" s="296">
        <f>ROUND(AVERAGE(N31:P32),0)</f>
        <v>37</v>
      </c>
      <c r="P33" s="298"/>
      <c r="Q33" s="299">
        <v>95.8</v>
      </c>
      <c r="R33" s="300">
        <v>29.8</v>
      </c>
      <c r="S33" s="304">
        <v>97.4</v>
      </c>
      <c r="T33" s="305">
        <f>ROUND((S33-R33),1)</f>
        <v>67.599999999999994</v>
      </c>
      <c r="U33" s="299">
        <v>96.6</v>
      </c>
      <c r="V33" s="300">
        <v>29.8</v>
      </c>
      <c r="W33" s="304">
        <v>97.8</v>
      </c>
      <c r="X33" s="306">
        <f>ROUND((W33-V33),1)</f>
        <v>68</v>
      </c>
      <c r="Y33" s="299">
        <v>95.8</v>
      </c>
      <c r="Z33" s="300">
        <v>29.8</v>
      </c>
      <c r="AA33" s="304">
        <v>98.2</v>
      </c>
      <c r="AB33" s="306">
        <f>ROUND((AA33-Z33),1)</f>
        <v>68.400000000000006</v>
      </c>
      <c r="AC33" s="965">
        <v>15</v>
      </c>
      <c r="AD33" s="1513">
        <v>31</v>
      </c>
      <c r="AE33" s="1513">
        <v>49</v>
      </c>
      <c r="AF33" s="1640">
        <v>51</v>
      </c>
      <c r="AG33" s="1640">
        <v>55</v>
      </c>
      <c r="AH33" s="18"/>
      <c r="AI33" s="2223"/>
      <c r="AJ33" s="2172">
        <v>5</v>
      </c>
      <c r="AK33" s="1835"/>
      <c r="AL33" s="1833"/>
      <c r="AM33" s="1901"/>
      <c r="AN33" s="1729"/>
      <c r="AO33" s="1429"/>
      <c r="AP33" s="961"/>
      <c r="AQ33" s="961"/>
      <c r="AR33" s="963"/>
      <c r="AS33" s="295"/>
      <c r="AT33" s="296">
        <f>ROUND(AVERAGE(AS31:AU32),0)</f>
        <v>65</v>
      </c>
      <c r="AU33" s="297"/>
      <c r="AV33" s="295"/>
      <c r="AW33" s="296">
        <f>ROUND(AVERAGE(AV31:AX32),0)</f>
        <v>40</v>
      </c>
      <c r="AX33" s="298"/>
      <c r="AY33" s="299">
        <v>97.8</v>
      </c>
      <c r="AZ33" s="300">
        <v>27.8</v>
      </c>
      <c r="BA33" s="304">
        <v>97.8</v>
      </c>
      <c r="BB33" s="305">
        <f>ROUND((BA33-AZ33),1)</f>
        <v>70</v>
      </c>
      <c r="BC33" s="299">
        <v>98.6</v>
      </c>
      <c r="BD33" s="300">
        <v>27.8</v>
      </c>
      <c r="BE33" s="304">
        <v>97.8</v>
      </c>
      <c r="BF33" s="306">
        <f>ROUND((BE33-BD33),1)</f>
        <v>70</v>
      </c>
      <c r="BG33" s="299">
        <v>98.6</v>
      </c>
      <c r="BH33" s="300">
        <v>27.8</v>
      </c>
      <c r="BI33" s="304">
        <v>98.6</v>
      </c>
      <c r="BJ33" s="306">
        <f>ROUND((BI33-BH33),1)</f>
        <v>70.8</v>
      </c>
      <c r="BK33" s="965">
        <v>15</v>
      </c>
      <c r="BL33" s="285">
        <v>31</v>
      </c>
      <c r="BM33" s="285">
        <v>49</v>
      </c>
      <c r="BN33" s="1640">
        <v>51</v>
      </c>
      <c r="BO33" s="1640">
        <v>55</v>
      </c>
      <c r="BP33" s="19"/>
      <c r="BQ33" s="20"/>
      <c r="BR33" s="1801"/>
      <c r="BS33" s="1802"/>
      <c r="BT33" s="1721"/>
      <c r="BU33" s="1722"/>
      <c r="BV33" s="1721"/>
      <c r="BW33" s="1722"/>
      <c r="BX33" s="209"/>
      <c r="BY33" s="209"/>
      <c r="BZ33" s="990"/>
      <c r="CA33" s="1"/>
      <c r="CM33" s="20"/>
      <c r="CN33" s="1793"/>
      <c r="CO33" s="1793"/>
      <c r="CP33" s="1786"/>
      <c r="CQ33" s="1786"/>
      <c r="CR33" s="1786"/>
      <c r="CS33" s="1786"/>
      <c r="CT33" s="214"/>
      <c r="CU33" s="214"/>
      <c r="CX33" s="1322"/>
      <c r="CY33" s="1320"/>
      <c r="CZ33" s="1320"/>
      <c r="DA33" s="1320"/>
      <c r="DC33" s="3"/>
      <c r="DD33" s="3"/>
      <c r="DE33" s="3"/>
      <c r="DF33" s="3"/>
    </row>
    <row r="34" spans="1:110" s="21" customFormat="1" ht="37.5" customHeight="1" thickBot="1" x14ac:dyDescent="0.45">
      <c r="A34" s="2230"/>
      <c r="B34" s="2173"/>
      <c r="C34" s="2166"/>
      <c r="D34" s="1834"/>
      <c r="E34" s="1902"/>
      <c r="F34" s="1730"/>
      <c r="G34" s="1429"/>
      <c r="H34" s="961"/>
      <c r="I34" s="531"/>
      <c r="J34" s="290"/>
      <c r="K34" s="1433"/>
      <c r="L34" s="1438"/>
      <c r="M34" s="1434"/>
      <c r="N34" s="1433"/>
      <c r="O34" s="1438"/>
      <c r="P34" s="1434"/>
      <c r="Q34" s="301"/>
      <c r="R34" s="1967" t="s">
        <v>1424</v>
      </c>
      <c r="S34" s="1968"/>
      <c r="T34" s="307">
        <v>43.7</v>
      </c>
      <c r="U34" s="121"/>
      <c r="V34" s="1967" t="s">
        <v>1424</v>
      </c>
      <c r="W34" s="1968"/>
      <c r="X34" s="307">
        <v>42.3</v>
      </c>
      <c r="Y34" s="1062" t="s">
        <v>1425</v>
      </c>
      <c r="Z34" s="770" t="s">
        <v>567</v>
      </c>
      <c r="AA34" s="1062" t="s">
        <v>1421</v>
      </c>
      <c r="AB34" s="308">
        <v>42.1</v>
      </c>
      <c r="AC34" s="771" t="s">
        <v>28</v>
      </c>
      <c r="AD34" s="309">
        <f>ROUND(AVERAGE(AD4:AD33),)</f>
        <v>30</v>
      </c>
      <c r="AE34" s="309">
        <f>ROUND(AVERAGE(AE4:AE33),)</f>
        <v>49</v>
      </c>
      <c r="AF34" s="309">
        <f>ROUND(AVERAGE(AF4:AF33),)</f>
        <v>50</v>
      </c>
      <c r="AG34" s="309">
        <f>ROUND(AVERAGE(AG4:AG33),)</f>
        <v>56</v>
      </c>
      <c r="AH34" s="18"/>
      <c r="AI34" s="2224"/>
      <c r="AJ34" s="2173"/>
      <c r="AK34" s="2166"/>
      <c r="AL34" s="1834"/>
      <c r="AM34" s="1902"/>
      <c r="AN34" s="1730"/>
      <c r="AO34" s="1429"/>
      <c r="AP34" s="961"/>
      <c r="AQ34" s="531"/>
      <c r="AR34" s="850"/>
      <c r="AS34" s="796" t="s">
        <v>1085</v>
      </c>
      <c r="AT34" s="841" t="s">
        <v>794</v>
      </c>
      <c r="AU34" s="989" t="s">
        <v>1086</v>
      </c>
      <c r="AV34" s="796" t="s">
        <v>1085</v>
      </c>
      <c r="AW34" s="841" t="s">
        <v>794</v>
      </c>
      <c r="AX34" s="989" t="s">
        <v>1086</v>
      </c>
      <c r="AY34" s="117"/>
      <c r="AZ34" s="1967" t="s">
        <v>1424</v>
      </c>
      <c r="BA34" s="1968"/>
      <c r="BB34" s="307">
        <v>35.5</v>
      </c>
      <c r="BC34" s="121"/>
      <c r="BD34" s="1967" t="s">
        <v>1424</v>
      </c>
      <c r="BE34" s="1968"/>
      <c r="BF34" s="307">
        <v>36.9</v>
      </c>
      <c r="BG34" s="1062" t="s">
        <v>1425</v>
      </c>
      <c r="BH34" s="770" t="s">
        <v>567</v>
      </c>
      <c r="BI34" s="1062" t="s">
        <v>1421</v>
      </c>
      <c r="BJ34" s="308">
        <v>37</v>
      </c>
      <c r="BK34" s="771" t="s">
        <v>28</v>
      </c>
      <c r="BL34" s="309">
        <f>ROUND(AVERAGE(BL4:BL33),)</f>
        <v>30</v>
      </c>
      <c r="BM34" s="309">
        <f>ROUND(AVERAGE(BM4:BM33),)</f>
        <v>47</v>
      </c>
      <c r="BN34" s="309">
        <f>ROUND(AVERAGE(BN4:BN33),)</f>
        <v>55</v>
      </c>
      <c r="BO34" s="309">
        <f>ROUND(AVERAGE(BO4:BO33),)</f>
        <v>57</v>
      </c>
      <c r="BP34" s="19"/>
      <c r="BQ34" s="20"/>
      <c r="BR34" s="1817" t="s">
        <v>400</v>
      </c>
      <c r="BS34" s="1818"/>
      <c r="BT34" s="1933">
        <f>I35</f>
        <v>88.1</v>
      </c>
      <c r="BU34" s="1934"/>
      <c r="BV34" s="1933">
        <f>AQ35</f>
        <v>88.5</v>
      </c>
      <c r="BW34" s="1934"/>
      <c r="BX34" s="209"/>
      <c r="BY34" s="209"/>
      <c r="BZ34" s="990"/>
      <c r="CA34" s="1"/>
      <c r="CM34" s="20"/>
      <c r="CN34" s="1793"/>
      <c r="CO34" s="1793"/>
      <c r="CP34" s="1786"/>
      <c r="CQ34" s="1786"/>
      <c r="CR34" s="1786"/>
      <c r="CS34" s="1786"/>
      <c r="CT34" s="214"/>
      <c r="CU34" s="214"/>
      <c r="CX34" s="1321" t="s">
        <v>1376</v>
      </c>
      <c r="CY34" s="1317">
        <f>MIN(G78:G89,AO78:AO89)</f>
        <v>15</v>
      </c>
      <c r="CZ34" s="1319" t="s">
        <v>247</v>
      </c>
      <c r="DA34" s="1317">
        <f>MAX(G78:G89,AO78:AO89)</f>
        <v>20.5</v>
      </c>
      <c r="DC34" s="3"/>
      <c r="DD34" s="3"/>
      <c r="DE34" s="3"/>
      <c r="DF34" s="3"/>
    </row>
    <row r="35" spans="1:110" ht="21.75" customHeight="1" thickBot="1" x14ac:dyDescent="0.45">
      <c r="A35" s="771" t="s">
        <v>28</v>
      </c>
      <c r="B35" s="106"/>
      <c r="C35" s="291">
        <f>ROUND(AVERAGE(C11:C18,C25:C32),2)</f>
        <v>0.06</v>
      </c>
      <c r="D35" s="292"/>
      <c r="E35" s="291">
        <f>ROUND(AVERAGE(E11:E22,E25:E34),2)</f>
        <v>0.06</v>
      </c>
      <c r="F35" s="293" t="e">
        <f>ROUND(AVERAGE(F11:F22,F25:F34),1)</f>
        <v>#DIV/0!</v>
      </c>
      <c r="G35" s="291">
        <f>ROUND(AVERAGE(G9:G32),2)</f>
        <v>0.43</v>
      </c>
      <c r="H35" s="294">
        <v>45.2</v>
      </c>
      <c r="I35" s="294">
        <v>88.1</v>
      </c>
      <c r="J35" s="293">
        <f>ROUND(AVERAGE(J9:J32),1)</f>
        <v>102.7</v>
      </c>
      <c r="K35" s="1435"/>
      <c r="L35" s="1436"/>
      <c r="M35" s="1437"/>
      <c r="N35" s="1435"/>
      <c r="O35" s="1436"/>
      <c r="P35" s="1437"/>
      <c r="Q35" s="1038"/>
      <c r="R35" s="531"/>
      <c r="S35" s="1039"/>
      <c r="T35" s="1040"/>
      <c r="U35" s="1041">
        <f>ROUND(AVERAGE(Q33,U33,Y33),1)</f>
        <v>96.1</v>
      </c>
      <c r="V35" s="1041">
        <f>ROUND(AVERAGE(R33,V33,Z33),1)</f>
        <v>29.8</v>
      </c>
      <c r="W35" s="1042">
        <f>ROUND(AVERAGE(S33,W33,AA33),1)</f>
        <v>97.8</v>
      </c>
      <c r="X35" s="1043">
        <f>ROUND((W35-V35),1)</f>
        <v>68</v>
      </c>
      <c r="Y35" s="1043">
        <f>ROUND(AVERAGE(T34,X34,AB34),1)</f>
        <v>42.7</v>
      </c>
      <c r="Z35" s="1041">
        <f>(1-((W35*I35)/(J35*U35)))*100</f>
        <v>12.69865555090599</v>
      </c>
      <c r="AA35" s="1044"/>
      <c r="AB35" s="1044"/>
      <c r="AC35" s="1045"/>
      <c r="AD35" s="1046">
        <f>COUNT(AD4:AD33)</f>
        <v>20</v>
      </c>
      <c r="AH35" s="24"/>
      <c r="AI35" s="771" t="s">
        <v>28</v>
      </c>
      <c r="AJ35" s="106"/>
      <c r="AK35" s="291">
        <f>ROUND(AVERAGE(AK11:AK18,AK25:AK32),2)</f>
        <v>0.16</v>
      </c>
      <c r="AL35" s="292"/>
      <c r="AM35" s="291">
        <f>ROUND(AVERAGE(AM11:AM22,AM25:AM34),2)</f>
        <v>0.2</v>
      </c>
      <c r="AN35" s="293" t="e">
        <f>ROUND(AVERAGE(AN11:AN22,AN25:AN34),1)</f>
        <v>#DIV/0!</v>
      </c>
      <c r="AO35" s="291">
        <f>ROUND(AVERAGE(AO9:AO34),2)</f>
        <v>0.49</v>
      </c>
      <c r="AP35" s="294">
        <v>40.700000000000003</v>
      </c>
      <c r="AQ35" s="294">
        <v>88.5</v>
      </c>
      <c r="AR35" s="293">
        <f>ROUND(AVERAGE(AR9:AR34),1)</f>
        <v>102.7</v>
      </c>
      <c r="AS35" s="302">
        <v>87.3</v>
      </c>
      <c r="AT35" s="302">
        <v>96.3</v>
      </c>
      <c r="AU35" s="303">
        <v>95.8</v>
      </c>
      <c r="AV35" s="1036">
        <v>87.3</v>
      </c>
      <c r="AW35" s="1036">
        <v>97.9</v>
      </c>
      <c r="AX35" s="1037">
        <v>98.2</v>
      </c>
      <c r="AY35" s="1047"/>
      <c r="AZ35" s="1048"/>
      <c r="BA35" s="1039"/>
      <c r="BB35" s="1040"/>
      <c r="BC35" s="1041">
        <f>ROUND(AVERAGE(AY33,BC33,BG33),1)</f>
        <v>98.3</v>
      </c>
      <c r="BD35" s="1041">
        <f>ROUND(AVERAGE(AZ33,BD33,BH33),1)</f>
        <v>27.8</v>
      </c>
      <c r="BE35" s="1042">
        <f>ROUND(AVERAGE(BA33,BE33,BI33),1)</f>
        <v>98.1</v>
      </c>
      <c r="BF35" s="1043">
        <f>ROUND((BE35-BD35),1)</f>
        <v>70.3</v>
      </c>
      <c r="BG35" s="1049">
        <f>ROUND(AVERAGE(BB34,BF34,BJ34),1)</f>
        <v>36.5</v>
      </c>
      <c r="BH35" s="1041">
        <f>(1-((BE35*AQ35)/(AR35*BC35)))*100</f>
        <v>14.002006852619154</v>
      </c>
      <c r="BI35" s="1044"/>
      <c r="BJ35" s="1050"/>
      <c r="BK35" s="1045"/>
      <c r="BL35" s="1046">
        <f>COUNT(BL4:BL33)</f>
        <v>20</v>
      </c>
      <c r="BP35" s="6"/>
      <c r="BR35" s="1800"/>
      <c r="BS35" s="1799"/>
      <c r="BT35" s="1935"/>
      <c r="BU35" s="1936"/>
      <c r="BV35" s="1935"/>
      <c r="BW35" s="1936"/>
      <c r="BX35" s="209"/>
      <c r="BY35" s="209"/>
      <c r="BZ35" s="209"/>
      <c r="CM35" s="7"/>
      <c r="CN35" s="1793"/>
      <c r="CO35" s="1793"/>
      <c r="CP35" s="1786"/>
      <c r="CQ35" s="1786"/>
      <c r="CR35" s="1786"/>
      <c r="CS35" s="1786"/>
      <c r="CT35" s="214"/>
      <c r="CU35" s="214"/>
      <c r="CX35" s="1321" t="s">
        <v>251</v>
      </c>
      <c r="CY35" s="1316">
        <f>MIN(M78:T89,AU78:BB89)</f>
        <v>0.06</v>
      </c>
      <c r="CZ35" s="1316" t="s">
        <v>247</v>
      </c>
      <c r="DA35" s="1316">
        <f>MAX(M78:T89,AU78:BB89)</f>
        <v>7.0000000000000007E-2</v>
      </c>
    </row>
    <row r="36" spans="1:110" ht="21.9" customHeight="1" thickBot="1" x14ac:dyDescent="0.45">
      <c r="B36" s="1894"/>
      <c r="C36" s="1894"/>
      <c r="D36" s="1894"/>
      <c r="E36" s="1894"/>
      <c r="F36" s="1894"/>
      <c r="G36" s="1894"/>
      <c r="H36" s="1894"/>
      <c r="I36" s="1894"/>
      <c r="J36" s="1894"/>
      <c r="K36" s="2228"/>
      <c r="L36" s="2228"/>
      <c r="M36" s="2228"/>
      <c r="N36" s="2231" t="s">
        <v>413</v>
      </c>
      <c r="O36" s="2232"/>
      <c r="P36" s="2232"/>
      <c r="Q36" s="1965"/>
      <c r="R36" s="1965"/>
      <c r="S36" s="1965"/>
      <c r="T36" s="1965"/>
      <c r="U36" s="1965"/>
      <c r="V36" s="1965"/>
      <c r="W36" s="1965"/>
      <c r="X36" s="1965"/>
      <c r="Y36" s="1965"/>
      <c r="Z36" s="1965"/>
      <c r="AA36" s="1965"/>
      <c r="AB36" s="1965"/>
      <c r="AC36" s="1965"/>
      <c r="AD36" s="1965"/>
      <c r="AE36" s="1965"/>
      <c r="AF36" s="1965"/>
      <c r="AG36" s="1966"/>
      <c r="AH36" s="12"/>
      <c r="AJ36" s="1894"/>
      <c r="AK36" s="1894"/>
      <c r="AL36" s="1894"/>
      <c r="AM36" s="1894"/>
      <c r="AN36" s="1894"/>
      <c r="AO36" s="1894"/>
      <c r="AP36" s="1894"/>
      <c r="AQ36" s="1894"/>
      <c r="AR36" s="1894"/>
      <c r="AS36" s="1894"/>
      <c r="AT36" s="1894"/>
      <c r="AU36" s="1894"/>
      <c r="AV36" s="1964" t="s">
        <v>413</v>
      </c>
      <c r="AW36" s="1965"/>
      <c r="AX36" s="1965"/>
      <c r="AY36" s="1965"/>
      <c r="AZ36" s="1965"/>
      <c r="BA36" s="1965"/>
      <c r="BB36" s="1965"/>
      <c r="BC36" s="1965"/>
      <c r="BD36" s="1965"/>
      <c r="BE36" s="1965"/>
      <c r="BF36" s="1965"/>
      <c r="BG36" s="1965"/>
      <c r="BH36" s="1965"/>
      <c r="BI36" s="1965"/>
      <c r="BJ36" s="1965"/>
      <c r="BK36" s="1965"/>
      <c r="BL36" s="1965"/>
      <c r="BM36" s="1965"/>
      <c r="BN36" s="1965"/>
      <c r="BO36" s="1966"/>
      <c r="BP36" s="6"/>
      <c r="BR36" s="1801"/>
      <c r="BS36" s="1802"/>
      <c r="BT36" s="1937"/>
      <c r="BU36" s="1938"/>
      <c r="BV36" s="1937"/>
      <c r="BW36" s="1938"/>
      <c r="BX36" s="209"/>
      <c r="BY36" s="209"/>
      <c r="BZ36" s="209"/>
      <c r="CM36" s="7"/>
      <c r="CN36" s="1793"/>
      <c r="CO36" s="1793"/>
      <c r="CP36" s="1786"/>
      <c r="CQ36" s="1786"/>
      <c r="CR36" s="1786"/>
      <c r="CS36" s="1786"/>
      <c r="CT36" s="275"/>
      <c r="CU36" s="214"/>
      <c r="CX36" s="1321" t="s">
        <v>1377</v>
      </c>
      <c r="CY36" s="1317">
        <f>MIN(E78:F89,AM78:AN89)</f>
        <v>12.9</v>
      </c>
      <c r="CZ36" s="1319" t="s">
        <v>247</v>
      </c>
      <c r="DA36" s="1317">
        <f>MAX(E78:F89,AM78:AN89)</f>
        <v>19.7</v>
      </c>
    </row>
    <row r="37" spans="1:110" ht="48" customHeight="1" thickBot="1" x14ac:dyDescent="0.45">
      <c r="A37" s="2186" t="s">
        <v>1092</v>
      </c>
      <c r="B37" s="1830" t="s">
        <v>1087</v>
      </c>
      <c r="C37" s="1830" t="s">
        <v>802</v>
      </c>
      <c r="D37" s="1830" t="s">
        <v>1086</v>
      </c>
      <c r="E37" s="1830" t="s">
        <v>1088</v>
      </c>
      <c r="F37" s="2167" t="s">
        <v>1423</v>
      </c>
      <c r="G37" s="2036" t="s">
        <v>437</v>
      </c>
      <c r="H37" s="2037"/>
      <c r="I37" s="2038"/>
      <c r="J37" s="2151" t="s">
        <v>1549</v>
      </c>
      <c r="K37" s="2152"/>
      <c r="L37" s="2152"/>
      <c r="M37" s="2153"/>
      <c r="N37" s="1903" t="s">
        <v>435</v>
      </c>
      <c r="O37" s="1904"/>
      <c r="P37" s="1904"/>
      <c r="Q37" s="1905"/>
      <c r="R37" s="2036" t="s">
        <v>436</v>
      </c>
      <c r="S37" s="2037"/>
      <c r="T37" s="2038"/>
      <c r="U37" s="1899" t="s">
        <v>1619</v>
      </c>
      <c r="V37" s="1900"/>
      <c r="W37" s="2170" t="s">
        <v>1024</v>
      </c>
      <c r="X37" s="2171"/>
      <c r="Y37" s="899" t="s">
        <v>899</v>
      </c>
      <c r="Z37" s="1903" t="s">
        <v>572</v>
      </c>
      <c r="AA37" s="1904"/>
      <c r="AB37" s="1904"/>
      <c r="AC37" s="1904"/>
      <c r="AD37" s="1904"/>
      <c r="AE37" s="1904"/>
      <c r="AF37" s="1905"/>
      <c r="AG37" s="1825" t="s">
        <v>4</v>
      </c>
      <c r="AH37" s="16"/>
      <c r="AI37" s="2186" t="s">
        <v>1092</v>
      </c>
      <c r="AJ37" s="1830" t="s">
        <v>1087</v>
      </c>
      <c r="AK37" s="1830" t="s">
        <v>802</v>
      </c>
      <c r="AL37" s="1830" t="s">
        <v>1086</v>
      </c>
      <c r="AM37" s="1830" t="s">
        <v>1088</v>
      </c>
      <c r="AN37" s="2167" t="s">
        <v>1423</v>
      </c>
      <c r="AO37" s="2036" t="s">
        <v>437</v>
      </c>
      <c r="AP37" s="2037"/>
      <c r="AQ37" s="2038"/>
      <c r="AR37" s="2151" t="s">
        <v>1549</v>
      </c>
      <c r="AS37" s="2152"/>
      <c r="AT37" s="2152"/>
      <c r="AU37" s="2153"/>
      <c r="AV37" s="1903" t="s">
        <v>435</v>
      </c>
      <c r="AW37" s="1904"/>
      <c r="AX37" s="1904"/>
      <c r="AY37" s="1905"/>
      <c r="AZ37" s="2036" t="s">
        <v>436</v>
      </c>
      <c r="BA37" s="2037"/>
      <c r="BB37" s="2038"/>
      <c r="BC37" s="1899" t="s">
        <v>1023</v>
      </c>
      <c r="BD37" s="1900"/>
      <c r="BE37" s="1899" t="s">
        <v>1024</v>
      </c>
      <c r="BF37" s="1900"/>
      <c r="BG37" s="899" t="s">
        <v>899</v>
      </c>
      <c r="BH37" s="1903" t="s">
        <v>572</v>
      </c>
      <c r="BI37" s="1904"/>
      <c r="BJ37" s="1904"/>
      <c r="BK37" s="1904"/>
      <c r="BL37" s="1904"/>
      <c r="BM37" s="1904"/>
      <c r="BN37" s="1905"/>
      <c r="BO37" s="1825" t="s">
        <v>4</v>
      </c>
      <c r="BP37" s="6"/>
      <c r="BR37" s="1949" t="s">
        <v>953</v>
      </c>
      <c r="BS37" s="1949"/>
      <c r="BT37" s="1762">
        <f>B132</f>
        <v>730.87099999999998</v>
      </c>
      <c r="BU37" s="1762"/>
      <c r="BV37" s="1762">
        <f>AJ132</f>
        <v>711.69399999999996</v>
      </c>
      <c r="BW37" s="1762"/>
      <c r="BX37" s="209"/>
      <c r="BY37" s="209"/>
      <c r="BZ37" s="216"/>
      <c r="CM37" s="7"/>
      <c r="CN37" s="1944" t="s">
        <v>757</v>
      </c>
      <c r="CO37" s="1944"/>
      <c r="CP37" s="1786">
        <f>CU70</f>
        <v>0</v>
      </c>
      <c r="CQ37" s="1786"/>
      <c r="CR37" s="1786">
        <f>CU71</f>
        <v>0</v>
      </c>
      <c r="CS37" s="1786"/>
      <c r="CT37" s="214"/>
      <c r="CU37" s="214"/>
      <c r="CX37" s="1321" t="s">
        <v>252</v>
      </c>
      <c r="CY37" s="1316">
        <f>MIN(K78:L89,AS78:AT89)</f>
        <v>0.06</v>
      </c>
      <c r="CZ37" s="1316" t="s">
        <v>247</v>
      </c>
      <c r="DA37" s="1316">
        <f>MAX(K78:L89,AS78:AT89)</f>
        <v>0.27</v>
      </c>
    </row>
    <row r="38" spans="1:110" ht="34.5" customHeight="1" x14ac:dyDescent="0.4">
      <c r="A38" s="2187"/>
      <c r="B38" s="1831"/>
      <c r="C38" s="1831"/>
      <c r="D38" s="1831"/>
      <c r="E38" s="1831"/>
      <c r="F38" s="2168"/>
      <c r="G38" s="2164" t="s">
        <v>1089</v>
      </c>
      <c r="H38" s="2165"/>
      <c r="I38" s="2233"/>
      <c r="J38" s="2142" t="s">
        <v>1090</v>
      </c>
      <c r="K38" s="1883" t="s">
        <v>794</v>
      </c>
      <c r="L38" s="1851" t="s">
        <v>1086</v>
      </c>
      <c r="M38" s="2148" t="s">
        <v>1091</v>
      </c>
      <c r="N38" s="2226" t="s">
        <v>22</v>
      </c>
      <c r="O38" s="2009" t="s">
        <v>1100</v>
      </c>
      <c r="P38" s="1888" t="s">
        <v>1101</v>
      </c>
      <c r="Q38" s="1864" t="s">
        <v>1090</v>
      </c>
      <c r="R38" s="2009" t="s">
        <v>1100</v>
      </c>
      <c r="S38" s="1888" t="s">
        <v>1101</v>
      </c>
      <c r="T38" s="1864" t="s">
        <v>1090</v>
      </c>
      <c r="U38" s="1888" t="s">
        <v>1101</v>
      </c>
      <c r="V38" s="1864" t="s">
        <v>1090</v>
      </c>
      <c r="W38" s="1888" t="s">
        <v>1101</v>
      </c>
      <c r="X38" s="1864" t="s">
        <v>1090</v>
      </c>
      <c r="Y38" s="1984" t="s">
        <v>1426</v>
      </c>
      <c r="Z38" s="777" t="s">
        <v>17</v>
      </c>
      <c r="AA38" s="1895" t="s">
        <v>983</v>
      </c>
      <c r="AB38" s="1796" t="s">
        <v>1562</v>
      </c>
      <c r="AC38" s="1796" t="s">
        <v>1563</v>
      </c>
      <c r="AD38" s="1796" t="s">
        <v>1564</v>
      </c>
      <c r="AE38" s="1796" t="s">
        <v>1565</v>
      </c>
      <c r="AF38" s="1950" t="s">
        <v>1123</v>
      </c>
      <c r="AG38" s="1826"/>
      <c r="AH38" s="17"/>
      <c r="AI38" s="2187"/>
      <c r="AJ38" s="1831"/>
      <c r="AK38" s="1831"/>
      <c r="AL38" s="1831"/>
      <c r="AM38" s="1831"/>
      <c r="AN38" s="2168"/>
      <c r="AO38" s="2164" t="s">
        <v>1089</v>
      </c>
      <c r="AP38" s="2165"/>
      <c r="AQ38" s="2165"/>
      <c r="AR38" s="2142" t="s">
        <v>1090</v>
      </c>
      <c r="AS38" s="1883" t="s">
        <v>794</v>
      </c>
      <c r="AT38" s="1851" t="s">
        <v>1086</v>
      </c>
      <c r="AU38" s="2148" t="s">
        <v>1091</v>
      </c>
      <c r="AV38" s="1845" t="s">
        <v>22</v>
      </c>
      <c r="AW38" s="2009" t="s">
        <v>1100</v>
      </c>
      <c r="AX38" s="1888" t="s">
        <v>1101</v>
      </c>
      <c r="AY38" s="1864" t="s">
        <v>1090</v>
      </c>
      <c r="AZ38" s="2009" t="s">
        <v>1100</v>
      </c>
      <c r="BA38" s="1888" t="s">
        <v>1101</v>
      </c>
      <c r="BB38" s="1864" t="s">
        <v>1090</v>
      </c>
      <c r="BC38" s="1888" t="s">
        <v>1101</v>
      </c>
      <c r="BD38" s="1864" t="s">
        <v>1090</v>
      </c>
      <c r="BE38" s="1888" t="s">
        <v>1101</v>
      </c>
      <c r="BF38" s="1864" t="s">
        <v>1090</v>
      </c>
      <c r="BG38" s="1984" t="s">
        <v>1426</v>
      </c>
      <c r="BH38" s="777" t="s">
        <v>17</v>
      </c>
      <c r="BI38" s="1895" t="s">
        <v>983</v>
      </c>
      <c r="BJ38" s="1796" t="s">
        <v>1562</v>
      </c>
      <c r="BK38" s="1796" t="s">
        <v>1563</v>
      </c>
      <c r="BL38" s="1796" t="s">
        <v>1564</v>
      </c>
      <c r="BM38" s="1796" t="s">
        <v>1565</v>
      </c>
      <c r="BN38" s="1950" t="s">
        <v>1123</v>
      </c>
      <c r="BO38" s="1826"/>
      <c r="BP38" s="6"/>
      <c r="BR38" s="1949"/>
      <c r="BS38" s="1949"/>
      <c r="BT38" s="1762"/>
      <c r="BU38" s="1762"/>
      <c r="BV38" s="1762"/>
      <c r="BW38" s="1762"/>
      <c r="BX38" s="209"/>
      <c r="BY38" s="209"/>
      <c r="BZ38" s="216"/>
      <c r="CM38" s="7"/>
      <c r="CN38" s="1944"/>
      <c r="CO38" s="1944"/>
      <c r="CP38" s="1786"/>
      <c r="CQ38" s="1786"/>
      <c r="CR38" s="1786"/>
      <c r="CS38" s="1786"/>
      <c r="CT38" s="1001"/>
      <c r="CU38" s="1001"/>
      <c r="CX38" s="1321" t="s">
        <v>1378</v>
      </c>
      <c r="CY38" s="1317">
        <f>MIN(D47:D48,AL47:AL48)</f>
        <v>6.2</v>
      </c>
      <c r="CZ38" s="1319" t="s">
        <v>247</v>
      </c>
      <c r="DA38" s="1317">
        <f>MAX(D47:D48,AL47:AL48)</f>
        <v>10.3</v>
      </c>
    </row>
    <row r="39" spans="1:110" ht="51.75" customHeight="1" thickBot="1" x14ac:dyDescent="0.45">
      <c r="A39" s="2188"/>
      <c r="B39" s="1832"/>
      <c r="C39" s="1832"/>
      <c r="D39" s="1832"/>
      <c r="E39" s="1832"/>
      <c r="F39" s="2169"/>
      <c r="G39" s="774" t="s">
        <v>175</v>
      </c>
      <c r="H39" s="775" t="s">
        <v>134</v>
      </c>
      <c r="I39" s="776" t="s">
        <v>81</v>
      </c>
      <c r="J39" s="2143"/>
      <c r="K39" s="1884"/>
      <c r="L39" s="1852"/>
      <c r="M39" s="2149"/>
      <c r="N39" s="2227"/>
      <c r="O39" s="2010"/>
      <c r="P39" s="1889"/>
      <c r="Q39" s="1865"/>
      <c r="R39" s="2010"/>
      <c r="S39" s="1889"/>
      <c r="T39" s="1865"/>
      <c r="U39" s="1889"/>
      <c r="V39" s="1865"/>
      <c r="W39" s="1889"/>
      <c r="X39" s="1865"/>
      <c r="Y39" s="1985"/>
      <c r="Z39" s="778" t="s">
        <v>35</v>
      </c>
      <c r="AA39" s="1896"/>
      <c r="AB39" s="1797"/>
      <c r="AC39" s="1797"/>
      <c r="AD39" s="1797"/>
      <c r="AE39" s="1797"/>
      <c r="AF39" s="1951"/>
      <c r="AG39" s="1827"/>
      <c r="AH39" s="17"/>
      <c r="AI39" s="2188"/>
      <c r="AJ39" s="1832"/>
      <c r="AK39" s="1832"/>
      <c r="AL39" s="1832"/>
      <c r="AM39" s="1832"/>
      <c r="AN39" s="2169"/>
      <c r="AO39" s="774" t="s">
        <v>175</v>
      </c>
      <c r="AP39" s="775" t="s">
        <v>134</v>
      </c>
      <c r="AQ39" s="776" t="s">
        <v>81</v>
      </c>
      <c r="AR39" s="2143"/>
      <c r="AS39" s="1884"/>
      <c r="AT39" s="1852"/>
      <c r="AU39" s="2149"/>
      <c r="AV39" s="1846"/>
      <c r="AW39" s="2010"/>
      <c r="AX39" s="1889"/>
      <c r="AY39" s="1865"/>
      <c r="AZ39" s="2010"/>
      <c r="BA39" s="1889"/>
      <c r="BB39" s="1865"/>
      <c r="BC39" s="1889"/>
      <c r="BD39" s="1865"/>
      <c r="BE39" s="1889"/>
      <c r="BF39" s="1865"/>
      <c r="BG39" s="1985"/>
      <c r="BH39" s="778" t="s">
        <v>35</v>
      </c>
      <c r="BI39" s="1896"/>
      <c r="BJ39" s="1797"/>
      <c r="BK39" s="1797"/>
      <c r="BL39" s="1797"/>
      <c r="BM39" s="1797"/>
      <c r="BN39" s="1951"/>
      <c r="BO39" s="1827"/>
      <c r="BP39" s="6"/>
      <c r="BR39" s="1949"/>
      <c r="BS39" s="1949"/>
      <c r="BT39" s="1762"/>
      <c r="BU39" s="1762"/>
      <c r="BV39" s="1762"/>
      <c r="BW39" s="1762"/>
      <c r="BX39" s="209"/>
      <c r="BY39" s="209"/>
      <c r="BZ39" s="216"/>
      <c r="CM39" s="7"/>
      <c r="CN39" s="1944"/>
      <c r="CO39" s="1944"/>
      <c r="CP39" s="1786"/>
      <c r="CQ39" s="1786"/>
      <c r="CR39" s="1786"/>
      <c r="CS39" s="1786"/>
      <c r="CT39" s="1001"/>
      <c r="CU39" s="1001"/>
      <c r="CX39" s="1321" t="s">
        <v>1380</v>
      </c>
      <c r="CY39" s="1316">
        <f>MIN(G40:H51,B40:B41,AJ40:AJ41,AO40:AP51)</f>
        <v>84.1</v>
      </c>
      <c r="CZ39" s="1316" t="s">
        <v>247</v>
      </c>
      <c r="DA39" s="1316">
        <f>MAX(G40:H51,B40:B41,AJ40:AJ41,AO40:AP51)</f>
        <v>90.1</v>
      </c>
    </row>
    <row r="40" spans="1:110" ht="26.25" customHeight="1" thickBot="1" x14ac:dyDescent="0.45">
      <c r="A40" s="1470" t="s">
        <v>1093</v>
      </c>
      <c r="B40" s="310">
        <v>85.7</v>
      </c>
      <c r="C40" s="311">
        <v>32.6</v>
      </c>
      <c r="D40" s="312">
        <v>89</v>
      </c>
      <c r="E40" s="313">
        <f>D40-C40</f>
        <v>56.4</v>
      </c>
      <c r="F40" s="312">
        <v>44</v>
      </c>
      <c r="G40" s="1621">
        <v>85.7</v>
      </c>
      <c r="H40" s="1618">
        <v>86.1</v>
      </c>
      <c r="I40" s="1622">
        <v>74.5</v>
      </c>
      <c r="J40" s="336">
        <v>80.900000000000006</v>
      </c>
      <c r="K40" s="337">
        <v>28.6</v>
      </c>
      <c r="L40" s="337">
        <v>80.900000000000006</v>
      </c>
      <c r="M40" s="342">
        <f>L40-K40</f>
        <v>52.300000000000004</v>
      </c>
      <c r="N40" s="503">
        <v>2</v>
      </c>
      <c r="O40" s="1618">
        <v>3.2</v>
      </c>
      <c r="P40" s="1607">
        <v>4.8</v>
      </c>
      <c r="Q40" s="1608">
        <v>64.099999999999994</v>
      </c>
      <c r="R40" s="1613">
        <v>3</v>
      </c>
      <c r="S40" s="1614">
        <v>4.4000000000000004</v>
      </c>
      <c r="T40" s="1615">
        <v>61.7</v>
      </c>
      <c r="U40" s="348">
        <v>4</v>
      </c>
      <c r="V40" s="909">
        <v>0.04</v>
      </c>
      <c r="W40" s="914">
        <v>6</v>
      </c>
      <c r="X40" s="917">
        <v>0.08</v>
      </c>
      <c r="Y40" s="350"/>
      <c r="Z40" s="650">
        <v>1</v>
      </c>
      <c r="AA40" s="1514"/>
      <c r="AB40" s="1515"/>
      <c r="AC40" s="1514">
        <v>60</v>
      </c>
      <c r="AD40" s="1514">
        <v>62</v>
      </c>
      <c r="AE40" s="1516"/>
      <c r="AF40" s="1517"/>
      <c r="AG40" s="676">
        <v>0.875</v>
      </c>
      <c r="AH40" s="12"/>
      <c r="AI40" s="1470" t="s">
        <v>1093</v>
      </c>
      <c r="AJ40" s="310">
        <v>89.7</v>
      </c>
      <c r="AK40" s="311">
        <v>31.8</v>
      </c>
      <c r="AL40" s="312">
        <v>89.4</v>
      </c>
      <c r="AM40" s="539">
        <f>AL40-AK40</f>
        <v>57.600000000000009</v>
      </c>
      <c r="AN40" s="312">
        <v>40.6</v>
      </c>
      <c r="AO40" s="1621">
        <v>88.9</v>
      </c>
      <c r="AP40" s="1618">
        <v>88.9</v>
      </c>
      <c r="AQ40" s="1622">
        <v>78.5</v>
      </c>
      <c r="AR40" s="348">
        <v>82.5</v>
      </c>
      <c r="AS40" s="349">
        <v>32.200000000000003</v>
      </c>
      <c r="AT40" s="349">
        <v>83.3</v>
      </c>
      <c r="AU40" s="342">
        <f>AT40-AS40</f>
        <v>51.099999999999994</v>
      </c>
      <c r="AV40" s="1432">
        <f>N40</f>
        <v>2</v>
      </c>
      <c r="AW40" s="1655">
        <v>2.6</v>
      </c>
      <c r="AX40" s="1607">
        <v>4.8</v>
      </c>
      <c r="AY40" s="1608">
        <v>64.099999999999994</v>
      </c>
      <c r="AZ40" s="1613">
        <v>1.4</v>
      </c>
      <c r="BA40" s="1614">
        <v>6.8</v>
      </c>
      <c r="BB40" s="1615">
        <v>64.099999999999994</v>
      </c>
      <c r="BC40" s="348">
        <v>4</v>
      </c>
      <c r="BD40" s="909">
        <v>0.06</v>
      </c>
      <c r="BE40" s="914">
        <v>8</v>
      </c>
      <c r="BF40" s="917">
        <v>0.12</v>
      </c>
      <c r="BG40" s="350"/>
      <c r="BH40" s="650">
        <v>1</v>
      </c>
      <c r="BI40" s="351"/>
      <c r="BJ40" s="352"/>
      <c r="BK40" s="351">
        <v>62</v>
      </c>
      <c r="BL40" s="351">
        <v>64</v>
      </c>
      <c r="BM40" s="353"/>
      <c r="BN40" s="354"/>
      <c r="BO40" s="676">
        <v>0.375</v>
      </c>
      <c r="BP40" s="26"/>
      <c r="BQ40" s="200"/>
      <c r="BR40" s="1798" t="s">
        <v>465</v>
      </c>
      <c r="BS40" s="1799"/>
      <c r="BT40" s="1719">
        <f>BU78</f>
        <v>1.054</v>
      </c>
      <c r="BU40" s="1720"/>
      <c r="BV40" s="1719">
        <f>BU79</f>
        <v>0.89100000000000001</v>
      </c>
      <c r="BW40" s="1720"/>
      <c r="BX40" s="209"/>
      <c r="BY40" s="209"/>
      <c r="BZ40" s="216"/>
      <c r="CM40" s="200"/>
      <c r="CN40" s="1944"/>
      <c r="CO40" s="1944"/>
      <c r="CP40" s="1786"/>
      <c r="CQ40" s="1786"/>
      <c r="CR40" s="1786"/>
      <c r="CS40" s="1786"/>
      <c r="CT40" s="1930"/>
      <c r="CU40" s="1930"/>
      <c r="CX40" s="1321" t="s">
        <v>1379</v>
      </c>
      <c r="CY40" s="1317">
        <f>MIN(AF60,BN60)</f>
        <v>14.6</v>
      </c>
      <c r="CZ40" s="1319" t="s">
        <v>247</v>
      </c>
      <c r="DA40" s="1317">
        <f>MAX(AF60,BN60)</f>
        <v>15.7</v>
      </c>
    </row>
    <row r="41" spans="1:110" ht="26.25" customHeight="1" thickBot="1" x14ac:dyDescent="0.45">
      <c r="A41" s="1470" t="s">
        <v>1094</v>
      </c>
      <c r="B41" s="314">
        <v>85.7</v>
      </c>
      <c r="C41" s="315">
        <v>32.200000000000003</v>
      </c>
      <c r="D41" s="316">
        <v>88.2</v>
      </c>
      <c r="E41" s="313">
        <f>D41-C41</f>
        <v>56</v>
      </c>
      <c r="F41" s="317">
        <v>43.5</v>
      </c>
      <c r="G41" s="404"/>
      <c r="H41" s="405"/>
      <c r="I41" s="403"/>
      <c r="J41" s="339"/>
      <c r="K41" s="340"/>
      <c r="L41" s="340" t="s">
        <v>1704</v>
      </c>
      <c r="M41" s="342"/>
      <c r="N41" s="497">
        <v>4</v>
      </c>
      <c r="O41" s="1609">
        <v>2.8</v>
      </c>
      <c r="P41" s="1609">
        <v>5.6</v>
      </c>
      <c r="Q41" s="1610">
        <v>62.5</v>
      </c>
      <c r="R41" s="648"/>
      <c r="S41" s="405"/>
      <c r="T41" s="403" t="s">
        <v>1704</v>
      </c>
      <c r="U41" s="356"/>
      <c r="V41" s="909"/>
      <c r="W41" s="985"/>
      <c r="X41" s="918"/>
      <c r="Y41" s="357">
        <v>1.5</v>
      </c>
      <c r="Z41" s="410">
        <v>2</v>
      </c>
      <c r="AA41" s="1518">
        <v>96</v>
      </c>
      <c r="AB41" s="1627">
        <v>76</v>
      </c>
      <c r="AC41" s="1518"/>
      <c r="AD41" s="1518"/>
      <c r="AE41" s="408">
        <v>0.17</v>
      </c>
      <c r="AF41" s="1520">
        <v>179</v>
      </c>
      <c r="AG41" s="331"/>
      <c r="AH41" s="12"/>
      <c r="AI41" s="1470" t="s">
        <v>1094</v>
      </c>
      <c r="AJ41" s="314">
        <v>88.9</v>
      </c>
      <c r="AK41" s="315">
        <v>29.4</v>
      </c>
      <c r="AL41" s="317">
        <v>88.6</v>
      </c>
      <c r="AM41" s="539">
        <f>AL41-AK41</f>
        <v>59.199999999999996</v>
      </c>
      <c r="AN41" s="317">
        <v>39.200000000000003</v>
      </c>
      <c r="AO41" s="339"/>
      <c r="AP41" s="340"/>
      <c r="AQ41" s="341"/>
      <c r="AR41" s="339"/>
      <c r="AS41" s="340"/>
      <c r="AT41" s="340"/>
      <c r="AU41" s="342"/>
      <c r="AV41" s="260">
        <f>N41</f>
        <v>4</v>
      </c>
      <c r="AW41" s="1656">
        <v>2.4</v>
      </c>
      <c r="AX41" s="1609">
        <v>6</v>
      </c>
      <c r="AY41" s="1610">
        <v>65.7</v>
      </c>
      <c r="AZ41" s="343"/>
      <c r="BA41" s="340"/>
      <c r="BB41" s="341"/>
      <c r="BC41" s="356"/>
      <c r="BD41" s="909"/>
      <c r="BE41" s="985"/>
      <c r="BF41" s="918"/>
      <c r="BG41" s="357">
        <v>0.36</v>
      </c>
      <c r="BH41" s="410">
        <v>2</v>
      </c>
      <c r="BI41" s="358">
        <v>100</v>
      </c>
      <c r="BJ41" s="1627">
        <v>90</v>
      </c>
      <c r="BK41" s="358"/>
      <c r="BL41" s="358"/>
      <c r="BM41" s="360">
        <v>0.08</v>
      </c>
      <c r="BN41" s="361">
        <v>113</v>
      </c>
      <c r="BO41" s="331"/>
      <c r="BP41" s="6"/>
      <c r="BR41" s="1800"/>
      <c r="BS41" s="1799"/>
      <c r="BT41" s="1719"/>
      <c r="BU41" s="1720"/>
      <c r="BV41" s="1719"/>
      <c r="BW41" s="1720"/>
      <c r="BX41" s="209"/>
      <c r="BY41" s="209"/>
      <c r="BZ41" s="216"/>
      <c r="CE41" s="125"/>
      <c r="CF41" s="125"/>
      <c r="CG41" s="125"/>
      <c r="CH41" s="125"/>
      <c r="CI41" s="125"/>
      <c r="CJ41" s="125"/>
      <c r="CK41" s="126"/>
      <c r="CL41" s="125"/>
      <c r="CM41" s="7"/>
      <c r="CN41" s="1944"/>
      <c r="CO41" s="1944"/>
      <c r="CP41" s="1786"/>
      <c r="CQ41" s="1786"/>
      <c r="CR41" s="1786"/>
      <c r="CS41" s="1786"/>
      <c r="CT41" s="1930"/>
      <c r="CU41" s="1930"/>
      <c r="CX41" s="1321" t="s">
        <v>1381</v>
      </c>
      <c r="CY41" s="1317">
        <f>MIN(I40:I51,B44,AQ40:AQ51,AJ44)</f>
        <v>74.5</v>
      </c>
      <c r="CZ41" s="1317" t="s">
        <v>247</v>
      </c>
      <c r="DA41" s="1317">
        <f>MAX(I40:I51,B44,AQ40:AQ51,AJ44)</f>
        <v>87.3</v>
      </c>
    </row>
    <row r="42" spans="1:110" ht="32.25" customHeight="1" thickBot="1" x14ac:dyDescent="0.55000000000000004">
      <c r="A42" s="1470" t="s">
        <v>1097</v>
      </c>
      <c r="B42" s="318">
        <f>AVERAGE(B40:B41)</f>
        <v>85.7</v>
      </c>
      <c r="C42" s="318">
        <f>AVERAGE(C40:C41)</f>
        <v>32.400000000000006</v>
      </c>
      <c r="D42" s="318">
        <f>AVERAGE(D40:D41)</f>
        <v>88.6</v>
      </c>
      <c r="E42" s="313">
        <f>D42-C42</f>
        <v>56.199999999999989</v>
      </c>
      <c r="F42" s="319">
        <f>AVERAGE(F40:F41)</f>
        <v>43.75</v>
      </c>
      <c r="G42" s="1521"/>
      <c r="H42" s="1522"/>
      <c r="I42" s="1523"/>
      <c r="J42" s="339"/>
      <c r="K42" s="340"/>
      <c r="L42" s="340"/>
      <c r="M42" s="342"/>
      <c r="N42" s="497">
        <v>6</v>
      </c>
      <c r="O42" s="1611">
        <v>2.6</v>
      </c>
      <c r="P42" s="1611">
        <v>4</v>
      </c>
      <c r="Q42" s="1612">
        <v>62.5</v>
      </c>
      <c r="R42" s="648">
        <v>3</v>
      </c>
      <c r="S42" s="405">
        <v>4</v>
      </c>
      <c r="T42" s="403"/>
      <c r="U42" s="356"/>
      <c r="V42" s="910"/>
      <c r="W42" s="985"/>
      <c r="X42" s="918"/>
      <c r="Y42" s="357"/>
      <c r="Z42" s="410">
        <v>3</v>
      </c>
      <c r="AA42" s="1518"/>
      <c r="AB42" s="1519"/>
      <c r="AC42" s="1518">
        <v>58</v>
      </c>
      <c r="AD42" s="1518">
        <v>57</v>
      </c>
      <c r="AE42" s="408"/>
      <c r="AF42" s="1520"/>
      <c r="AG42" s="331"/>
      <c r="AH42" s="12"/>
      <c r="AI42" s="1470" t="s">
        <v>1097</v>
      </c>
      <c r="AJ42" s="540">
        <f>AVERAGE(AJ40:AJ41)</f>
        <v>89.300000000000011</v>
      </c>
      <c r="AK42" s="540">
        <f>AVERAGE(AK40:AK41)</f>
        <v>30.6</v>
      </c>
      <c r="AL42" s="319">
        <f>AVERAGE(AL40:AL41)</f>
        <v>89</v>
      </c>
      <c r="AM42" s="539">
        <f>AL42-AK42</f>
        <v>58.4</v>
      </c>
      <c r="AN42" s="319">
        <f>AVERAGE(AN40:AN41)</f>
        <v>39.900000000000006</v>
      </c>
      <c r="AO42" s="344"/>
      <c r="AP42" s="345"/>
      <c r="AQ42" s="346"/>
      <c r="AR42" s="339"/>
      <c r="AS42" s="340"/>
      <c r="AT42" s="340"/>
      <c r="AU42" s="341"/>
      <c r="AV42" s="260">
        <f>N42</f>
        <v>6</v>
      </c>
      <c r="AW42" s="1657">
        <v>1.8</v>
      </c>
      <c r="AX42" s="1609">
        <v>4</v>
      </c>
      <c r="AY42" s="1610">
        <v>65.7</v>
      </c>
      <c r="AZ42" s="343">
        <v>2.2000000000000002</v>
      </c>
      <c r="BA42" s="340">
        <v>6.8</v>
      </c>
      <c r="BB42" s="341"/>
      <c r="BC42" s="356"/>
      <c r="BD42" s="910"/>
      <c r="BE42" s="985"/>
      <c r="BF42" s="918"/>
      <c r="BG42" s="357"/>
      <c r="BH42" s="410">
        <v>3</v>
      </c>
      <c r="BI42" s="358"/>
      <c r="BJ42" s="359"/>
      <c r="BK42" s="1641">
        <v>73</v>
      </c>
      <c r="BL42" s="358">
        <v>60</v>
      </c>
      <c r="BM42" s="360"/>
      <c r="BN42" s="361"/>
      <c r="BO42" s="331"/>
      <c r="BP42" s="6"/>
      <c r="BR42" s="1800"/>
      <c r="BS42" s="1799"/>
      <c r="BT42" s="1719"/>
      <c r="BU42" s="1720"/>
      <c r="BV42" s="1719"/>
      <c r="BW42" s="1720"/>
      <c r="BX42" s="209"/>
      <c r="BY42" s="209"/>
      <c r="BZ42" s="216"/>
      <c r="CE42" s="125"/>
      <c r="CF42" s="125"/>
      <c r="CG42" s="125"/>
      <c r="CH42" s="125"/>
      <c r="CI42" s="125"/>
      <c r="CJ42" s="125"/>
      <c r="CK42" s="126"/>
      <c r="CL42" s="125"/>
      <c r="CM42" s="7"/>
      <c r="CN42" s="1807"/>
      <c r="CO42" s="1807"/>
      <c r="CP42" s="273"/>
      <c r="CQ42" s="216"/>
      <c r="CR42" s="218"/>
      <c r="CS42" s="218"/>
      <c r="CT42" s="218"/>
      <c r="CU42" s="216"/>
      <c r="CX42" s="1321" t="s">
        <v>1382</v>
      </c>
      <c r="CY42" s="1317">
        <f>MIN(F72,AN72)</f>
        <v>29</v>
      </c>
      <c r="CZ42" s="1319" t="s">
        <v>247</v>
      </c>
      <c r="DA42" s="1317">
        <f>MAX(F72,AN72)</f>
        <v>33</v>
      </c>
    </row>
    <row r="43" spans="1:110" ht="32.25" customHeight="1" thickBot="1" x14ac:dyDescent="0.55000000000000004">
      <c r="A43" s="1471" t="s">
        <v>1096</v>
      </c>
      <c r="B43" s="320">
        <f>AVERAGE(Q33,U33)</f>
        <v>96.199999999999989</v>
      </c>
      <c r="C43" s="320">
        <f t="shared" ref="C43" si="3">AVERAGE(R33,V33)</f>
        <v>29.8</v>
      </c>
      <c r="D43" s="320">
        <f>AVERAGE(S33,W33)</f>
        <v>97.6</v>
      </c>
      <c r="E43" s="313">
        <f>D43-C43</f>
        <v>67.8</v>
      </c>
      <c r="F43" s="321">
        <f>AVERAGE(T34,X34)</f>
        <v>43</v>
      </c>
      <c r="G43" s="1521"/>
      <c r="H43" s="1522"/>
      <c r="I43" s="1523"/>
      <c r="J43" s="339"/>
      <c r="K43" s="340"/>
      <c r="L43" s="340" t="s">
        <v>1704</v>
      </c>
      <c r="M43" s="342"/>
      <c r="N43" s="497"/>
      <c r="O43" s="1522"/>
      <c r="P43" s="1522"/>
      <c r="Q43" s="1523"/>
      <c r="R43" s="648"/>
      <c r="S43" s="405"/>
      <c r="T43" s="403" t="s">
        <v>1704</v>
      </c>
      <c r="U43" s="356"/>
      <c r="V43" s="909"/>
      <c r="W43" s="985"/>
      <c r="X43" s="918"/>
      <c r="Y43" s="357">
        <v>1.25</v>
      </c>
      <c r="Z43" s="410">
        <v>4</v>
      </c>
      <c r="AA43" s="1518">
        <v>95</v>
      </c>
      <c r="AB43" s="1627">
        <v>73</v>
      </c>
      <c r="AC43" s="1518"/>
      <c r="AD43" s="1518"/>
      <c r="AE43" s="408">
        <v>0.25</v>
      </c>
      <c r="AF43" s="1520">
        <v>120</v>
      </c>
      <c r="AG43" s="331"/>
      <c r="AH43" s="12"/>
      <c r="AI43" s="1471" t="s">
        <v>1096</v>
      </c>
      <c r="AJ43" s="541">
        <f>AVERAGE(AY33,BC33)</f>
        <v>98.199999999999989</v>
      </c>
      <c r="AK43" s="541">
        <f>AVERAGE(AZ33,BD33)</f>
        <v>27.8</v>
      </c>
      <c r="AL43" s="541">
        <f>AVERAGE(BA33,BE33)</f>
        <v>97.8</v>
      </c>
      <c r="AM43" s="539">
        <f>AL43-AK43</f>
        <v>70</v>
      </c>
      <c r="AN43" s="321">
        <f>AVERAGE(BB34,BF34)</f>
        <v>36.200000000000003</v>
      </c>
      <c r="AO43" s="344"/>
      <c r="AP43" s="345"/>
      <c r="AQ43" s="346"/>
      <c r="AR43" s="339"/>
      <c r="AS43" s="340"/>
      <c r="AT43" s="340"/>
      <c r="AU43" s="1"/>
      <c r="AV43" s="260">
        <v>7</v>
      </c>
      <c r="AW43" s="1657">
        <v>2.2000000000000002</v>
      </c>
      <c r="AX43" s="1609">
        <v>4</v>
      </c>
      <c r="AY43" s="1610">
        <v>64.099999999999994</v>
      </c>
      <c r="AZ43" s="343"/>
      <c r="BA43" s="340"/>
      <c r="BB43" s="341"/>
      <c r="BC43" s="356"/>
      <c r="BD43" s="909"/>
      <c r="BE43" s="985"/>
      <c r="BF43" s="918"/>
      <c r="BG43" s="357">
        <v>0.46</v>
      </c>
      <c r="BH43" s="410">
        <v>4</v>
      </c>
      <c r="BI43" s="358">
        <v>99</v>
      </c>
      <c r="BJ43" s="1627">
        <v>87</v>
      </c>
      <c r="BK43" s="358"/>
      <c r="BL43" s="358"/>
      <c r="BM43" s="360">
        <v>0.19</v>
      </c>
      <c r="BN43" s="361">
        <v>69</v>
      </c>
      <c r="BO43" s="331"/>
      <c r="BP43" s="6"/>
      <c r="BR43" s="1801"/>
      <c r="BS43" s="1802"/>
      <c r="BT43" s="1721"/>
      <c r="BU43" s="1722"/>
      <c r="BV43" s="1721"/>
      <c r="BW43" s="1722"/>
      <c r="BX43" s="209"/>
      <c r="BY43" s="209"/>
      <c r="BZ43" s="209"/>
      <c r="CM43" s="7"/>
      <c r="CN43" s="225"/>
      <c r="CO43" s="225"/>
      <c r="CP43" s="576"/>
      <c r="CQ43" s="1000"/>
      <c r="CR43" s="577"/>
      <c r="CS43" s="1000"/>
      <c r="CT43" s="223"/>
      <c r="CU43" s="223"/>
      <c r="CX43" s="1321" t="s">
        <v>624</v>
      </c>
      <c r="CY43" s="1316">
        <f>MIN(C78:C89,AK78:AK89)</f>
        <v>0.06</v>
      </c>
      <c r="CZ43" s="1316" t="s">
        <v>247</v>
      </c>
      <c r="DA43" s="1316">
        <f>MAX(C78:C89,AK78:AK89)</f>
        <v>0.06</v>
      </c>
    </row>
    <row r="44" spans="1:110" ht="26.25" customHeight="1" thickBot="1" x14ac:dyDescent="0.45">
      <c r="A44" s="1470" t="s">
        <v>1095</v>
      </c>
      <c r="B44" s="322">
        <v>75.3</v>
      </c>
      <c r="C44" s="323">
        <v>33</v>
      </c>
      <c r="D44" s="324">
        <v>78.900000000000006</v>
      </c>
      <c r="E44" s="325">
        <f>D44-C44</f>
        <v>45.900000000000006</v>
      </c>
      <c r="F44" s="322">
        <v>47.1</v>
      </c>
      <c r="G44" s="1637">
        <v>86.5</v>
      </c>
      <c r="H44" s="1638">
        <v>84.1</v>
      </c>
      <c r="I44" s="1639">
        <v>76.099999999999994</v>
      </c>
      <c r="J44" s="339">
        <v>81.3</v>
      </c>
      <c r="K44" s="340">
        <v>31.8</v>
      </c>
      <c r="L44" s="340">
        <v>83.7</v>
      </c>
      <c r="M44" s="342">
        <f>L44-K44</f>
        <v>51.900000000000006</v>
      </c>
      <c r="N44" s="1063"/>
      <c r="O44" s="1522"/>
      <c r="P44" s="1522"/>
      <c r="Q44" s="1523"/>
      <c r="R44" s="648">
        <v>2.4</v>
      </c>
      <c r="S44" s="405">
        <v>4</v>
      </c>
      <c r="T44" s="403">
        <v>61.7</v>
      </c>
      <c r="U44" s="356"/>
      <c r="V44" s="910"/>
      <c r="W44" s="985"/>
      <c r="X44" s="918"/>
      <c r="Y44" s="357"/>
      <c r="Z44" s="410">
        <v>5</v>
      </c>
      <c r="AA44" s="1518"/>
      <c r="AB44" s="1519"/>
      <c r="AC44" s="1518">
        <v>57</v>
      </c>
      <c r="AD44" s="1518">
        <v>56</v>
      </c>
      <c r="AE44" s="408"/>
      <c r="AF44" s="1520"/>
      <c r="AG44" s="331"/>
      <c r="AH44" s="12"/>
      <c r="AI44" s="1470" t="s">
        <v>1095</v>
      </c>
      <c r="AJ44" s="322">
        <v>82.5</v>
      </c>
      <c r="AK44" s="323">
        <v>33</v>
      </c>
      <c r="AL44" s="324">
        <v>82.9</v>
      </c>
      <c r="AM44" s="330">
        <f>AL44-AK44</f>
        <v>49.900000000000006</v>
      </c>
      <c r="AN44" s="322">
        <v>40.9</v>
      </c>
      <c r="AO44" s="344"/>
      <c r="AP44" s="345"/>
      <c r="AQ44" s="346"/>
      <c r="AR44" s="339"/>
      <c r="AS44" s="340"/>
      <c r="AT44" s="340"/>
      <c r="AU44" s="341"/>
      <c r="AV44" s="1063"/>
      <c r="AW44" s="344"/>
      <c r="AX44" s="340"/>
      <c r="AY44" s="341"/>
      <c r="AZ44" s="343">
        <v>1.8</v>
      </c>
      <c r="BA44" s="340">
        <v>10.8</v>
      </c>
      <c r="BB44" s="341"/>
      <c r="BC44" s="356"/>
      <c r="BD44" s="910"/>
      <c r="BE44" s="985"/>
      <c r="BF44" s="918"/>
      <c r="BG44" s="357"/>
      <c r="BH44" s="410">
        <v>5</v>
      </c>
      <c r="BI44" s="358"/>
      <c r="BJ44" s="359"/>
      <c r="BK44" s="1641">
        <v>69</v>
      </c>
      <c r="BL44" s="358">
        <v>65</v>
      </c>
      <c r="BM44" s="360"/>
      <c r="BN44" s="361"/>
      <c r="BO44" s="331"/>
      <c r="BP44" s="6"/>
      <c r="BR44" s="1817" t="s">
        <v>789</v>
      </c>
      <c r="BS44" s="1818"/>
      <c r="BT44" s="1717">
        <f>ROUND(BT47/2.925/BS82*1000,3)</f>
        <v>5.9059999999999997</v>
      </c>
      <c r="BU44" s="1718"/>
      <c r="BV44" s="1717">
        <f>ROUND(BV47/2.925/BS83*1000,3)</f>
        <v>5.9690000000000003</v>
      </c>
      <c r="BW44" s="1718"/>
      <c r="BX44" s="209"/>
      <c r="BY44" s="209"/>
      <c r="BZ44" s="209"/>
      <c r="CM44" s="7"/>
      <c r="CN44" s="1809"/>
      <c r="CO44" s="1809"/>
      <c r="CP44" s="271"/>
      <c r="CQ44" s="271"/>
      <c r="CR44" s="272"/>
      <c r="CS44" s="1000"/>
      <c r="CT44" s="218"/>
      <c r="CU44" s="218"/>
      <c r="CX44" s="1321" t="s">
        <v>1383</v>
      </c>
      <c r="CY44" s="1317">
        <f>MIN(B78:B89,AJ78:AJ89)</f>
        <v>12.1</v>
      </c>
      <c r="CZ44" s="1319" t="s">
        <v>247</v>
      </c>
      <c r="DA44" s="1317">
        <f>MAX(B78:B89,AJ78:AJ89)</f>
        <v>14.1</v>
      </c>
    </row>
    <row r="45" spans="1:110" ht="21.9" customHeight="1" thickBot="1" x14ac:dyDescent="0.55000000000000004">
      <c r="A45" s="2139" t="s">
        <v>568</v>
      </c>
      <c r="B45" s="2140"/>
      <c r="C45" s="2141"/>
      <c r="D45" s="1885" t="s">
        <v>1098</v>
      </c>
      <c r="E45" s="2134"/>
      <c r="F45" s="1974"/>
      <c r="G45" s="1521"/>
      <c r="H45" s="1522"/>
      <c r="I45" s="1523"/>
      <c r="J45" s="339"/>
      <c r="K45" s="340"/>
      <c r="L45" s="340" t="s">
        <v>1704</v>
      </c>
      <c r="M45" s="342"/>
      <c r="N45" s="1063"/>
      <c r="O45" s="1522"/>
      <c r="P45" s="1522"/>
      <c r="Q45" s="1523"/>
      <c r="R45" s="648"/>
      <c r="S45" s="405"/>
      <c r="T45" s="403" t="s">
        <v>1704</v>
      </c>
      <c r="U45" s="356"/>
      <c r="V45" s="909"/>
      <c r="W45" s="985"/>
      <c r="X45" s="918"/>
      <c r="Y45" s="357">
        <v>1.1200000000000001</v>
      </c>
      <c r="Z45" s="410">
        <v>6</v>
      </c>
      <c r="AA45" s="1518">
        <v>95</v>
      </c>
      <c r="AB45" s="1519">
        <v>70</v>
      </c>
      <c r="AC45" s="1518"/>
      <c r="AD45" s="1518"/>
      <c r="AE45" s="408">
        <v>0.28000000000000003</v>
      </c>
      <c r="AF45" s="1520">
        <v>162</v>
      </c>
      <c r="AG45" s="331"/>
      <c r="AH45" s="12"/>
      <c r="AI45" s="2139" t="s">
        <v>568</v>
      </c>
      <c r="AJ45" s="2140"/>
      <c r="AK45" s="2141"/>
      <c r="AL45" s="1885" t="s">
        <v>1098</v>
      </c>
      <c r="AM45" s="2134"/>
      <c r="AN45" s="1974"/>
      <c r="AO45" s="344"/>
      <c r="AP45" s="345"/>
      <c r="AQ45" s="346"/>
      <c r="AR45" s="339"/>
      <c r="AS45" s="340"/>
      <c r="AT45" s="340"/>
      <c r="AU45" s="341"/>
      <c r="AV45" s="1063"/>
      <c r="AW45" s="344"/>
      <c r="AX45" s="340"/>
      <c r="AY45" s="341"/>
      <c r="AZ45" s="343"/>
      <c r="BA45" s="340"/>
      <c r="BB45" s="341"/>
      <c r="BC45" s="356"/>
      <c r="BD45" s="909"/>
      <c r="BE45" s="985"/>
      <c r="BF45" s="918"/>
      <c r="BG45" s="357">
        <v>0.49</v>
      </c>
      <c r="BH45" s="410">
        <v>6</v>
      </c>
      <c r="BI45" s="358">
        <v>99</v>
      </c>
      <c r="BJ45" s="1627">
        <v>84</v>
      </c>
      <c r="BK45" s="358"/>
      <c r="BL45" s="358"/>
      <c r="BM45" s="360">
        <v>0.19</v>
      </c>
      <c r="BN45" s="361">
        <v>107</v>
      </c>
      <c r="BO45" s="331"/>
      <c r="BP45" s="6"/>
      <c r="BR45" s="1800"/>
      <c r="BS45" s="1799"/>
      <c r="BT45" s="1719"/>
      <c r="BU45" s="1720"/>
      <c r="BV45" s="1719"/>
      <c r="BW45" s="1720"/>
      <c r="BX45" s="209"/>
      <c r="BY45" s="209"/>
      <c r="BZ45" s="209"/>
      <c r="CM45" s="7"/>
      <c r="CN45" s="274"/>
      <c r="CO45" s="274"/>
      <c r="CP45" s="273"/>
      <c r="CQ45" s="216"/>
      <c r="CR45" s="220"/>
      <c r="CT45" s="219"/>
      <c r="CU45" s="218"/>
      <c r="CX45" s="1321" t="s">
        <v>1384</v>
      </c>
      <c r="CY45" s="1316">
        <f>MIN(D95:D106,H95:H106,L95:L106,P95:P106,AL95:AL106,AP95:AP106,AT95:AT106,AX95:AX106,T95:T106,BB95:BB106)</f>
        <v>0.14000000000000001</v>
      </c>
      <c r="CZ45" s="1316" t="s">
        <v>247</v>
      </c>
      <c r="DA45" s="1316">
        <f>MAX(D95:D106,H95:H106,L95:L106,P95:P106,AL95:AL106,AP95:AP106,AT95:AT106,AX95:AX106,T95:T106,BB95:BB106)</f>
        <v>0.2</v>
      </c>
    </row>
    <row r="46" spans="1:110" ht="21.9" customHeight="1" thickBot="1" x14ac:dyDescent="0.5">
      <c r="A46" s="645"/>
      <c r="B46" s="966" t="s">
        <v>429</v>
      </c>
      <c r="C46" s="632" t="s">
        <v>1099</v>
      </c>
      <c r="D46" s="1886"/>
      <c r="E46" s="2135"/>
      <c r="F46" s="2136"/>
      <c r="G46" s="1521"/>
      <c r="H46" s="1522"/>
      <c r="I46" s="1523"/>
      <c r="J46" s="339"/>
      <c r="K46" s="340"/>
      <c r="L46" s="340"/>
      <c r="M46" s="342"/>
      <c r="N46" s="1063"/>
      <c r="O46" s="1524"/>
      <c r="P46" s="1522"/>
      <c r="Q46" s="1523"/>
      <c r="R46" s="648">
        <v>2.2000000000000002</v>
      </c>
      <c r="S46" s="405">
        <v>5.2</v>
      </c>
      <c r="T46" s="403">
        <v>61.7</v>
      </c>
      <c r="U46" s="356"/>
      <c r="V46" s="909">
        <v>0.04</v>
      </c>
      <c r="W46" s="985"/>
      <c r="X46" s="918">
        <v>0.08</v>
      </c>
      <c r="Y46" s="363"/>
      <c r="Z46" s="651">
        <v>7</v>
      </c>
      <c r="AA46" s="660"/>
      <c r="AB46" s="939"/>
      <c r="AC46" s="1630">
        <v>89</v>
      </c>
      <c r="AD46" s="1631">
        <v>49</v>
      </c>
      <c r="AE46" s="662"/>
      <c r="AF46" s="663"/>
      <c r="AG46" s="335"/>
      <c r="AH46" s="12"/>
      <c r="AI46" s="640"/>
      <c r="AJ46" s="966" t="s">
        <v>429</v>
      </c>
      <c r="AK46" s="632" t="s">
        <v>621</v>
      </c>
      <c r="AL46" s="1886"/>
      <c r="AM46" s="2135"/>
      <c r="AN46" s="2136"/>
      <c r="AO46" s="1637">
        <v>88.9</v>
      </c>
      <c r="AP46" s="1638">
        <v>90.1</v>
      </c>
      <c r="AQ46" s="1639">
        <v>74.5</v>
      </c>
      <c r="AR46" s="339">
        <v>84.1</v>
      </c>
      <c r="AS46" s="340">
        <v>32.6</v>
      </c>
      <c r="AT46" s="340">
        <v>85.7</v>
      </c>
      <c r="AU46" s="341">
        <f>AT46-AS46</f>
        <v>53.1</v>
      </c>
      <c r="AV46" s="1063"/>
      <c r="AW46" s="369"/>
      <c r="AX46" s="1064"/>
      <c r="AY46" s="1431"/>
      <c r="AZ46" s="343">
        <v>2</v>
      </c>
      <c r="BA46" s="340">
        <v>4</v>
      </c>
      <c r="BB46" s="341">
        <v>65.7</v>
      </c>
      <c r="BC46" s="356"/>
      <c r="BD46" s="909">
        <v>0.08</v>
      </c>
      <c r="BE46" s="985"/>
      <c r="BF46" s="918">
        <v>0.16</v>
      </c>
      <c r="BG46" s="363">
        <v>0.55000000000000004</v>
      </c>
      <c r="BH46" s="651">
        <v>7</v>
      </c>
      <c r="BI46" s="660">
        <v>96</v>
      </c>
      <c r="BJ46" s="1653">
        <v>76</v>
      </c>
      <c r="BK46" s="661">
        <v>59</v>
      </c>
      <c r="BL46" s="661">
        <v>61</v>
      </c>
      <c r="BM46" s="662">
        <v>0.17</v>
      </c>
      <c r="BN46" s="663">
        <v>124</v>
      </c>
      <c r="BO46" s="335"/>
      <c r="BP46" s="6"/>
      <c r="BR46" s="1801"/>
      <c r="BS46" s="1802"/>
      <c r="BT46" s="1721"/>
      <c r="BU46" s="1722"/>
      <c r="BV46" s="1721"/>
      <c r="BW46" s="1722"/>
      <c r="BX46" s="209"/>
      <c r="BY46" s="209"/>
      <c r="BZ46" s="209"/>
      <c r="CM46" s="7"/>
      <c r="CN46" s="580" t="s">
        <v>1553</v>
      </c>
      <c r="CO46" s="581"/>
      <c r="CP46" s="583"/>
      <c r="CQ46" s="578"/>
      <c r="CR46" s="582" t="s">
        <v>1554</v>
      </c>
      <c r="CS46" s="578"/>
      <c r="CT46" s="219"/>
      <c r="CU46" s="218"/>
      <c r="CX46" s="1321" t="s">
        <v>1385</v>
      </c>
      <c r="CY46" s="1318">
        <f>MAX(H78:H89,AP78:AP89)</f>
        <v>330</v>
      </c>
      <c r="CZ46" s="1318" t="s">
        <v>247</v>
      </c>
      <c r="DA46" s="1318">
        <f>MIN(H78:H89,AP78:AP89)</f>
        <v>262</v>
      </c>
    </row>
    <row r="47" spans="1:110" ht="21.9" customHeight="1" thickBot="1" x14ac:dyDescent="0.45">
      <c r="A47" s="772" t="s">
        <v>133</v>
      </c>
      <c r="B47" s="326">
        <f>ROUND(T33/Q33*100,1)</f>
        <v>70.599999999999994</v>
      </c>
      <c r="C47" s="327">
        <f>ROUND(E40/B40*100,1)</f>
        <v>65.8</v>
      </c>
      <c r="D47" s="328">
        <f>ROUND((B47-C47)/B47*100,1)</f>
        <v>6.8</v>
      </c>
      <c r="E47" s="646"/>
      <c r="F47" s="647"/>
      <c r="G47" s="344"/>
      <c r="H47" s="345"/>
      <c r="I47" s="346"/>
      <c r="J47" s="339"/>
      <c r="K47" s="340"/>
      <c r="L47" s="340" t="s">
        <v>1704</v>
      </c>
      <c r="M47" s="342"/>
      <c r="N47" s="771" t="s">
        <v>22</v>
      </c>
      <c r="O47" s="1860" t="s">
        <v>1102</v>
      </c>
      <c r="P47" s="1861"/>
      <c r="Q47" s="1862"/>
      <c r="R47" s="343"/>
      <c r="S47" s="340"/>
      <c r="T47" s="403" t="s">
        <v>1704</v>
      </c>
      <c r="U47" s="356"/>
      <c r="V47" s="909"/>
      <c r="W47" s="985"/>
      <c r="X47" s="918"/>
      <c r="Y47" s="350"/>
      <c r="Z47" s="665" t="s">
        <v>28</v>
      </c>
      <c r="AA47" s="309">
        <f>ROUND(AVERAGE(AA40:AA46),)</f>
        <v>95</v>
      </c>
      <c r="AB47" s="309">
        <f>ROUND(AVERAGE(AB40:AB46),)</f>
        <v>73</v>
      </c>
      <c r="AC47" s="309">
        <f>ROUND(AVERAGE(AC40:AC46),)</f>
        <v>66</v>
      </c>
      <c r="AD47" s="1004">
        <f>ROUND(AVERAGE(AD40:AD46),)</f>
        <v>56</v>
      </c>
      <c r="AE47" s="388">
        <f>ROUND(AVERAGE(AE40:AE46),2)</f>
        <v>0.23</v>
      </c>
      <c r="AF47" s="309">
        <f>ROUND(SUM(AF40:AF46),)</f>
        <v>461</v>
      </c>
      <c r="AG47" s="355"/>
      <c r="AH47" s="12"/>
      <c r="AI47" s="772" t="s">
        <v>133</v>
      </c>
      <c r="AJ47" s="326">
        <f>ROUND(BB33/AY33*100,1)</f>
        <v>71.599999999999994</v>
      </c>
      <c r="AK47" s="327">
        <f>ROUND(AM40/AJ40*100,1)</f>
        <v>64.2</v>
      </c>
      <c r="AL47" s="328">
        <f>ROUND((AJ47-AK47)/AJ47*100,1)</f>
        <v>10.3</v>
      </c>
      <c r="AM47" s="641"/>
      <c r="AN47" s="642"/>
      <c r="AO47" s="344"/>
      <c r="AP47" s="345"/>
      <c r="AQ47" s="346"/>
      <c r="AR47" s="339"/>
      <c r="AS47" s="340"/>
      <c r="AT47" s="340"/>
      <c r="AU47" s="341"/>
      <c r="AV47" s="771" t="s">
        <v>22</v>
      </c>
      <c r="AW47" s="1860" t="s">
        <v>1102</v>
      </c>
      <c r="AX47" s="1861"/>
      <c r="AY47" s="1862"/>
      <c r="AZ47" s="343"/>
      <c r="BA47" s="340"/>
      <c r="BB47" s="341"/>
      <c r="BC47" s="356"/>
      <c r="BD47" s="909"/>
      <c r="BE47" s="985"/>
      <c r="BF47" s="918"/>
      <c r="BG47" s="350"/>
      <c r="BH47" s="665" t="s">
        <v>28</v>
      </c>
      <c r="BI47" s="309">
        <f>ROUND(AVERAGE(BI40:BI46),)</f>
        <v>99</v>
      </c>
      <c r="BJ47" s="309">
        <f>ROUND(AVERAGE(BJ40:BJ46),)</f>
        <v>84</v>
      </c>
      <c r="BK47" s="309">
        <f>ROUND(AVERAGE(BK40:BK46),)</f>
        <v>66</v>
      </c>
      <c r="BL47" s="309">
        <f>ROUND(AVERAGE(BL40:BL46),)</f>
        <v>63</v>
      </c>
      <c r="BM47" s="388">
        <f>ROUND(AVERAGE(BM40:BM46),2)</f>
        <v>0.16</v>
      </c>
      <c r="BN47" s="309">
        <f>ROUND(SUM(BN40:BN46),)</f>
        <v>413</v>
      </c>
      <c r="BO47" s="355"/>
      <c r="BP47" s="6"/>
      <c r="BR47" s="1817" t="s">
        <v>402</v>
      </c>
      <c r="BS47" s="1818"/>
      <c r="BT47" s="1717">
        <f>ROUND(BT30*310/1000,3)</f>
        <v>1.7949999999999999</v>
      </c>
      <c r="BU47" s="1718"/>
      <c r="BV47" s="1717">
        <f>ROUND(BV30*310/1000,3)</f>
        <v>1.821</v>
      </c>
      <c r="BW47" s="1718"/>
      <c r="BX47" s="209"/>
      <c r="BY47" s="209"/>
      <c r="BZ47" s="209"/>
      <c r="CM47" s="7"/>
      <c r="CN47" s="1808" t="s">
        <v>468</v>
      </c>
      <c r="CO47" s="1809"/>
      <c r="CP47" s="271" t="s">
        <v>775</v>
      </c>
      <c r="CQ47" s="271"/>
      <c r="CR47" s="272" t="s">
        <v>756</v>
      </c>
      <c r="CT47" s="219"/>
      <c r="CU47" s="218"/>
      <c r="CX47" s="996"/>
      <c r="CY47" s="960"/>
      <c r="CZ47" s="960"/>
      <c r="DA47" s="960"/>
    </row>
    <row r="48" spans="1:110" ht="21.9" customHeight="1" thickBot="1" x14ac:dyDescent="0.55000000000000004">
      <c r="A48" s="772" t="s">
        <v>134</v>
      </c>
      <c r="B48" s="329">
        <f>ROUND(X33/U33*100,1)</f>
        <v>70.400000000000006</v>
      </c>
      <c r="C48" s="330">
        <f>ROUND(E41/B41*100,1)</f>
        <v>65.3</v>
      </c>
      <c r="D48" s="330">
        <f>ROUND((B48-C48)/B48*100,1)</f>
        <v>7.2</v>
      </c>
      <c r="E48" s="648"/>
      <c r="F48" s="331"/>
      <c r="G48" s="1637">
        <v>88.1</v>
      </c>
      <c r="H48" s="1638">
        <v>88.1</v>
      </c>
      <c r="I48" s="346">
        <v>87.3</v>
      </c>
      <c r="J48" s="339">
        <v>82.9</v>
      </c>
      <c r="K48" s="340">
        <v>37.5</v>
      </c>
      <c r="L48" s="340">
        <v>85.3</v>
      </c>
      <c r="M48" s="342">
        <f t="shared" ref="M48" si="4">L48-K48</f>
        <v>47.8</v>
      </c>
      <c r="N48" s="382">
        <f>N40</f>
        <v>2</v>
      </c>
      <c r="O48" s="336">
        <v>3</v>
      </c>
      <c r="P48" s="337">
        <v>6.4</v>
      </c>
      <c r="Q48" s="338">
        <v>62.4</v>
      </c>
      <c r="R48" s="1616">
        <v>2.6</v>
      </c>
      <c r="S48" s="1609">
        <v>6</v>
      </c>
      <c r="T48" s="1610"/>
      <c r="U48" s="356"/>
      <c r="V48" s="909"/>
      <c r="W48" s="985"/>
      <c r="X48" s="918"/>
      <c r="Y48" s="906"/>
      <c r="Z48" s="410">
        <v>1</v>
      </c>
      <c r="AA48" s="1514"/>
      <c r="AB48" s="1515"/>
      <c r="AC48" s="1514">
        <v>60</v>
      </c>
      <c r="AD48" s="1514">
        <v>62</v>
      </c>
      <c r="AE48" s="1516"/>
      <c r="AF48" s="1517"/>
      <c r="AG48" s="677">
        <v>0.20833333333333334</v>
      </c>
      <c r="AH48" s="12"/>
      <c r="AI48" s="772" t="s">
        <v>134</v>
      </c>
      <c r="AJ48" s="329">
        <f>ROUND(BF33/BC33*100,1)</f>
        <v>71</v>
      </c>
      <c r="AK48" s="330">
        <f>ROUND(AM41/AJ41*100,1)</f>
        <v>66.599999999999994</v>
      </c>
      <c r="AL48" s="330">
        <f>ROUND((AJ48-AK48)/AJ48*100,1)</f>
        <v>6.2</v>
      </c>
      <c r="AM48" s="643"/>
      <c r="AN48" s="983"/>
      <c r="AO48" s="344"/>
      <c r="AP48" s="345"/>
      <c r="AQ48" s="346"/>
      <c r="AR48" s="339"/>
      <c r="AS48" s="340"/>
      <c r="AT48" s="340"/>
      <c r="AU48" s="341"/>
      <c r="AV48" s="382">
        <f>AV40</f>
        <v>2</v>
      </c>
      <c r="AW48" s="336">
        <v>2.4</v>
      </c>
      <c r="AX48" s="337">
        <v>4.8</v>
      </c>
      <c r="AY48" s="338">
        <v>64.900000000000006</v>
      </c>
      <c r="AZ48" s="1616">
        <v>1.6</v>
      </c>
      <c r="BA48" s="1609">
        <v>4.4000000000000004</v>
      </c>
      <c r="BB48" s="1610"/>
      <c r="BC48" s="356"/>
      <c r="BD48" s="909"/>
      <c r="BE48" s="985"/>
      <c r="BF48" s="918"/>
      <c r="BG48" s="906"/>
      <c r="BH48" s="410">
        <v>1</v>
      </c>
      <c r="BI48" s="351"/>
      <c r="BJ48" s="352"/>
      <c r="BK48" s="351">
        <v>60</v>
      </c>
      <c r="BL48" s="351">
        <v>59</v>
      </c>
      <c r="BM48" s="353"/>
      <c r="BN48" s="354"/>
      <c r="BO48" s="677">
        <v>0.70833333333333337</v>
      </c>
      <c r="BP48" s="6"/>
      <c r="BR48" s="1800"/>
      <c r="BS48" s="1799"/>
      <c r="BT48" s="1719"/>
      <c r="BU48" s="1720"/>
      <c r="BV48" s="1719"/>
      <c r="BW48" s="1720"/>
      <c r="BX48" s="209"/>
      <c r="BY48" s="209"/>
      <c r="BZ48" s="209"/>
      <c r="CM48" s="7"/>
      <c r="CN48" s="274"/>
      <c r="CO48" s="274"/>
      <c r="CP48" s="273"/>
      <c r="CQ48" s="216"/>
      <c r="CR48" s="220"/>
      <c r="CS48" s="220"/>
      <c r="CT48" s="219"/>
      <c r="CU48" s="218"/>
      <c r="CX48" s="996"/>
      <c r="CY48" s="960"/>
      <c r="CZ48" s="960"/>
      <c r="DA48" s="960"/>
    </row>
    <row r="49" spans="1:106" ht="26.25" customHeight="1" thickBot="1" x14ac:dyDescent="0.55000000000000004">
      <c r="A49" s="773" t="s">
        <v>570</v>
      </c>
      <c r="B49" s="332">
        <f>COUNT(B40:B41)</f>
        <v>2</v>
      </c>
      <c r="C49" s="333"/>
      <c r="D49" s="334"/>
      <c r="E49" s="649"/>
      <c r="F49" s="335"/>
      <c r="G49" s="344"/>
      <c r="H49" s="345"/>
      <c r="I49" s="346"/>
      <c r="J49" s="339"/>
      <c r="K49" s="340"/>
      <c r="L49" s="340" t="s">
        <v>1704</v>
      </c>
      <c r="M49" s="342"/>
      <c r="N49" s="260">
        <f>N41</f>
        <v>4</v>
      </c>
      <c r="O49" s="339">
        <v>2.4</v>
      </c>
      <c r="P49" s="340">
        <v>4.8</v>
      </c>
      <c r="Q49" s="341">
        <v>60.9</v>
      </c>
      <c r="R49" s="648"/>
      <c r="S49" s="405"/>
      <c r="T49" s="403" t="s">
        <v>1704</v>
      </c>
      <c r="U49" s="356"/>
      <c r="V49" s="909"/>
      <c r="W49" s="985"/>
      <c r="X49" s="918"/>
      <c r="Y49" s="357"/>
      <c r="Z49" s="410">
        <v>2</v>
      </c>
      <c r="AA49" s="1518">
        <v>95</v>
      </c>
      <c r="AB49" s="1627">
        <v>74</v>
      </c>
      <c r="AC49" s="1518"/>
      <c r="AD49" s="1518"/>
      <c r="AE49" s="408">
        <v>0.22</v>
      </c>
      <c r="AF49" s="1520">
        <v>183</v>
      </c>
      <c r="AG49" s="331"/>
      <c r="AH49" s="12"/>
      <c r="AI49" s="842" t="s">
        <v>570</v>
      </c>
      <c r="AJ49" s="332">
        <f>COUNT(AJ40:AJ41)</f>
        <v>2</v>
      </c>
      <c r="AK49" s="515"/>
      <c r="AL49" s="542"/>
      <c r="AM49" s="644"/>
      <c r="AN49" s="855"/>
      <c r="AO49" s="344"/>
      <c r="AP49" s="345"/>
      <c r="AQ49" s="346"/>
      <c r="AR49" s="339"/>
      <c r="AS49" s="340"/>
      <c r="AT49" s="340"/>
      <c r="AU49" s="341"/>
      <c r="AV49" s="260">
        <f>AV41</f>
        <v>4</v>
      </c>
      <c r="AW49" s="339">
        <v>2.8</v>
      </c>
      <c r="AX49" s="340">
        <v>4</v>
      </c>
      <c r="AY49" s="342">
        <v>64.099999999999994</v>
      </c>
      <c r="AZ49" s="343"/>
      <c r="BA49" s="362"/>
      <c r="BB49" s="411"/>
      <c r="BC49" s="356"/>
      <c r="BD49" s="909"/>
      <c r="BE49" s="985"/>
      <c r="BF49" s="918"/>
      <c r="BG49" s="357"/>
      <c r="BH49" s="410">
        <v>2</v>
      </c>
      <c r="BI49" s="358">
        <v>96</v>
      </c>
      <c r="BJ49" s="1627">
        <v>75</v>
      </c>
      <c r="BK49" s="358"/>
      <c r="BL49" s="358"/>
      <c r="BM49" s="360">
        <v>0.19</v>
      </c>
      <c r="BN49" s="361">
        <v>178</v>
      </c>
      <c r="BO49" s="331"/>
      <c r="BP49" s="6"/>
      <c r="BR49" s="1801"/>
      <c r="BS49" s="1802"/>
      <c r="BT49" s="1721"/>
      <c r="BU49" s="1722"/>
      <c r="BV49" s="1721"/>
      <c r="BW49" s="1722"/>
      <c r="BX49" s="209"/>
      <c r="BY49" s="209"/>
      <c r="BZ49" s="209"/>
      <c r="CM49" s="7"/>
      <c r="CN49" s="1810"/>
      <c r="CO49" s="1810"/>
      <c r="CP49" s="225"/>
      <c r="CQ49" s="216"/>
      <c r="CR49" s="218"/>
      <c r="CS49" s="218"/>
      <c r="CT49" s="216"/>
      <c r="CU49" s="216"/>
      <c r="CX49" s="996"/>
      <c r="CY49" s="960"/>
      <c r="CZ49" s="960"/>
      <c r="DA49" s="960"/>
    </row>
    <row r="50" spans="1:106" ht="21.9" customHeight="1" thickBot="1" x14ac:dyDescent="0.55000000000000004">
      <c r="G50" s="344"/>
      <c r="H50" s="367"/>
      <c r="I50" s="368"/>
      <c r="J50" s="339"/>
      <c r="K50" s="340"/>
      <c r="L50" s="340" t="s">
        <v>1704</v>
      </c>
      <c r="M50" s="342"/>
      <c r="N50" s="260">
        <f t="shared" ref="N50" si="5">N42</f>
        <v>6</v>
      </c>
      <c r="O50" s="1637">
        <v>3.2</v>
      </c>
      <c r="P50" s="345">
        <v>4</v>
      </c>
      <c r="Q50" s="346">
        <v>61.7</v>
      </c>
      <c r="R50" s="648"/>
      <c r="S50" s="405"/>
      <c r="T50" s="403" t="s">
        <v>1704</v>
      </c>
      <c r="U50" s="356"/>
      <c r="V50" s="909"/>
      <c r="W50" s="985"/>
      <c r="X50" s="918"/>
      <c r="Y50" s="357"/>
      <c r="Z50" s="410">
        <v>3</v>
      </c>
      <c r="AA50" s="1518"/>
      <c r="AB50" s="1519"/>
      <c r="AC50" s="1518">
        <v>58</v>
      </c>
      <c r="AD50" s="1518">
        <v>57</v>
      </c>
      <c r="AE50" s="408"/>
      <c r="AF50" s="1520"/>
      <c r="AG50" s="331"/>
      <c r="AH50" s="12"/>
      <c r="AO50" s="344"/>
      <c r="AP50" s="367"/>
      <c r="AQ50" s="368"/>
      <c r="AR50" s="356"/>
      <c r="AS50" s="362"/>
      <c r="AT50" s="362"/>
      <c r="AU50" s="544"/>
      <c r="AV50" s="260">
        <f t="shared" ref="AV50:AV51" si="6">AV42</f>
        <v>6</v>
      </c>
      <c r="AW50" s="344">
        <v>2.4</v>
      </c>
      <c r="AX50" s="383">
        <v>5.2</v>
      </c>
      <c r="AY50" s="342">
        <v>64.900000000000006</v>
      </c>
      <c r="AZ50" s="1662">
        <v>3.2</v>
      </c>
      <c r="BA50" s="362">
        <v>4</v>
      </c>
      <c r="BB50" s="411"/>
      <c r="BC50" s="356"/>
      <c r="BD50" s="909"/>
      <c r="BE50" s="985"/>
      <c r="BF50" s="918"/>
      <c r="BG50" s="357"/>
      <c r="BH50" s="410">
        <v>3</v>
      </c>
      <c r="BI50" s="358"/>
      <c r="BJ50" s="359"/>
      <c r="BK50" s="358">
        <v>58</v>
      </c>
      <c r="BL50" s="358">
        <v>57</v>
      </c>
      <c r="BM50" s="360"/>
      <c r="BN50" s="361"/>
      <c r="BO50" s="331"/>
      <c r="BP50" s="6"/>
      <c r="BR50" s="1949" t="s">
        <v>954</v>
      </c>
      <c r="BS50" s="1949"/>
      <c r="BT50" s="1762">
        <f>ROUND(BT37*0.85,3)</f>
        <v>621.24</v>
      </c>
      <c r="BU50" s="1762"/>
      <c r="BV50" s="1762">
        <f>ROUND(BV37*0.85,3)</f>
        <v>604.94000000000005</v>
      </c>
      <c r="BW50" s="1762"/>
      <c r="BX50" s="209"/>
      <c r="BY50" s="209"/>
      <c r="BZ50" s="209"/>
      <c r="CM50" s="7"/>
      <c r="CN50" s="1810"/>
      <c r="CO50" s="1810"/>
      <c r="CP50" s="225"/>
      <c r="CQ50" s="216"/>
      <c r="CR50" s="216"/>
      <c r="CS50" s="216"/>
      <c r="CT50" s="216"/>
      <c r="CU50" s="216"/>
      <c r="CX50" s="996"/>
      <c r="CY50" s="960"/>
      <c r="CZ50" s="960"/>
      <c r="DA50" s="960"/>
      <c r="DB50" s="127"/>
    </row>
    <row r="51" spans="1:106" ht="21.9" customHeight="1" thickBot="1" x14ac:dyDescent="0.55000000000000004">
      <c r="G51" s="369"/>
      <c r="H51" s="370"/>
      <c r="I51" s="371"/>
      <c r="J51" s="372"/>
      <c r="K51" s="228"/>
      <c r="L51" s="340" t="s">
        <v>1704</v>
      </c>
      <c r="M51" s="373"/>
      <c r="N51" s="260"/>
      <c r="O51" s="344"/>
      <c r="P51" s="345"/>
      <c r="Q51" s="346"/>
      <c r="R51" s="648"/>
      <c r="S51" s="405"/>
      <c r="T51" s="403" t="s">
        <v>1704</v>
      </c>
      <c r="U51" s="356"/>
      <c r="V51" s="909"/>
      <c r="W51" s="915"/>
      <c r="X51" s="918"/>
      <c r="Y51" s="366"/>
      <c r="Z51" s="410">
        <v>4</v>
      </c>
      <c r="AA51" s="1518">
        <v>93</v>
      </c>
      <c r="AB51" s="1519">
        <v>67</v>
      </c>
      <c r="AC51" s="1518"/>
      <c r="AD51" s="1518"/>
      <c r="AE51" s="408">
        <v>0.31</v>
      </c>
      <c r="AF51" s="1520">
        <v>125</v>
      </c>
      <c r="AG51" s="331"/>
      <c r="AH51" s="12"/>
      <c r="AI51" s="2156" t="s">
        <v>1561</v>
      </c>
      <c r="AJ51" s="2157"/>
      <c r="AK51" s="2157"/>
      <c r="AL51" s="2158"/>
      <c r="AO51" s="369"/>
      <c r="AP51" s="370"/>
      <c r="AQ51" s="371"/>
      <c r="AR51" s="372"/>
      <c r="AS51" s="228"/>
      <c r="AT51" s="228"/>
      <c r="AU51" s="373"/>
      <c r="AV51" s="260">
        <f t="shared" si="6"/>
        <v>7</v>
      </c>
      <c r="AW51" s="344">
        <v>2.2000000000000002</v>
      </c>
      <c r="AX51" s="340">
        <v>5.6</v>
      </c>
      <c r="AY51" s="341">
        <v>64.099999999999994</v>
      </c>
      <c r="AZ51" s="343" t="s">
        <v>960</v>
      </c>
      <c r="BA51" s="362"/>
      <c r="BB51" s="411"/>
      <c r="BC51" s="356"/>
      <c r="BD51" s="909"/>
      <c r="BE51" s="915"/>
      <c r="BF51" s="918"/>
      <c r="BG51" s="366"/>
      <c r="BH51" s="410">
        <v>4</v>
      </c>
      <c r="BI51" s="358">
        <v>96</v>
      </c>
      <c r="BJ51" s="1627">
        <v>74</v>
      </c>
      <c r="BK51" s="358"/>
      <c r="BL51" s="358"/>
      <c r="BM51" s="360">
        <v>0.25</v>
      </c>
      <c r="BN51" s="361">
        <v>115</v>
      </c>
      <c r="BO51" s="331"/>
      <c r="BP51" s="6"/>
      <c r="BR51" s="1949"/>
      <c r="BS51" s="1949"/>
      <c r="BT51" s="1762"/>
      <c r="BU51" s="1762"/>
      <c r="BV51" s="1762"/>
      <c r="BW51" s="1762"/>
      <c r="BX51" s="209"/>
      <c r="BY51" s="209"/>
      <c r="BZ51" s="209"/>
      <c r="CM51" s="7"/>
      <c r="CN51" s="1810"/>
      <c r="CO51" s="1810"/>
      <c r="CP51" s="225"/>
      <c r="CQ51" s="216"/>
      <c r="CR51" s="216"/>
      <c r="CS51" s="216"/>
      <c r="CT51" s="216"/>
      <c r="CU51" s="216"/>
      <c r="CX51" s="996"/>
      <c r="CY51" s="960"/>
      <c r="CZ51" s="960"/>
      <c r="DA51" s="960"/>
      <c r="DB51" s="127"/>
    </row>
    <row r="52" spans="1:106" ht="21.9" customHeight="1" thickBot="1" x14ac:dyDescent="0.5">
      <c r="J52" s="379"/>
      <c r="K52" s="374"/>
      <c r="L52" s="375"/>
      <c r="M52" s="376"/>
      <c r="N52" s="260"/>
      <c r="O52" s="344"/>
      <c r="P52" s="345"/>
      <c r="Q52" s="346"/>
      <c r="R52" s="648"/>
      <c r="S52" s="405"/>
      <c r="T52" s="403"/>
      <c r="U52" s="364"/>
      <c r="V52" s="911"/>
      <c r="W52" s="916"/>
      <c r="X52" s="919"/>
      <c r="Y52" s="912"/>
      <c r="Z52" s="410">
        <v>5</v>
      </c>
      <c r="AA52" s="1518"/>
      <c r="AB52" s="1519"/>
      <c r="AC52" s="1641">
        <v>55</v>
      </c>
      <c r="AD52" s="1518">
        <v>57</v>
      </c>
      <c r="AE52" s="408"/>
      <c r="AF52" s="1520"/>
      <c r="AG52" s="331"/>
      <c r="AH52" s="12"/>
      <c r="AI52" s="2137" t="s">
        <v>1080</v>
      </c>
      <c r="AJ52" s="2126" t="s">
        <v>794</v>
      </c>
      <c r="AK52" s="2126" t="s">
        <v>1081</v>
      </c>
      <c r="AL52" s="1863" t="s">
        <v>1422</v>
      </c>
      <c r="AR52" s="379"/>
      <c r="AS52" s="374"/>
      <c r="AT52" s="375"/>
      <c r="AU52" s="376"/>
      <c r="AV52" s="260"/>
      <c r="AW52" s="344"/>
      <c r="AX52" s="340"/>
      <c r="AY52" s="341"/>
      <c r="AZ52" s="343"/>
      <c r="BA52" s="362"/>
      <c r="BB52" s="411"/>
      <c r="BC52" s="364"/>
      <c r="BD52" s="911"/>
      <c r="BE52" s="916"/>
      <c r="BF52" s="919"/>
      <c r="BG52" s="912"/>
      <c r="BH52" s="410">
        <v>5</v>
      </c>
      <c r="BI52" s="358"/>
      <c r="BJ52" s="359"/>
      <c r="BK52" s="358">
        <v>60</v>
      </c>
      <c r="BL52" s="358">
        <v>57</v>
      </c>
      <c r="BM52" s="360"/>
      <c r="BN52" s="361"/>
      <c r="BO52" s="331"/>
      <c r="BP52" s="6"/>
      <c r="BR52" s="1949"/>
      <c r="BS52" s="1949"/>
      <c r="BT52" s="1762"/>
      <c r="BU52" s="1762"/>
      <c r="BV52" s="1762"/>
      <c r="BW52" s="1762"/>
      <c r="BX52" s="209"/>
      <c r="BY52" s="209"/>
      <c r="BZ52" s="209"/>
      <c r="CM52" s="7"/>
      <c r="CN52" s="1788" t="s">
        <v>89</v>
      </c>
      <c r="CO52" s="1788"/>
      <c r="CP52" s="1788"/>
      <c r="CQ52" s="578"/>
      <c r="CR52" s="578"/>
      <c r="CS52" s="578"/>
      <c r="CT52" s="209"/>
      <c r="CU52" s="209"/>
      <c r="CX52" s="996"/>
      <c r="CY52" s="960"/>
      <c r="CZ52" s="960"/>
      <c r="DA52" s="960"/>
      <c r="DB52" s="127"/>
    </row>
    <row r="53" spans="1:106" ht="21.9" customHeight="1" thickBot="1" x14ac:dyDescent="0.6">
      <c r="G53" s="959"/>
      <c r="H53" s="2150" t="s">
        <v>654</v>
      </c>
      <c r="I53" s="2150"/>
      <c r="J53" s="380">
        <v>81.7</v>
      </c>
      <c r="K53" s="377">
        <v>32.6</v>
      </c>
      <c r="L53" s="377">
        <v>83.7</v>
      </c>
      <c r="M53" s="378">
        <f>ROUND(L53-K53,1)</f>
        <v>51.1</v>
      </c>
      <c r="N53" s="260"/>
      <c r="O53" s="344"/>
      <c r="P53" s="345"/>
      <c r="Q53" s="346"/>
      <c r="R53" s="380">
        <v>2.6</v>
      </c>
      <c r="S53" s="377">
        <v>4.8</v>
      </c>
      <c r="T53" s="384">
        <v>61.7</v>
      </c>
      <c r="U53" s="380">
        <v>4</v>
      </c>
      <c r="V53" s="922">
        <v>0.04</v>
      </c>
      <c r="W53" s="920">
        <v>5.6</v>
      </c>
      <c r="X53" s="921">
        <v>0.08</v>
      </c>
      <c r="Y53" s="912"/>
      <c r="Z53" s="410">
        <v>6</v>
      </c>
      <c r="AA53" s="1518">
        <v>95</v>
      </c>
      <c r="AB53" s="1519">
        <v>69</v>
      </c>
      <c r="AC53" s="1518"/>
      <c r="AD53" s="1518"/>
      <c r="AE53" s="408">
        <v>0.31</v>
      </c>
      <c r="AF53" s="1520">
        <v>159</v>
      </c>
      <c r="AG53" s="331"/>
      <c r="AH53" s="12"/>
      <c r="AI53" s="2138"/>
      <c r="AJ53" s="2010"/>
      <c r="AK53" s="2010"/>
      <c r="AL53" s="1863"/>
      <c r="AO53" s="959"/>
      <c r="AP53" s="2150" t="s">
        <v>654</v>
      </c>
      <c r="AQ53" s="2150"/>
      <c r="AR53" s="380">
        <v>84.9</v>
      </c>
      <c r="AS53" s="377">
        <v>32.200000000000003</v>
      </c>
      <c r="AT53" s="377">
        <v>84.5</v>
      </c>
      <c r="AU53" s="545">
        <f>ROUND(AT53-AS53,1)</f>
        <v>52.3</v>
      </c>
      <c r="AV53" s="260"/>
      <c r="AW53" s="344"/>
      <c r="AX53" s="340"/>
      <c r="AY53" s="341"/>
      <c r="AZ53" s="920">
        <v>1.8</v>
      </c>
      <c r="BA53" s="294">
        <v>5.2</v>
      </c>
      <c r="BB53" s="303">
        <v>64.099999999999994</v>
      </c>
      <c r="BC53" s="294">
        <v>4</v>
      </c>
      <c r="BD53" s="923">
        <v>0.08</v>
      </c>
      <c r="BE53" s="920">
        <v>6</v>
      </c>
      <c r="BF53" s="921">
        <v>0.12</v>
      </c>
      <c r="BG53" s="912"/>
      <c r="BH53" s="410">
        <v>6</v>
      </c>
      <c r="BI53" s="358">
        <v>96</v>
      </c>
      <c r="BJ53" s="1627">
        <v>77</v>
      </c>
      <c r="BK53" s="358"/>
      <c r="BL53" s="358"/>
      <c r="BM53" s="360">
        <v>0.24</v>
      </c>
      <c r="BN53" s="361">
        <v>130</v>
      </c>
      <c r="BO53" s="331"/>
      <c r="BP53" s="6"/>
      <c r="BR53" s="1993"/>
      <c r="BS53" s="1993"/>
      <c r="BT53" s="565"/>
      <c r="BU53" s="565"/>
      <c r="BV53" s="565"/>
      <c r="BW53" s="565"/>
      <c r="BX53" s="566"/>
      <c r="BY53" s="566"/>
      <c r="BZ53" s="209"/>
      <c r="CM53" s="7"/>
      <c r="CN53" s="1788" t="s">
        <v>163</v>
      </c>
      <c r="CO53" s="1788"/>
      <c r="CP53" s="1788"/>
      <c r="CQ53" s="578"/>
      <c r="CR53" s="578"/>
      <c r="CS53" s="578"/>
      <c r="CT53" s="209"/>
      <c r="CU53" s="209"/>
      <c r="CX53" s="996"/>
      <c r="CY53" s="960"/>
      <c r="CZ53" s="960"/>
      <c r="DA53" s="960"/>
      <c r="DB53" s="127"/>
    </row>
    <row r="54" spans="1:106" ht="27" customHeight="1" thickBot="1" x14ac:dyDescent="0.6">
      <c r="A54" s="208"/>
      <c r="B54" s="959"/>
      <c r="C54" s="959"/>
      <c r="D54" s="959"/>
      <c r="E54" s="959"/>
      <c r="F54" s="959"/>
      <c r="G54" s="959"/>
      <c r="H54" s="959"/>
      <c r="I54" s="959"/>
      <c r="J54" s="2127" t="s">
        <v>1423</v>
      </c>
      <c r="K54" s="2128"/>
      <c r="L54" s="381">
        <v>44.8</v>
      </c>
      <c r="M54" s="122"/>
      <c r="N54" s="260"/>
      <c r="O54" s="344"/>
      <c r="P54" s="345"/>
      <c r="Q54" s="346"/>
      <c r="R54" s="901" t="s">
        <v>654</v>
      </c>
      <c r="S54" s="902"/>
      <c r="T54" s="1842" t="s">
        <v>1422</v>
      </c>
      <c r="U54" s="1828">
        <v>8.1</v>
      </c>
      <c r="V54" s="1842" t="s">
        <v>1422</v>
      </c>
      <c r="W54" s="2235">
        <v>1.25</v>
      </c>
      <c r="X54" s="907"/>
      <c r="Y54" s="913"/>
      <c r="Z54" s="651">
        <v>7</v>
      </c>
      <c r="AA54" s="385"/>
      <c r="AB54" s="940"/>
      <c r="AC54" s="1630">
        <v>85</v>
      </c>
      <c r="AD54" s="661">
        <v>56</v>
      </c>
      <c r="AE54" s="386"/>
      <c r="AF54" s="387"/>
      <c r="AG54" s="653"/>
      <c r="AH54" s="12"/>
      <c r="AI54" s="674">
        <v>0.04</v>
      </c>
      <c r="AJ54" s="675">
        <v>40.700000000000003</v>
      </c>
      <c r="AK54" s="675">
        <v>33</v>
      </c>
      <c r="AL54" s="384">
        <v>37.5</v>
      </c>
      <c r="AM54" s="959"/>
      <c r="AN54" s="959"/>
      <c r="AO54" s="959"/>
      <c r="AP54" s="959"/>
      <c r="AQ54" s="959"/>
      <c r="AR54" s="2127" t="s">
        <v>1423</v>
      </c>
      <c r="AS54" s="2128"/>
      <c r="AT54" s="381">
        <v>42.8</v>
      </c>
      <c r="AU54" s="122"/>
      <c r="AV54" s="546"/>
      <c r="AW54" s="344"/>
      <c r="AX54" s="340"/>
      <c r="AY54" s="341"/>
      <c r="AZ54" s="901" t="s">
        <v>654</v>
      </c>
      <c r="BA54" s="902"/>
      <c r="BB54" s="1842" t="s">
        <v>1422</v>
      </c>
      <c r="BC54" s="1828">
        <v>7.3</v>
      </c>
      <c r="BD54" s="1842" t="s">
        <v>1422</v>
      </c>
      <c r="BE54" s="1989">
        <v>0.78</v>
      </c>
      <c r="BF54" s="907"/>
      <c r="BG54" s="913"/>
      <c r="BH54" s="651">
        <v>7</v>
      </c>
      <c r="BI54" s="385">
        <v>96</v>
      </c>
      <c r="BJ54" s="1661">
        <v>71</v>
      </c>
      <c r="BK54" s="661">
        <v>57</v>
      </c>
      <c r="BL54" s="661">
        <v>57</v>
      </c>
      <c r="BM54" s="386">
        <v>0.28999999999999998</v>
      </c>
      <c r="BN54" s="387">
        <v>145</v>
      </c>
      <c r="BO54" s="653"/>
      <c r="BP54" s="6"/>
      <c r="BR54" s="1993"/>
      <c r="BS54" s="1993"/>
      <c r="BT54" s="567"/>
      <c r="BU54" s="567"/>
      <c r="BV54" s="567"/>
      <c r="BW54" s="568"/>
      <c r="BX54" s="569"/>
      <c r="BY54" s="566"/>
      <c r="BZ54" s="209"/>
      <c r="CM54" s="7"/>
      <c r="CN54" s="1788"/>
      <c r="CO54" s="1788"/>
      <c r="CP54" s="1788"/>
      <c r="CQ54" s="1787"/>
      <c r="CR54" s="1787"/>
      <c r="CS54" s="1787"/>
      <c r="CT54" s="209"/>
      <c r="CU54" s="209"/>
      <c r="CX54" s="996"/>
      <c r="CY54" s="960"/>
      <c r="CZ54" s="960"/>
      <c r="DA54" s="960"/>
      <c r="DB54" s="128"/>
    </row>
    <row r="55" spans="1:106" ht="21.75" customHeight="1" thickBot="1" x14ac:dyDescent="0.6">
      <c r="A55" s="2130" t="s">
        <v>883</v>
      </c>
      <c r="B55" s="2131"/>
      <c r="C55" s="2131"/>
      <c r="D55" s="2131"/>
      <c r="E55" s="2131"/>
      <c r="F55" s="2131"/>
      <c r="G55" s="2131"/>
      <c r="H55" s="2131"/>
      <c r="I55" s="2131"/>
      <c r="J55" s="2131"/>
      <c r="K55" s="2131"/>
      <c r="L55" s="2131"/>
      <c r="M55" s="664"/>
      <c r="N55" s="672" t="s">
        <v>28</v>
      </c>
      <c r="O55" s="488">
        <f>ROUND(AVERAGE(O48:O54),1)</f>
        <v>2.9</v>
      </c>
      <c r="P55" s="488">
        <f t="shared" ref="P55" si="7">ROUND(AVERAGE(P48:P54),1)</f>
        <v>5.0999999999999996</v>
      </c>
      <c r="Q55" s="420">
        <f>ROUND(AVERAGE(Q48:Q54),1)</f>
        <v>61.7</v>
      </c>
      <c r="R55" s="903"/>
      <c r="S55" s="904"/>
      <c r="T55" s="1843"/>
      <c r="U55" s="1829"/>
      <c r="V55" s="1843"/>
      <c r="W55" s="2236"/>
      <c r="X55" s="668"/>
      <c r="Y55" s="388">
        <f>ROUND(AVERAGE(Y40:Y54),2)</f>
        <v>1.29</v>
      </c>
      <c r="Z55" s="665" t="s">
        <v>28</v>
      </c>
      <c r="AA55" s="309">
        <f>ROUND(AVERAGE(AA48:AA54,AA40:AA46),)</f>
        <v>95</v>
      </c>
      <c r="AB55" s="309">
        <f>ROUND(AVERAGE(AB48:AB54,AB40:AB46),)</f>
        <v>72</v>
      </c>
      <c r="AC55" s="309">
        <f>ROUND(AVERAGE(AC48:AC54,AC40:AC46),)</f>
        <v>65</v>
      </c>
      <c r="AD55" s="309">
        <f>ROUND(AVERAGE(AD48:AD54,AD40:AD46),)</f>
        <v>57</v>
      </c>
      <c r="AE55" s="388">
        <f>ROUND(AVERAGE(AE48:AE54,AE40:AE46),2)</f>
        <v>0.26</v>
      </c>
      <c r="AF55" s="309">
        <f>ROUND(SUM(AF48:AF54),)</f>
        <v>467</v>
      </c>
      <c r="AG55" s="666"/>
      <c r="AH55" s="12"/>
      <c r="AI55" s="2130" t="s">
        <v>883</v>
      </c>
      <c r="AJ55" s="2131"/>
      <c r="AK55" s="2131"/>
      <c r="AL55" s="2131"/>
      <c r="AM55" s="2131"/>
      <c r="AN55" s="2131"/>
      <c r="AO55" s="2131"/>
      <c r="AP55" s="2131"/>
      <c r="AQ55" s="2131"/>
      <c r="AR55" s="2131"/>
      <c r="AS55" s="2131"/>
      <c r="AT55" s="2131"/>
      <c r="AU55" s="664"/>
      <c r="AV55" s="672" t="s">
        <v>28</v>
      </c>
      <c r="AW55" s="488">
        <f>ROUND(AVERAGE(AW48:AW54),1)</f>
        <v>2.5</v>
      </c>
      <c r="AX55" s="488">
        <f t="shared" ref="AX55" si="8">ROUND(AVERAGE(AX48:AX54),1)</f>
        <v>4.9000000000000004</v>
      </c>
      <c r="AY55" s="420">
        <f>ROUND(AVERAGE(AY48:AY54),1)</f>
        <v>64.5</v>
      </c>
      <c r="AZ55" s="903"/>
      <c r="BA55" s="904"/>
      <c r="BB55" s="1843"/>
      <c r="BC55" s="1829"/>
      <c r="BD55" s="1843"/>
      <c r="BE55" s="1990"/>
      <c r="BF55" s="668"/>
      <c r="BG55" s="667">
        <f>ROUND(AVERAGE(BG40:BG54),2)</f>
        <v>0.47</v>
      </c>
      <c r="BH55" s="665" t="s">
        <v>28</v>
      </c>
      <c r="BI55" s="309">
        <f>ROUND(AVERAGE(BI48:BI54,BI40:BI46),)</f>
        <v>97</v>
      </c>
      <c r="BJ55" s="309">
        <f>ROUND(AVERAGE(BJ48:BJ54,BJ40:BJ46),)</f>
        <v>79</v>
      </c>
      <c r="BK55" s="309">
        <f>ROUND(AVERAGE(BK48:BK54,BK40:BK46),)</f>
        <v>62</v>
      </c>
      <c r="BL55" s="309">
        <f>ROUND(AVERAGE(BL48:BL54,BL40:BL46),)</f>
        <v>60</v>
      </c>
      <c r="BM55" s="388">
        <f>ROUND(AVERAGE(BM48:BM54,BM40:BM46),2)</f>
        <v>0.2</v>
      </c>
      <c r="BN55" s="309">
        <f>ROUND(SUM(BN48:BN54),)</f>
        <v>568</v>
      </c>
      <c r="BO55" s="666"/>
      <c r="BP55" s="6"/>
      <c r="BR55" s="1972" t="s">
        <v>1007</v>
      </c>
      <c r="BS55" s="1972"/>
      <c r="BT55" s="565"/>
      <c r="BU55" s="565"/>
      <c r="BV55" s="565"/>
      <c r="BW55" s="1975" t="s">
        <v>1070</v>
      </c>
      <c r="BX55" s="570"/>
      <c r="BY55" s="566"/>
      <c r="BZ55" s="209"/>
      <c r="CM55" s="7"/>
      <c r="CN55" s="579" t="s">
        <v>1670</v>
      </c>
      <c r="CO55" s="579"/>
      <c r="CP55" s="580"/>
      <c r="CQ55" s="581"/>
      <c r="CR55" s="582" t="s">
        <v>755</v>
      </c>
      <c r="CS55" s="578"/>
      <c r="CT55" s="223"/>
      <c r="CU55" s="223"/>
      <c r="CX55" s="996"/>
      <c r="CY55" s="960"/>
      <c r="CZ55" s="960"/>
      <c r="DA55" s="960"/>
      <c r="DB55" s="128"/>
    </row>
    <row r="56" spans="1:106" ht="21.9" customHeight="1" thickBot="1" x14ac:dyDescent="0.55000000000000004">
      <c r="A56" s="627" t="s">
        <v>4</v>
      </c>
      <c r="B56" s="628">
        <v>1059</v>
      </c>
      <c r="C56" s="629" t="s">
        <v>14</v>
      </c>
      <c r="D56" s="630" t="s">
        <v>7</v>
      </c>
      <c r="E56" s="630" t="s">
        <v>164</v>
      </c>
      <c r="F56" s="630" t="s">
        <v>15</v>
      </c>
      <c r="G56" s="630" t="s">
        <v>566</v>
      </c>
      <c r="H56" s="630">
        <v>12</v>
      </c>
      <c r="I56" s="630">
        <v>1859</v>
      </c>
      <c r="J56" s="630" t="s">
        <v>171</v>
      </c>
      <c r="K56" s="630" t="s">
        <v>18</v>
      </c>
      <c r="L56" s="631" t="s">
        <v>130</v>
      </c>
      <c r="M56" s="1021" t="s">
        <v>39</v>
      </c>
      <c r="N56" s="1023"/>
      <c r="O56" s="1023"/>
      <c r="P56" s="392"/>
      <c r="Q56" s="393"/>
      <c r="R56" s="396"/>
      <c r="S56" s="405"/>
      <c r="T56" s="396"/>
      <c r="U56" s="394"/>
      <c r="V56" s="405"/>
      <c r="W56" s="905"/>
      <c r="X56" s="1890" t="s">
        <v>1087</v>
      </c>
      <c r="Y56" s="1828">
        <v>71.3</v>
      </c>
      <c r="Z56" s="1012">
        <f>COUNT(AA40:AA46,AA48:AA54)</f>
        <v>6</v>
      </c>
      <c r="AA56" s="100"/>
      <c r="AB56" s="2189" t="s">
        <v>568</v>
      </c>
      <c r="AC56" s="2190"/>
      <c r="AD56" s="2190"/>
      <c r="AE56" s="2191"/>
      <c r="AF56" s="1977" t="s">
        <v>801</v>
      </c>
      <c r="AG56" s="1978"/>
      <c r="AH56" s="12"/>
      <c r="AI56" s="627" t="s">
        <v>4</v>
      </c>
      <c r="AJ56" s="628">
        <v>1059</v>
      </c>
      <c r="AK56" s="629" t="s">
        <v>14</v>
      </c>
      <c r="AL56" s="630" t="s">
        <v>7</v>
      </c>
      <c r="AM56" s="630" t="s">
        <v>164</v>
      </c>
      <c r="AN56" s="630" t="s">
        <v>15</v>
      </c>
      <c r="AO56" s="630" t="s">
        <v>566</v>
      </c>
      <c r="AP56" s="630">
        <v>12</v>
      </c>
      <c r="AQ56" s="630">
        <v>1859</v>
      </c>
      <c r="AR56" s="630" t="s">
        <v>171</v>
      </c>
      <c r="AS56" s="630" t="s">
        <v>18</v>
      </c>
      <c r="AT56" s="631" t="s">
        <v>130</v>
      </c>
      <c r="AU56" s="1021" t="s">
        <v>39</v>
      </c>
      <c r="AV56" s="1022"/>
      <c r="AW56" s="1022"/>
      <c r="AX56" s="1016"/>
      <c r="AY56" s="1016"/>
      <c r="AZ56" s="396"/>
      <c r="BA56" s="405"/>
      <c r="BB56" s="396"/>
      <c r="BC56" s="394"/>
      <c r="BD56" s="405"/>
      <c r="BE56" s="905"/>
      <c r="BF56" s="1890" t="s">
        <v>1087</v>
      </c>
      <c r="BG56" s="1828">
        <v>72.900000000000006</v>
      </c>
      <c r="BH56" s="1012">
        <f>COUNT(BI40:BI46,BI48:BI54)</f>
        <v>8</v>
      </c>
      <c r="BI56" s="1000"/>
      <c r="BJ56" s="1958" t="s">
        <v>568</v>
      </c>
      <c r="BK56" s="1959"/>
      <c r="BL56" s="1959"/>
      <c r="BM56" s="1960"/>
      <c r="BN56" s="1977" t="s">
        <v>801</v>
      </c>
      <c r="BO56" s="1978"/>
      <c r="BP56" s="6"/>
      <c r="BR56" s="1973"/>
      <c r="BS56" s="1973"/>
      <c r="BT56" s="563"/>
      <c r="BU56" s="1002"/>
      <c r="BV56" s="563"/>
      <c r="BW56" s="1976"/>
      <c r="BX56" s="209"/>
      <c r="BY56" s="209"/>
      <c r="BZ56" s="209"/>
      <c r="CM56" s="7"/>
      <c r="CN56" s="209"/>
      <c r="CO56" s="209"/>
      <c r="CP56" s="270" t="s">
        <v>790</v>
      </c>
      <c r="CQ56" s="224"/>
      <c r="CR56" s="270" t="s">
        <v>754</v>
      </c>
      <c r="CT56" s="224"/>
      <c r="CU56" s="224"/>
      <c r="CV56" s="109"/>
      <c r="CX56" s="996"/>
      <c r="CY56" s="960"/>
      <c r="CZ56" s="960"/>
      <c r="DA56" s="960"/>
      <c r="DB56" s="128"/>
    </row>
    <row r="57" spans="1:106" ht="21.9" customHeight="1" thickBot="1" x14ac:dyDescent="0.45">
      <c r="A57" s="1014">
        <v>0.83333333333333337</v>
      </c>
      <c r="B57" s="543">
        <v>0.3</v>
      </c>
      <c r="C57" s="478">
        <v>0.5</v>
      </c>
      <c r="D57" s="478">
        <v>0.5</v>
      </c>
      <c r="E57" s="478">
        <v>0.3</v>
      </c>
      <c r="F57" s="478">
        <v>0.3</v>
      </c>
      <c r="G57" s="478">
        <v>0.3</v>
      </c>
      <c r="H57" s="478"/>
      <c r="I57" s="478"/>
      <c r="J57" s="478">
        <v>0.3</v>
      </c>
      <c r="K57" s="478" t="s">
        <v>1717</v>
      </c>
      <c r="L57" s="1019" t="s">
        <v>1555</v>
      </c>
      <c r="M57" s="669"/>
      <c r="N57" s="395"/>
      <c r="O57" s="670"/>
      <c r="P57" s="395"/>
      <c r="Q57" s="396"/>
      <c r="R57" s="396"/>
      <c r="S57" s="405"/>
      <c r="T57" s="1507"/>
      <c r="U57" s="1508"/>
      <c r="V57" s="405"/>
      <c r="W57" s="905"/>
      <c r="X57" s="1891"/>
      <c r="Y57" s="1829"/>
      <c r="Z57" s="908"/>
      <c r="AA57" s="131"/>
      <c r="AB57" s="2004" t="s">
        <v>58</v>
      </c>
      <c r="AC57" s="392" t="s">
        <v>79</v>
      </c>
      <c r="AD57" s="635">
        <f>ROUND((E43/B43)*100,1)</f>
        <v>70.5</v>
      </c>
      <c r="AE57" s="1961">
        <f>ROUND((X35/U35*100),1)</f>
        <v>70.8</v>
      </c>
      <c r="AF57" s="1979"/>
      <c r="AG57" s="1980"/>
      <c r="AH57" s="12"/>
      <c r="AI57" s="1017" t="s">
        <v>1546</v>
      </c>
      <c r="AJ57" s="543">
        <v>0.3</v>
      </c>
      <c r="AK57" s="478">
        <v>0.3</v>
      </c>
      <c r="AL57" s="478">
        <v>0.3</v>
      </c>
      <c r="AM57" s="478">
        <v>0.5</v>
      </c>
      <c r="AN57" s="478">
        <v>0.5</v>
      </c>
      <c r="AO57" s="478">
        <v>0.5</v>
      </c>
      <c r="AP57" s="1018" t="s">
        <v>969</v>
      </c>
      <c r="AQ57" s="1018">
        <v>0.5</v>
      </c>
      <c r="AR57" s="1018">
        <v>0.3</v>
      </c>
      <c r="AS57" s="1018">
        <v>0.5</v>
      </c>
      <c r="AT57" s="1019" t="s">
        <v>1555</v>
      </c>
      <c r="AU57" s="1005"/>
      <c r="AV57" s="392"/>
      <c r="AW57" s="392"/>
      <c r="AX57" s="392"/>
      <c r="AY57" s="393"/>
      <c r="AZ57" s="396"/>
      <c r="BA57" s="405"/>
      <c r="BB57" s="396"/>
      <c r="BC57" s="405"/>
      <c r="BD57" s="405"/>
      <c r="BE57" s="905"/>
      <c r="BF57" s="1891"/>
      <c r="BG57" s="1829"/>
      <c r="BH57" s="1020"/>
      <c r="BI57" s="29"/>
      <c r="BJ57" s="2004" t="s">
        <v>58</v>
      </c>
      <c r="BK57" s="392" t="s">
        <v>79</v>
      </c>
      <c r="BL57" s="635">
        <f>ROUND((AM43/AJ43)*100,1)</f>
        <v>71.3</v>
      </c>
      <c r="BM57" s="1961">
        <f>ROUND((BF35/BC35*100),1)</f>
        <v>71.5</v>
      </c>
      <c r="BN57" s="1979"/>
      <c r="BO57" s="1980"/>
      <c r="BP57" s="6"/>
      <c r="BR57" s="547" t="s">
        <v>468</v>
      </c>
      <c r="BS57" s="547"/>
      <c r="BT57" s="270"/>
      <c r="BU57" s="564" t="s">
        <v>791</v>
      </c>
      <c r="BV57" s="564"/>
      <c r="BW57" s="549" t="s">
        <v>466</v>
      </c>
      <c r="BX57" s="209"/>
      <c r="BY57" s="209"/>
      <c r="BZ57" s="209"/>
      <c r="CM57" s="7"/>
      <c r="CN57" s="209"/>
      <c r="CO57" s="209"/>
      <c r="CP57" s="209"/>
      <c r="CQ57" s="224"/>
      <c r="CR57" s="224"/>
      <c r="CS57" s="224"/>
      <c r="CT57" s="224"/>
      <c r="CU57" s="224"/>
      <c r="CV57" s="109"/>
      <c r="CX57" s="996"/>
      <c r="CY57" s="960"/>
      <c r="CZ57" s="960"/>
      <c r="DA57" s="960"/>
      <c r="DB57" s="128"/>
    </row>
    <row r="58" spans="1:106" ht="21.9" customHeight="1" thickBot="1" x14ac:dyDescent="0.6">
      <c r="A58" s="1461">
        <v>8.3333333333333329E-2</v>
      </c>
      <c r="B58" s="419">
        <v>0.3</v>
      </c>
      <c r="C58" s="935">
        <v>0.5</v>
      </c>
      <c r="D58" s="935">
        <v>0.5</v>
      </c>
      <c r="E58" s="935">
        <v>0.3</v>
      </c>
      <c r="F58" s="935">
        <v>0.3</v>
      </c>
      <c r="G58" s="935">
        <v>0.3</v>
      </c>
      <c r="H58" s="1456"/>
      <c r="I58" s="1456"/>
      <c r="J58" s="1456">
        <v>0.5</v>
      </c>
      <c r="K58" s="1456">
        <v>0.3</v>
      </c>
      <c r="L58" s="1457" t="s">
        <v>1555</v>
      </c>
      <c r="M58" s="669"/>
      <c r="N58" s="395"/>
      <c r="O58" s="671"/>
      <c r="P58" s="395"/>
      <c r="Q58" s="396"/>
      <c r="R58" s="396"/>
      <c r="S58" s="405"/>
      <c r="T58" s="396"/>
      <c r="U58" s="396"/>
      <c r="V58" s="396"/>
      <c r="W58" s="396"/>
      <c r="X58" s="396"/>
      <c r="Y58" s="393"/>
      <c r="Z58" s="396"/>
      <c r="AA58" s="30"/>
      <c r="AB58" s="2005"/>
      <c r="AC58" s="395" t="s">
        <v>81</v>
      </c>
      <c r="AD58" s="636">
        <f>ROUND((AB33/Y33)*100,1)</f>
        <v>71.400000000000006</v>
      </c>
      <c r="AE58" s="1956"/>
      <c r="AF58" s="1981"/>
      <c r="AG58" s="1982"/>
      <c r="AH58" s="31"/>
      <c r="AI58" s="1015">
        <v>0.58333333333333337</v>
      </c>
      <c r="AJ58" s="419">
        <v>0.3</v>
      </c>
      <c r="AK58" s="935">
        <v>0.3</v>
      </c>
      <c r="AL58" s="935">
        <v>0.3</v>
      </c>
      <c r="AM58" s="935">
        <v>0.3</v>
      </c>
      <c r="AN58" s="935">
        <v>0.3</v>
      </c>
      <c r="AO58" s="935">
        <v>0.3</v>
      </c>
      <c r="AP58" s="1430"/>
      <c r="AQ58" s="1430"/>
      <c r="AR58" s="1430">
        <v>0.3</v>
      </c>
      <c r="AS58" s="1430">
        <v>0.3</v>
      </c>
      <c r="AT58" s="1467" t="s">
        <v>1555</v>
      </c>
      <c r="AU58" s="523"/>
      <c r="AV58" s="395"/>
      <c r="AW58" s="395"/>
      <c r="AX58" s="395"/>
      <c r="AY58" s="396"/>
      <c r="AZ58" s="396"/>
      <c r="BA58" s="405"/>
      <c r="BB58" s="405"/>
      <c r="BC58" s="405"/>
      <c r="BD58" s="405"/>
      <c r="BE58" s="405"/>
      <c r="BF58" s="405"/>
      <c r="BG58" s="394"/>
      <c r="BH58" s="405"/>
      <c r="BI58" s="30"/>
      <c r="BJ58" s="2005"/>
      <c r="BK58" s="395" t="s">
        <v>81</v>
      </c>
      <c r="BL58" s="636">
        <f>ROUND((BJ33/BG33)*100,1)</f>
        <v>71.8</v>
      </c>
      <c r="BM58" s="1956"/>
      <c r="BN58" s="1981"/>
      <c r="BO58" s="1982"/>
      <c r="BP58" s="6"/>
      <c r="BR58" s="266"/>
      <c r="BS58" s="266"/>
      <c r="BT58" s="266"/>
      <c r="BU58" s="266"/>
      <c r="BV58" s="266"/>
      <c r="BW58" s="266"/>
      <c r="BX58" s="209"/>
      <c r="BY58" s="209"/>
      <c r="BZ58" s="209"/>
      <c r="CM58" s="7"/>
      <c r="CN58" s="1924"/>
      <c r="CO58" s="1924"/>
      <c r="CP58" s="1924"/>
      <c r="CQ58" s="1929"/>
      <c r="CR58" s="1929"/>
      <c r="CS58" s="1929"/>
      <c r="CT58" s="1908"/>
      <c r="CU58" s="1908"/>
      <c r="CX58" s="996"/>
      <c r="CY58" s="960"/>
      <c r="CZ58" s="960"/>
      <c r="DA58" s="960"/>
      <c r="DB58" s="128"/>
    </row>
    <row r="59" spans="1:106" ht="21.75" customHeight="1" thickBot="1" x14ac:dyDescent="0.55000000000000004">
      <c r="A59" s="1458" t="s">
        <v>28</v>
      </c>
      <c r="B59" s="1465">
        <f>ROUND(AVERAGE(B57:B58),1)</f>
        <v>0.3</v>
      </c>
      <c r="C59" s="1466">
        <f t="shared" ref="C59:L59" si="9">ROUND(AVERAGE(C57:C58),1)</f>
        <v>0.5</v>
      </c>
      <c r="D59" s="1466">
        <f t="shared" si="9"/>
        <v>0.5</v>
      </c>
      <c r="E59" s="1466">
        <f t="shared" si="9"/>
        <v>0.3</v>
      </c>
      <c r="F59" s="1466">
        <f t="shared" si="9"/>
        <v>0.3</v>
      </c>
      <c r="G59" s="1466">
        <f t="shared" si="9"/>
        <v>0.3</v>
      </c>
      <c r="H59" s="1466" t="e">
        <f t="shared" si="9"/>
        <v>#DIV/0!</v>
      </c>
      <c r="I59" s="1466" t="e">
        <f t="shared" si="9"/>
        <v>#DIV/0!</v>
      </c>
      <c r="J59" s="1466">
        <f>ROUND(AVERAGE(J57:J58),1)</f>
        <v>0.4</v>
      </c>
      <c r="K59" s="1466">
        <f t="shared" si="9"/>
        <v>0.3</v>
      </c>
      <c r="L59" s="378" t="e">
        <f t="shared" si="9"/>
        <v>#DIV/0!</v>
      </c>
      <c r="M59" s="397"/>
      <c r="N59" s="395"/>
      <c r="O59" s="340"/>
      <c r="P59" s="395"/>
      <c r="Q59" s="396"/>
      <c r="R59" s="396"/>
      <c r="S59" s="405"/>
      <c r="T59" s="1460"/>
      <c r="U59" s="396"/>
      <c r="V59" s="405"/>
      <c r="W59" s="396"/>
      <c r="X59" s="396"/>
      <c r="Y59" s="396"/>
      <c r="Z59" s="396"/>
      <c r="AA59" s="107"/>
      <c r="AB59" s="1983" t="s">
        <v>622</v>
      </c>
      <c r="AC59" s="395" t="s">
        <v>79</v>
      </c>
      <c r="AD59" s="637">
        <f>ROUND((E42/B42*100),1)</f>
        <v>65.599999999999994</v>
      </c>
      <c r="AE59" s="1955">
        <f>ROUND((AD59*6.5+AD60*I90)/(6.5+I90),1)</f>
        <v>64.5</v>
      </c>
      <c r="AF59" s="638">
        <f>ROUND((AD57-AD59)/AD57*100,1)</f>
        <v>7</v>
      </c>
      <c r="AG59" s="1961">
        <f>ROUND((AE57-AE59)/AE57*100,1)</f>
        <v>8.9</v>
      </c>
      <c r="AH59" s="12"/>
      <c r="AI59" s="1458" t="s">
        <v>28</v>
      </c>
      <c r="AJ59" s="1465">
        <f>ROUND(AVERAGE(AJ57:AJ58),1)</f>
        <v>0.3</v>
      </c>
      <c r="AK59" s="1466">
        <f t="shared" ref="AK59" si="10">ROUND(AVERAGE(AK57:AK58),1)</f>
        <v>0.3</v>
      </c>
      <c r="AL59" s="1466">
        <f t="shared" ref="AL59" si="11">ROUND(AVERAGE(AL57:AL58),1)</f>
        <v>0.3</v>
      </c>
      <c r="AM59" s="1466">
        <f t="shared" ref="AM59" si="12">ROUND(AVERAGE(AM57:AM58),1)</f>
        <v>0.4</v>
      </c>
      <c r="AN59" s="1466">
        <f t="shared" ref="AN59" si="13">ROUND(AVERAGE(AN57:AN58),1)</f>
        <v>0.4</v>
      </c>
      <c r="AO59" s="1466">
        <f t="shared" ref="AO59" si="14">ROUND(AVERAGE(AO57:AO58),1)</f>
        <v>0.4</v>
      </c>
      <c r="AP59" s="1466" t="e">
        <f t="shared" ref="AP59" si="15">ROUND(AVERAGE(AP57:AP58),1)</f>
        <v>#DIV/0!</v>
      </c>
      <c r="AQ59" s="1466">
        <f t="shared" ref="AQ59" si="16">ROUND(AVERAGE(AQ57:AQ58),1)</f>
        <v>0.5</v>
      </c>
      <c r="AR59" s="1466">
        <f t="shared" ref="AR59" si="17">ROUND(AVERAGE(AR57:AR58),1)</f>
        <v>0.3</v>
      </c>
      <c r="AS59" s="1466">
        <f t="shared" ref="AS59" si="18">ROUND(AVERAGE(AS57:AS58),1)</f>
        <v>0.4</v>
      </c>
      <c r="AT59" s="378" t="e">
        <f t="shared" ref="AT59" si="19">ROUND(AVERAGE(AT57:AT58),1)</f>
        <v>#DIV/0!</v>
      </c>
      <c r="AU59" s="523"/>
      <c r="AV59" s="1006"/>
      <c r="AW59" s="340"/>
      <c r="AX59" s="395"/>
      <c r="AY59" s="396"/>
      <c r="AZ59" s="396"/>
      <c r="BA59" s="405"/>
      <c r="BB59" s="405"/>
      <c r="BC59" s="405"/>
      <c r="BD59" s="405"/>
      <c r="BE59" s="405"/>
      <c r="BF59" s="405"/>
      <c r="BG59" s="405"/>
      <c r="BH59" s="405"/>
      <c r="BI59" s="32"/>
      <c r="BJ59" s="1983" t="s">
        <v>623</v>
      </c>
      <c r="BK59" s="395" t="s">
        <v>79</v>
      </c>
      <c r="BL59" s="637">
        <f>ROUND((AM42/AJ42*100),1)</f>
        <v>65.400000000000006</v>
      </c>
      <c r="BM59" s="1955">
        <f>ROUND((BL59*6.5+BL60*AQ90)/(6.5+AQ90),1)</f>
        <v>64.2</v>
      </c>
      <c r="BN59" s="1397">
        <f>ROUND((BL57-BL59)/BL57*100,1)</f>
        <v>8.3000000000000007</v>
      </c>
      <c r="BO59" s="1961">
        <f>ROUND((BM57-BM59)/BM57*100,1)</f>
        <v>10.199999999999999</v>
      </c>
      <c r="BP59" s="6"/>
      <c r="BR59" s="992" t="s">
        <v>89</v>
      </c>
      <c r="BS59" s="562"/>
      <c r="BT59" s="563"/>
      <c r="BU59" s="563"/>
      <c r="BV59" s="563"/>
      <c r="BW59" s="226"/>
      <c r="BX59" s="209"/>
      <c r="BY59" s="209"/>
      <c r="BZ59" s="209"/>
      <c r="CM59" s="7"/>
      <c r="CN59" s="1916"/>
      <c r="CO59" s="1916"/>
      <c r="CP59" s="1916"/>
      <c r="CQ59" s="1914"/>
      <c r="CR59" s="1914"/>
      <c r="CS59" s="1914"/>
      <c r="CT59" s="1914"/>
      <c r="CU59" s="1914"/>
      <c r="CX59" s="996"/>
      <c r="CY59" s="246"/>
      <c r="CZ59" s="246"/>
      <c r="DA59" s="246"/>
    </row>
    <row r="60" spans="1:106" ht="21.75" customHeight="1" thickBot="1" x14ac:dyDescent="0.55000000000000004">
      <c r="A60" s="1462"/>
      <c r="B60" s="1463"/>
      <c r="C60" s="1463"/>
      <c r="D60" s="1463"/>
      <c r="E60" s="1463"/>
      <c r="F60" s="1463"/>
      <c r="G60" s="1463"/>
      <c r="H60" s="1463"/>
      <c r="I60" s="1463"/>
      <c r="J60" s="1463"/>
      <c r="K60" s="1463"/>
      <c r="L60" s="1463"/>
      <c r="M60" s="397"/>
      <c r="N60" s="395"/>
      <c r="O60" s="340"/>
      <c r="P60" s="395"/>
      <c r="Q60" s="396"/>
      <c r="R60" s="396"/>
      <c r="S60" s="405"/>
      <c r="T60" s="1460"/>
      <c r="U60" s="396"/>
      <c r="V60" s="408"/>
      <c r="W60" s="396"/>
      <c r="X60" s="396"/>
      <c r="Y60" s="396"/>
      <c r="Z60" s="396"/>
      <c r="AA60" s="107"/>
      <c r="AB60" s="1983"/>
      <c r="AC60" s="395" t="s">
        <v>81</v>
      </c>
      <c r="AD60" s="637">
        <f>ROUND((E44/B44*100),1)</f>
        <v>61</v>
      </c>
      <c r="AE60" s="1956" t="e">
        <f>ROUND((AC60*6.5+AD60*G89)/(6.5+G89),1)</f>
        <v>#VALUE!</v>
      </c>
      <c r="AF60" s="639">
        <f>ROUND((AD58-AD60)/AD58*100,1)</f>
        <v>14.6</v>
      </c>
      <c r="AG60" s="1961"/>
      <c r="AH60" s="12"/>
      <c r="AI60" s="1660">
        <v>0.625</v>
      </c>
      <c r="AJ60" s="1463"/>
      <c r="AK60" s="1463"/>
      <c r="AL60" s="1463"/>
      <c r="AM60" s="1463"/>
      <c r="AN60" s="1463"/>
      <c r="AO60" s="1463">
        <v>0.3</v>
      </c>
      <c r="AP60" s="1463"/>
      <c r="AQ60" s="1463"/>
      <c r="AR60" s="1463"/>
      <c r="AS60" s="1463">
        <v>0.3</v>
      </c>
      <c r="AT60" s="1463"/>
      <c r="AU60" s="397"/>
      <c r="AV60" s="395"/>
      <c r="AW60" s="395"/>
      <c r="AX60" s="395"/>
      <c r="AY60" s="396"/>
      <c r="AZ60" s="396"/>
      <c r="BA60" s="405"/>
      <c r="BB60" s="405"/>
      <c r="BC60" s="405"/>
      <c r="BD60" s="405"/>
      <c r="BE60" s="405"/>
      <c r="BF60" s="405"/>
      <c r="BG60" s="405"/>
      <c r="BH60" s="405"/>
      <c r="BI60" s="32"/>
      <c r="BJ60" s="1983"/>
      <c r="BK60" s="395" t="s">
        <v>81</v>
      </c>
      <c r="BL60" s="637">
        <f>ROUND((AM44/AJ44*100),1)</f>
        <v>60.5</v>
      </c>
      <c r="BM60" s="1956" t="e">
        <f>ROUND((BK60*6.5+BL60*AO89)/(6.5+AO89),1)</f>
        <v>#VALUE!</v>
      </c>
      <c r="BN60" s="1398">
        <f>ROUND((BL58-BL60)/BL58*100,1)</f>
        <v>15.7</v>
      </c>
      <c r="BO60" s="1956"/>
      <c r="BP60" s="6"/>
      <c r="BR60" s="992" t="s">
        <v>163</v>
      </c>
      <c r="BS60" s="562"/>
      <c r="BT60" s="226"/>
      <c r="BU60" s="226"/>
      <c r="BV60" s="226"/>
      <c r="BW60" s="226"/>
      <c r="BX60" s="209"/>
      <c r="BY60" s="209"/>
      <c r="BZ60" s="209"/>
      <c r="CM60" s="7"/>
      <c r="CN60" s="1916"/>
      <c r="CO60" s="1916"/>
      <c r="CP60" s="1916"/>
      <c r="CQ60" s="1914"/>
      <c r="CR60" s="1914"/>
      <c r="CS60" s="1914"/>
      <c r="CT60" s="1914"/>
      <c r="CU60" s="1914"/>
      <c r="CX60" s="857" t="s">
        <v>260</v>
      </c>
      <c r="CY60" s="245">
        <f>MIN(C95:C106,G95:G106,K95:K106,O95:O106,AK95:AK106,AO95:AO106,AS95:AS106,AW95:AW106,S95:S106,BA95:BA106)</f>
        <v>99.33</v>
      </c>
      <c r="CZ60" s="242" t="s">
        <v>247</v>
      </c>
      <c r="DA60" s="245">
        <f>MAX(C95:C106,G95:G106,K95:K106,O95:O106,AK95:AK106,AO95:AO106,AS95:AS106,AW95:AW106,S95:S106,BA95:BA106)</f>
        <v>99.33</v>
      </c>
    </row>
    <row r="61" spans="1:106" ht="21.75" customHeight="1" x14ac:dyDescent="0.5">
      <c r="A61" s="1459"/>
      <c r="B61" s="1460"/>
      <c r="C61" s="1460"/>
      <c r="D61" s="1460"/>
      <c r="E61" s="1460"/>
      <c r="F61" s="1460"/>
      <c r="G61" s="1460"/>
      <c r="H61" s="1460"/>
      <c r="I61" s="1460"/>
      <c r="J61" s="1460"/>
      <c r="K61" s="1460"/>
      <c r="L61" s="1460"/>
      <c r="M61" s="397"/>
      <c r="N61" s="395"/>
      <c r="O61" s="340"/>
      <c r="P61" s="395"/>
      <c r="Q61" s="396"/>
      <c r="R61" s="396"/>
      <c r="S61" s="405"/>
      <c r="T61" s="396"/>
      <c r="U61" s="396"/>
      <c r="V61" s="396"/>
      <c r="W61" s="396"/>
      <c r="X61" s="396"/>
      <c r="Y61" s="396"/>
      <c r="Z61" s="396"/>
      <c r="AA61" s="108"/>
      <c r="AB61" s="1986" t="s">
        <v>23</v>
      </c>
      <c r="AC61" s="1987"/>
      <c r="AD61" s="1962">
        <f>ROUND((M53*BS85)/(J53*BS86)*100,1)</f>
        <v>61.5</v>
      </c>
      <c r="AE61" s="1946"/>
      <c r="AF61" s="2132">
        <f>ROUND((AE57-AD61)/AE57*100,1)</f>
        <v>13.1</v>
      </c>
      <c r="AG61" s="2133"/>
      <c r="AH61" s="12"/>
      <c r="AI61" s="1459"/>
      <c r="AJ61" s="1460"/>
      <c r="AK61" s="1460"/>
      <c r="AL61" s="1460"/>
      <c r="AM61" s="1460"/>
      <c r="AN61" s="1460"/>
      <c r="AO61" s="1460"/>
      <c r="AP61" s="1460"/>
      <c r="AQ61" s="1460"/>
      <c r="AR61" s="1460"/>
      <c r="AS61" s="1460"/>
      <c r="AT61" s="1460"/>
      <c r="AU61" s="397"/>
      <c r="AV61" s="395"/>
      <c r="AW61" s="395"/>
      <c r="AX61" s="395"/>
      <c r="AY61" s="396"/>
      <c r="AZ61" s="396"/>
      <c r="BA61" s="405"/>
      <c r="BB61" s="405"/>
      <c r="BC61" s="405"/>
      <c r="BD61" s="405"/>
      <c r="BE61" s="405"/>
      <c r="BF61" s="405"/>
      <c r="BG61" s="405"/>
      <c r="BH61" s="405"/>
      <c r="BI61" s="33"/>
      <c r="BJ61" s="1986" t="s">
        <v>23</v>
      </c>
      <c r="BK61" s="1987"/>
      <c r="BL61" s="1962">
        <f>ROUND((AU53*BS85)/(AR53*BS86)*100,1)</f>
        <v>60.6</v>
      </c>
      <c r="BM61" s="1946"/>
      <c r="BN61" s="1945">
        <f>ROUND((BM57-BL61)/BM57*100,1)</f>
        <v>15.2</v>
      </c>
      <c r="BO61" s="1946"/>
      <c r="BP61" s="6"/>
      <c r="BR61" s="562"/>
      <c r="BS61" s="562"/>
      <c r="BT61" s="563"/>
      <c r="BU61" s="563"/>
      <c r="BV61" s="563"/>
      <c r="BW61" s="1970" t="s">
        <v>180</v>
      </c>
      <c r="BX61" s="209"/>
      <c r="BY61" s="209"/>
      <c r="BZ61" s="209"/>
      <c r="CM61" s="7"/>
      <c r="CN61" s="1"/>
      <c r="CO61" s="1"/>
      <c r="CP61" s="1"/>
      <c r="CQ61" s="1"/>
      <c r="CR61" s="1"/>
      <c r="CS61" s="1"/>
      <c r="CT61" s="1"/>
      <c r="CU61" s="1"/>
      <c r="CX61" s="857" t="s">
        <v>261</v>
      </c>
      <c r="CY61" s="244">
        <f>MIN(AK111:AZ111,C111:R111)</f>
        <v>146</v>
      </c>
      <c r="CZ61" s="240" t="s">
        <v>247</v>
      </c>
      <c r="DA61" s="244">
        <f>MAX(AK111:AZ111,C111:R111)</f>
        <v>164</v>
      </c>
    </row>
    <row r="62" spans="1:106" ht="21.9" customHeight="1" thickBot="1" x14ac:dyDescent="0.55000000000000004">
      <c r="A62" s="855"/>
      <c r="B62" s="855"/>
      <c r="C62" s="855"/>
      <c r="D62" s="855"/>
      <c r="E62" s="855"/>
      <c r="F62" s="855"/>
      <c r="G62" s="855"/>
      <c r="H62" s="855"/>
      <c r="I62" s="855"/>
      <c r="J62" s="855"/>
      <c r="K62" s="855"/>
      <c r="L62" s="854"/>
      <c r="M62" s="395"/>
      <c r="N62" s="395"/>
      <c r="O62" s="340"/>
      <c r="P62" s="395"/>
      <c r="Q62" s="396"/>
      <c r="R62" s="396"/>
      <c r="S62" s="405"/>
      <c r="T62" s="405"/>
      <c r="U62" s="405"/>
      <c r="V62" s="405"/>
      <c r="W62" s="396"/>
      <c r="X62" s="396"/>
      <c r="Y62" s="396"/>
      <c r="Z62" s="396"/>
      <c r="AA62" s="108"/>
      <c r="AB62" s="1981"/>
      <c r="AC62" s="1988"/>
      <c r="AD62" s="1963"/>
      <c r="AE62" s="1948"/>
      <c r="AF62" s="1947"/>
      <c r="AG62" s="1948"/>
      <c r="AH62" s="12"/>
      <c r="AI62" s="855"/>
      <c r="AJ62" s="855"/>
      <c r="AK62" s="855"/>
      <c r="AL62" s="855"/>
      <c r="AM62" s="855"/>
      <c r="AN62" s="855"/>
      <c r="AO62" s="855"/>
      <c r="AP62" s="855"/>
      <c r="AQ62" s="855"/>
      <c r="AR62" s="855"/>
      <c r="AS62" s="855"/>
      <c r="AT62" s="854"/>
      <c r="AU62" s="1006"/>
      <c r="AV62" s="1006"/>
      <c r="AW62" s="340"/>
      <c r="AX62" s="395"/>
      <c r="AY62" s="396"/>
      <c r="AZ62" s="396"/>
      <c r="BA62" s="405"/>
      <c r="BB62" s="405"/>
      <c r="BC62" s="405"/>
      <c r="BD62" s="405"/>
      <c r="BE62" s="405"/>
      <c r="BF62" s="405"/>
      <c r="BG62" s="405"/>
      <c r="BH62" s="405"/>
      <c r="BI62" s="33"/>
      <c r="BJ62" s="1981"/>
      <c r="BK62" s="1988"/>
      <c r="BL62" s="1963"/>
      <c r="BM62" s="1948"/>
      <c r="BN62" s="1947"/>
      <c r="BO62" s="1948"/>
      <c r="BP62" s="6"/>
      <c r="BR62" s="562" t="s">
        <v>1669</v>
      </c>
      <c r="BS62" s="562"/>
      <c r="BT62" s="226"/>
      <c r="BU62" s="563" t="s">
        <v>87</v>
      </c>
      <c r="BV62" s="563"/>
      <c r="BW62" s="1970"/>
      <c r="BX62" s="994"/>
      <c r="BY62" s="209"/>
      <c r="BZ62" s="209"/>
      <c r="CM62" s="7"/>
      <c r="CN62" s="1916"/>
      <c r="CO62" s="1916"/>
      <c r="CP62" s="1916"/>
      <c r="CQ62" s="1"/>
      <c r="CR62" s="1"/>
      <c r="CS62" s="1"/>
      <c r="CT62" s="1"/>
      <c r="CU62" s="1"/>
      <c r="CX62" s="857" t="s">
        <v>262</v>
      </c>
      <c r="CY62" s="244">
        <f>MIN(AK115:AZ115,C115:R115)</f>
        <v>358</v>
      </c>
      <c r="CZ62" s="240" t="s">
        <v>247</v>
      </c>
      <c r="DA62" s="244">
        <f>MAX(AK115:AZ115,C115:R115)</f>
        <v>499</v>
      </c>
    </row>
    <row r="63" spans="1:106" ht="19.5" customHeight="1" x14ac:dyDescent="0.4">
      <c r="A63" s="28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1000"/>
      <c r="N63" s="1000"/>
      <c r="O63" s="1000"/>
      <c r="P63" s="1000"/>
      <c r="Q63" s="1000"/>
      <c r="R63" s="1000"/>
      <c r="S63" s="2000" t="s">
        <v>797</v>
      </c>
      <c r="T63" s="2000"/>
      <c r="U63" s="2000"/>
      <c r="V63" s="22"/>
      <c r="W63" s="2000" t="s">
        <v>798</v>
      </c>
      <c r="X63" s="2000"/>
      <c r="Y63" s="2000"/>
      <c r="Z63" s="1000"/>
      <c r="AB63" s="1991" t="s">
        <v>1103</v>
      </c>
      <c r="AC63" s="1497" t="s">
        <v>1108</v>
      </c>
      <c r="AD63" s="633">
        <v>170</v>
      </c>
      <c r="AE63" s="1840" t="s">
        <v>1105</v>
      </c>
      <c r="AF63" s="1497" t="s">
        <v>1108</v>
      </c>
      <c r="AG63" s="532">
        <v>600</v>
      </c>
      <c r="AH63" s="12"/>
      <c r="AI63" s="28"/>
      <c r="AJ63" s="843"/>
      <c r="AK63" s="843"/>
      <c r="AL63" s="843"/>
      <c r="AM63" s="843"/>
      <c r="AN63" s="843"/>
      <c r="AO63" s="843"/>
      <c r="AP63" s="843"/>
      <c r="AQ63" s="843"/>
      <c r="AR63" s="843"/>
      <c r="AS63" s="843"/>
      <c r="AT63" s="843"/>
      <c r="AU63" s="22"/>
      <c r="AV63" s="22"/>
      <c r="AW63" s="22"/>
      <c r="AX63" s="22"/>
      <c r="AY63" s="22"/>
      <c r="AZ63" s="22"/>
      <c r="BA63" s="2000" t="s">
        <v>797</v>
      </c>
      <c r="BB63" s="2000"/>
      <c r="BC63" s="2000"/>
      <c r="BD63" s="22"/>
      <c r="BE63" s="2000" t="s">
        <v>798</v>
      </c>
      <c r="BF63" s="2000"/>
      <c r="BG63" s="2000"/>
      <c r="BH63" s="1000"/>
      <c r="BJ63" s="1991" t="s">
        <v>1103</v>
      </c>
      <c r="BK63" s="1468" t="s">
        <v>1108</v>
      </c>
      <c r="BL63" s="633">
        <v>200</v>
      </c>
      <c r="BM63" s="1840" t="s">
        <v>1105</v>
      </c>
      <c r="BN63" s="1468" t="s">
        <v>1108</v>
      </c>
      <c r="BO63" s="532">
        <v>460</v>
      </c>
      <c r="BP63" s="6"/>
      <c r="BR63" s="209"/>
      <c r="BS63" s="209"/>
      <c r="BT63" s="209"/>
      <c r="BU63" s="548" t="s">
        <v>88</v>
      </c>
      <c r="BV63" s="548"/>
      <c r="BW63" s="549" t="s">
        <v>466</v>
      </c>
      <c r="BX63" s="109"/>
      <c r="BY63" s="209"/>
      <c r="BZ63" s="209"/>
      <c r="CM63" s="7"/>
      <c r="CN63" s="1916"/>
      <c r="CO63" s="1916"/>
      <c r="CP63" s="1916"/>
      <c r="CQ63" s="1"/>
      <c r="CR63" s="1"/>
      <c r="CS63" s="1"/>
      <c r="CT63" s="1"/>
      <c r="CU63" s="1"/>
      <c r="CX63" s="857" t="s">
        <v>994</v>
      </c>
      <c r="CY63" s="244">
        <f>MIN(AK116:AZ116,C116:R116)</f>
        <v>9</v>
      </c>
      <c r="CZ63" s="240" t="s">
        <v>247</v>
      </c>
      <c r="DA63" s="244">
        <f>MAX(AK116:AZ116,C116:R116)</f>
        <v>9.4</v>
      </c>
    </row>
    <row r="64" spans="1:106" s="35" customFormat="1" ht="21.9" customHeight="1" thickBot="1" x14ac:dyDescent="0.45">
      <c r="A64" s="1472" t="s">
        <v>799</v>
      </c>
      <c r="B64" s="1472"/>
      <c r="C64" s="1472"/>
      <c r="D64" s="1472"/>
      <c r="E64" s="99"/>
      <c r="F64" s="1776" t="s">
        <v>1705</v>
      </c>
      <c r="G64" s="1777"/>
      <c r="H64" s="1778"/>
      <c r="I64" s="779"/>
      <c r="J64" s="99"/>
      <c r="K64" s="1474" t="s">
        <v>800</v>
      </c>
      <c r="L64" s="1776" t="s">
        <v>1710</v>
      </c>
      <c r="M64" s="1777"/>
      <c r="N64" s="1778"/>
      <c r="O64" s="89"/>
      <c r="P64" s="2219" t="s">
        <v>430</v>
      </c>
      <c r="Q64" s="2219"/>
      <c r="R64" s="2220"/>
      <c r="S64" s="1776" t="s">
        <v>1711</v>
      </c>
      <c r="T64" s="1777"/>
      <c r="U64" s="1778"/>
      <c r="V64" s="36"/>
      <c r="W64" s="1776" t="s">
        <v>1714</v>
      </c>
      <c r="X64" s="1777"/>
      <c r="Y64" s="1778"/>
      <c r="Z64" s="37"/>
      <c r="AB64" s="1992"/>
      <c r="AC64" s="634" t="s">
        <v>1107</v>
      </c>
      <c r="AD64" s="534">
        <v>200</v>
      </c>
      <c r="AE64" s="1841"/>
      <c r="AF64" s="634" t="s">
        <v>1107</v>
      </c>
      <c r="AG64" s="533">
        <v>460</v>
      </c>
      <c r="AH64" s="38"/>
      <c r="AI64" s="1472" t="s">
        <v>799</v>
      </c>
      <c r="AJ64" s="1472"/>
      <c r="AK64" s="1472"/>
      <c r="AL64" s="1472"/>
      <c r="AM64" s="779"/>
      <c r="AN64" s="1776" t="s">
        <v>1739</v>
      </c>
      <c r="AO64" s="1777"/>
      <c r="AP64" s="1778"/>
      <c r="AQ64" s="779"/>
      <c r="AR64" s="779"/>
      <c r="AS64" s="1474" t="s">
        <v>800</v>
      </c>
      <c r="AT64" s="1776" t="s">
        <v>1727</v>
      </c>
      <c r="AU64" s="1777"/>
      <c r="AV64" s="1778"/>
      <c r="AW64" s="844"/>
      <c r="AX64" s="2006" t="s">
        <v>430</v>
      </c>
      <c r="AY64" s="2006"/>
      <c r="AZ64" s="2007"/>
      <c r="BA64" s="1776" t="s">
        <v>1725</v>
      </c>
      <c r="BB64" s="1777"/>
      <c r="BC64" s="1778"/>
      <c r="BD64" s="780"/>
      <c r="BE64" s="1776" t="s">
        <v>1732</v>
      </c>
      <c r="BF64" s="1777"/>
      <c r="BG64" s="1778"/>
      <c r="BH64" s="37"/>
      <c r="BJ64" s="1992"/>
      <c r="BK64" s="1469" t="s">
        <v>1107</v>
      </c>
      <c r="BL64" s="535">
        <v>150</v>
      </c>
      <c r="BM64" s="1841"/>
      <c r="BN64" s="1469" t="s">
        <v>1107</v>
      </c>
      <c r="BO64" s="1478">
        <v>480</v>
      </c>
      <c r="BP64" s="39"/>
      <c r="BQ64" s="40"/>
      <c r="BR64" s="1"/>
      <c r="BS64" s="1"/>
      <c r="BT64" s="995"/>
      <c r="BU64" s="995"/>
      <c r="BV64" s="995"/>
      <c r="BW64" s="207"/>
      <c r="BX64" s="207"/>
      <c r="CA64" s="1"/>
      <c r="CM64" s="40"/>
      <c r="CN64" s="1916"/>
      <c r="CO64" s="1916"/>
      <c r="CP64" s="1916"/>
      <c r="CQ64" s="1917"/>
      <c r="CR64" s="1917"/>
      <c r="CS64" s="1917"/>
      <c r="CT64" s="1"/>
      <c r="CU64" s="1"/>
      <c r="CX64" s="857" t="s">
        <v>995</v>
      </c>
      <c r="CY64" s="244">
        <f>MIN(BJ78:BJ89,AB78:AB89)</f>
        <v>80</v>
      </c>
      <c r="CZ64" s="240" t="s">
        <v>247</v>
      </c>
      <c r="DA64" s="244">
        <f>MAX(BJ78:BJ89,AB78:AB89)</f>
        <v>81</v>
      </c>
    </row>
    <row r="65" spans="1:105" s="35" customFormat="1" ht="21.9" customHeight="1" x14ac:dyDescent="0.35">
      <c r="A65" s="1472" t="s">
        <v>169</v>
      </c>
      <c r="B65" s="1472"/>
      <c r="C65" s="1472"/>
      <c r="D65" s="1472"/>
      <c r="E65" s="99"/>
      <c r="F65" s="1776" t="s">
        <v>1706</v>
      </c>
      <c r="G65" s="1777"/>
      <c r="H65" s="1778"/>
      <c r="I65" s="99"/>
      <c r="J65" s="99"/>
      <c r="P65" s="2219" t="s">
        <v>430</v>
      </c>
      <c r="Q65" s="2219"/>
      <c r="R65" s="2220"/>
      <c r="S65" s="1776" t="s">
        <v>1712</v>
      </c>
      <c r="T65" s="1777"/>
      <c r="U65" s="1778"/>
      <c r="V65" s="36"/>
      <c r="W65" s="1776" t="s">
        <v>1715</v>
      </c>
      <c r="X65" s="1777"/>
      <c r="Y65" s="1778"/>
      <c r="Z65" s="37"/>
      <c r="AB65" s="1991" t="s">
        <v>1104</v>
      </c>
      <c r="AC65" s="1497" t="s">
        <v>1108</v>
      </c>
      <c r="AD65" s="534">
        <v>200</v>
      </c>
      <c r="AE65" s="1840" t="s">
        <v>1106</v>
      </c>
      <c r="AF65" s="1497" t="s">
        <v>1108</v>
      </c>
      <c r="AG65" s="534"/>
      <c r="AH65" s="38"/>
      <c r="AI65" s="1472" t="s">
        <v>169</v>
      </c>
      <c r="AJ65" s="1472"/>
      <c r="AK65" s="1472"/>
      <c r="AL65" s="1472"/>
      <c r="AM65" s="779"/>
      <c r="AN65" s="1776" t="s">
        <v>1742</v>
      </c>
      <c r="AO65" s="1777"/>
      <c r="AP65" s="1778"/>
      <c r="AQ65" s="779"/>
      <c r="AR65" s="779"/>
      <c r="AS65" s="1"/>
      <c r="AT65" s="1"/>
      <c r="AU65" s="1"/>
      <c r="AV65" s="1"/>
      <c r="AW65" s="1"/>
      <c r="AX65" s="2006" t="s">
        <v>430</v>
      </c>
      <c r="AY65" s="2006"/>
      <c r="AZ65" s="2007"/>
      <c r="BA65" s="1776" t="s">
        <v>1726</v>
      </c>
      <c r="BB65" s="1777"/>
      <c r="BC65" s="1778"/>
      <c r="BD65" s="780"/>
      <c r="BE65" s="1776" t="s">
        <v>1733</v>
      </c>
      <c r="BF65" s="1777"/>
      <c r="BG65" s="1778"/>
      <c r="BH65" s="37"/>
      <c r="BJ65" s="1991" t="s">
        <v>1104</v>
      </c>
      <c r="BK65" s="1468" t="s">
        <v>1108</v>
      </c>
      <c r="BL65" s="633">
        <v>230</v>
      </c>
      <c r="BM65" s="1840" t="s">
        <v>1106</v>
      </c>
      <c r="BN65" s="1468" t="s">
        <v>1108</v>
      </c>
      <c r="BO65" s="633"/>
      <c r="BP65" s="39"/>
      <c r="BQ65" s="40"/>
      <c r="CA65" s="1"/>
      <c r="CM65" s="40"/>
      <c r="CN65" s="1916"/>
      <c r="CO65" s="1916"/>
      <c r="CP65" s="1916"/>
      <c r="CQ65" s="1917"/>
      <c r="CR65" s="1917"/>
      <c r="CS65" s="1917"/>
      <c r="CT65" s="1915"/>
      <c r="CU65" s="1915"/>
      <c r="CX65" s="857" t="s">
        <v>263</v>
      </c>
      <c r="CY65" s="244">
        <f>MIN(AK112:AZ112,C112:R112)</f>
        <v>91</v>
      </c>
      <c r="CZ65" s="240" t="s">
        <v>247</v>
      </c>
      <c r="DA65" s="244">
        <f>MAX(AK112:AZ112,C112:R112)</f>
        <v>109</v>
      </c>
    </row>
    <row r="66" spans="1:105" s="35" customFormat="1" ht="21.9" customHeight="1" thickBot="1" x14ac:dyDescent="0.45">
      <c r="A66" s="1472" t="s">
        <v>1125</v>
      </c>
      <c r="B66" s="1472"/>
      <c r="C66" s="1472"/>
      <c r="D66" s="1472"/>
      <c r="E66" s="99"/>
      <c r="F66" s="1776" t="s">
        <v>1707</v>
      </c>
      <c r="G66" s="1777"/>
      <c r="H66" s="1778"/>
      <c r="I66" s="99"/>
      <c r="J66" s="99"/>
      <c r="P66" s="2219" t="s">
        <v>430</v>
      </c>
      <c r="Q66" s="2219"/>
      <c r="R66" s="2220"/>
      <c r="S66" s="1776" t="s">
        <v>1713</v>
      </c>
      <c r="T66" s="1777"/>
      <c r="U66" s="1778"/>
      <c r="V66" s="36"/>
      <c r="W66" s="2216"/>
      <c r="X66" s="2217"/>
      <c r="Y66" s="2218"/>
      <c r="Z66" s="37"/>
      <c r="AB66" s="1992"/>
      <c r="AC66" s="1498" t="s">
        <v>1107</v>
      </c>
      <c r="AD66" s="535">
        <v>230</v>
      </c>
      <c r="AE66" s="1841"/>
      <c r="AF66" s="1498" t="s">
        <v>1107</v>
      </c>
      <c r="AG66" s="535"/>
      <c r="AH66" s="38"/>
      <c r="AI66" s="1472" t="s">
        <v>1125</v>
      </c>
      <c r="AJ66" s="1472"/>
      <c r="AK66" s="1472"/>
      <c r="AL66" s="1472"/>
      <c r="AM66" s="779"/>
      <c r="AN66" s="1776" t="s">
        <v>1728</v>
      </c>
      <c r="AO66" s="1777"/>
      <c r="AP66" s="1778"/>
      <c r="AQ66" s="779"/>
      <c r="AR66" s="779"/>
      <c r="AS66" s="1"/>
      <c r="AT66" s="1"/>
      <c r="AU66" s="1"/>
      <c r="AV66" s="1"/>
      <c r="AW66" s="1"/>
      <c r="AX66" s="2006" t="s">
        <v>430</v>
      </c>
      <c r="AY66" s="2006"/>
      <c r="AZ66" s="2007"/>
      <c r="BA66" s="1776"/>
      <c r="BB66" s="1777"/>
      <c r="BC66" s="1778"/>
      <c r="BD66" s="780"/>
      <c r="BE66" s="1776"/>
      <c r="BF66" s="1777"/>
      <c r="BG66" s="1778"/>
      <c r="BH66" s="37"/>
      <c r="BJ66" s="1992"/>
      <c r="BK66" s="1469" t="s">
        <v>1107</v>
      </c>
      <c r="BL66" s="535">
        <v>180</v>
      </c>
      <c r="BM66" s="1841"/>
      <c r="BN66" s="1469" t="s">
        <v>1107</v>
      </c>
      <c r="BO66" s="535"/>
      <c r="BP66" s="39"/>
      <c r="BQ66" s="40"/>
      <c r="CA66" s="1"/>
      <c r="CM66" s="40"/>
      <c r="CN66" s="1"/>
      <c r="CO66" s="1"/>
      <c r="CP66" s="1"/>
      <c r="CQ66" s="1914"/>
      <c r="CR66" s="1914"/>
      <c r="CS66" s="1914"/>
      <c r="CT66" s="1914"/>
      <c r="CU66" s="1914"/>
      <c r="CX66" s="857" t="s">
        <v>996</v>
      </c>
      <c r="CY66" s="244">
        <f>MIN(BI78:BI89,AA78:AA89)</f>
        <v>70</v>
      </c>
      <c r="CZ66" s="240" t="s">
        <v>247</v>
      </c>
      <c r="DA66" s="244">
        <f>MAX(BI78:BI89,AA78:AA89)</f>
        <v>75</v>
      </c>
    </row>
    <row r="67" spans="1:105" s="35" customFormat="1" ht="21.9" customHeight="1" x14ac:dyDescent="0.35">
      <c r="A67" s="1472" t="s">
        <v>1126</v>
      </c>
      <c r="B67" s="1472"/>
      <c r="C67" s="1472"/>
      <c r="D67" s="1472"/>
      <c r="E67" s="99"/>
      <c r="F67" s="1776" t="s">
        <v>1708</v>
      </c>
      <c r="G67" s="1777"/>
      <c r="H67" s="1778"/>
      <c r="I67" s="99"/>
      <c r="J67" s="99"/>
      <c r="Q67" s="99"/>
      <c r="R67" s="99"/>
      <c r="S67" s="99"/>
      <c r="T67" s="99"/>
      <c r="U67" s="36"/>
      <c r="V67" s="36"/>
      <c r="W67" s="36"/>
      <c r="X67" s="36"/>
      <c r="Y67" s="37"/>
      <c r="Z67" s="37"/>
      <c r="AA67" s="37"/>
      <c r="AB67" s="37"/>
      <c r="AC67" s="116"/>
      <c r="AD67" s="116"/>
      <c r="AE67" s="116"/>
      <c r="AF67" s="116"/>
      <c r="AG67" s="116"/>
      <c r="AH67" s="38"/>
      <c r="AI67" s="1472" t="s">
        <v>1126</v>
      </c>
      <c r="AJ67" s="1472"/>
      <c r="AK67" s="1472"/>
      <c r="AL67" s="1472"/>
      <c r="AM67" s="779"/>
      <c r="AN67" s="1776" t="s">
        <v>1730</v>
      </c>
      <c r="AO67" s="1777"/>
      <c r="AP67" s="1778"/>
      <c r="AQ67" s="779"/>
      <c r="AR67" s="779"/>
      <c r="AS67" s="1"/>
      <c r="AT67" s="1"/>
      <c r="AU67" s="1"/>
      <c r="AV67" s="1"/>
      <c r="AW67" s="1"/>
      <c r="AX67" s="1"/>
      <c r="AY67" s="779"/>
      <c r="AZ67" s="779"/>
      <c r="BA67" s="779"/>
      <c r="BB67" s="779"/>
      <c r="BC67" s="780"/>
      <c r="BD67" s="780"/>
      <c r="BE67" s="780"/>
      <c r="BF67" s="780"/>
      <c r="BG67" s="15"/>
      <c r="BH67" s="37"/>
      <c r="BI67" s="37"/>
      <c r="BJ67" s="37"/>
      <c r="BK67" s="37"/>
      <c r="BL67" s="37"/>
      <c r="BM67" s="37"/>
      <c r="BN67" s="116"/>
      <c r="BO67" s="116"/>
      <c r="BP67" s="39"/>
      <c r="BQ67" s="40"/>
      <c r="CA67" s="1"/>
      <c r="CM67" s="40"/>
      <c r="CN67" s="1"/>
      <c r="CO67" s="1"/>
      <c r="CP67" s="1"/>
      <c r="CQ67" s="1914"/>
      <c r="CR67" s="1914"/>
      <c r="CS67" s="1914"/>
      <c r="CT67" s="1914"/>
      <c r="CU67" s="1914"/>
      <c r="CX67" s="857" t="s">
        <v>264</v>
      </c>
      <c r="CY67" s="244">
        <f>MIN(BG113:BN113,Y113:AF113)</f>
        <v>170</v>
      </c>
      <c r="CZ67" s="240" t="s">
        <v>247</v>
      </c>
      <c r="DA67" s="244">
        <f>MAX(BG113:BN113,Y113:AF113)</f>
        <v>180</v>
      </c>
    </row>
    <row r="68" spans="1:105" ht="21.9" customHeight="1" x14ac:dyDescent="0.35">
      <c r="A68" s="1473" t="s">
        <v>1124</v>
      </c>
      <c r="B68" s="1473"/>
      <c r="C68" s="1473"/>
      <c r="D68" s="1473"/>
      <c r="E68" s="37"/>
      <c r="F68" s="1776" t="s">
        <v>1709</v>
      </c>
      <c r="G68" s="1777"/>
      <c r="H68" s="1778"/>
      <c r="I68" s="37"/>
      <c r="J68" s="10"/>
      <c r="K68" s="10"/>
      <c r="L68" s="10"/>
      <c r="M68" s="10"/>
      <c r="N68" s="10"/>
      <c r="T68" s="35"/>
      <c r="U68" s="37"/>
      <c r="V68" s="37"/>
      <c r="W68" s="37"/>
      <c r="X68" s="37"/>
      <c r="Y68" s="37"/>
      <c r="Z68" s="37"/>
      <c r="AA68" s="37"/>
      <c r="AB68" s="37"/>
      <c r="AC68" s="23"/>
      <c r="AD68" s="23"/>
      <c r="AE68" s="23"/>
      <c r="AF68" s="23"/>
      <c r="AG68" s="23"/>
      <c r="AH68" s="12"/>
      <c r="AI68" s="1473" t="s">
        <v>1124</v>
      </c>
      <c r="AJ68" s="1473"/>
      <c r="AK68" s="1473"/>
      <c r="AL68" s="1473"/>
      <c r="AM68" s="15"/>
      <c r="AN68" s="1776" t="s">
        <v>1731</v>
      </c>
      <c r="AO68" s="1777"/>
      <c r="AP68" s="1778"/>
      <c r="AQ68" s="15"/>
      <c r="AR68" s="15"/>
      <c r="AS68" s="15"/>
      <c r="AT68" s="15"/>
      <c r="AU68" s="15"/>
      <c r="AV68" s="15"/>
      <c r="AW68" s="1"/>
      <c r="AX68" s="1"/>
      <c r="AY68" s="1"/>
      <c r="AZ68" s="1"/>
      <c r="BA68" s="1"/>
      <c r="BB68" s="1"/>
      <c r="BC68" s="15"/>
      <c r="BD68" s="15"/>
      <c r="BE68" s="15"/>
      <c r="BF68" s="15"/>
      <c r="BG68" s="15"/>
      <c r="BH68" s="37"/>
      <c r="BI68" s="37"/>
      <c r="BJ68" s="37"/>
      <c r="BK68" s="37"/>
      <c r="BL68" s="37"/>
      <c r="BM68" s="37"/>
      <c r="BN68" s="23"/>
      <c r="BO68" s="23"/>
      <c r="BP68" s="6"/>
      <c r="CM68" s="7"/>
      <c r="CN68" s="1"/>
      <c r="CO68" s="1"/>
      <c r="CP68" s="1"/>
      <c r="CQ68" s="1"/>
      <c r="CR68" s="1"/>
      <c r="CS68" s="1"/>
      <c r="CT68" s="1"/>
      <c r="CU68" s="1"/>
      <c r="CX68" s="857" t="s">
        <v>262</v>
      </c>
      <c r="CY68" s="244">
        <f>MIN(AK115:AZ115,C115:R115)</f>
        <v>358</v>
      </c>
      <c r="CZ68" s="240" t="s">
        <v>247</v>
      </c>
      <c r="DA68" s="244">
        <f>MAX(AK115:AZ115,C115:R115)</f>
        <v>499</v>
      </c>
    </row>
    <row r="69" spans="1:105" ht="24" customHeight="1" thickBot="1" x14ac:dyDescent="0.4">
      <c r="B69" s="1"/>
      <c r="C69" s="1"/>
      <c r="D69" s="1"/>
      <c r="E69" s="1"/>
      <c r="F69" s="2001" t="str">
        <f>H1</f>
        <v>Лист результатов контроля технологического режима цеха № 66 (отделений Абсорбции-дистилляции-1, Карбонизации-1),
 цеха № 83 (отделения Кальцинации-1), цеха № 85 (отделения Компрессии-1)</v>
      </c>
      <c r="G69" s="2001"/>
      <c r="H69" s="2001"/>
      <c r="I69" s="2001"/>
      <c r="J69" s="2001"/>
      <c r="K69" s="2001"/>
      <c r="L69" s="2001"/>
      <c r="M69" s="2001"/>
      <c r="N69" s="2001"/>
      <c r="O69" s="2001"/>
      <c r="P69" s="2001"/>
      <c r="Q69" s="2001"/>
      <c r="R69" s="2001"/>
      <c r="S69" s="2001"/>
      <c r="T69" s="2001"/>
      <c r="U69" s="2001"/>
      <c r="V69" s="2001"/>
      <c r="W69" s="2001"/>
      <c r="X69" s="2001"/>
      <c r="Y69" s="2001"/>
      <c r="Z69" s="2001"/>
      <c r="AA69" s="2001"/>
      <c r="AB69" s="2001"/>
      <c r="AC69" s="2001"/>
      <c r="AD69" s="2001"/>
      <c r="AH69" s="12"/>
      <c r="AN69" s="2001" t="str">
        <f>H1</f>
        <v>Лист результатов контроля технологического режима цеха № 66 (отделений Абсорбции-дистилляции-1, Карбонизации-1),
 цеха № 83 (отделения Кальцинации-1), цеха № 85 (отделения Компрессии-1)</v>
      </c>
      <c r="AO69" s="2001"/>
      <c r="AP69" s="2001"/>
      <c r="AQ69" s="2001"/>
      <c r="AR69" s="2001"/>
      <c r="AS69" s="2001"/>
      <c r="AT69" s="2001"/>
      <c r="AU69" s="2001"/>
      <c r="AV69" s="2001"/>
      <c r="AW69" s="2001"/>
      <c r="AX69" s="2001"/>
      <c r="AY69" s="2001"/>
      <c r="AZ69" s="2001"/>
      <c r="BA69" s="2001"/>
      <c r="BB69" s="2001"/>
      <c r="BC69" s="2001"/>
      <c r="BD69" s="2001"/>
      <c r="BE69" s="2001"/>
      <c r="BF69" s="2001"/>
      <c r="BG69" s="2001"/>
      <c r="BH69" s="2001"/>
      <c r="BI69" s="2001"/>
      <c r="BJ69" s="2001"/>
      <c r="BK69" s="2001"/>
      <c r="BL69" s="2001"/>
      <c r="BP69" s="6"/>
      <c r="BW69" s="68"/>
      <c r="BX69" s="3"/>
      <c r="CN69" s="123" t="s">
        <v>140</v>
      </c>
      <c r="CO69" s="124" t="s">
        <v>135</v>
      </c>
      <c r="CP69" s="124" t="s">
        <v>138</v>
      </c>
      <c r="CQ69" s="124" t="s">
        <v>36</v>
      </c>
      <c r="CR69" s="123" t="s">
        <v>141</v>
      </c>
      <c r="CS69" s="124" t="s">
        <v>135</v>
      </c>
      <c r="CT69" s="124" t="s">
        <v>138</v>
      </c>
      <c r="CU69" s="124" t="s">
        <v>36</v>
      </c>
      <c r="CX69" s="857" t="s">
        <v>265</v>
      </c>
      <c r="CY69" s="244">
        <f>MIN(AW125:AW128,O125:O128)</f>
        <v>54</v>
      </c>
      <c r="CZ69" s="247" t="s">
        <v>247</v>
      </c>
      <c r="DA69" s="244">
        <f>MAX(AW125:AW128,O125:O128)</f>
        <v>56</v>
      </c>
    </row>
    <row r="70" spans="1:105" ht="21.9" customHeight="1" thickBot="1" x14ac:dyDescent="0.4">
      <c r="B70" s="1475" t="s">
        <v>1115</v>
      </c>
      <c r="C70" s="232">
        <v>741</v>
      </c>
      <c r="D70" s="781" t="s">
        <v>62</v>
      </c>
      <c r="E70" s="1"/>
      <c r="F70" s="2001"/>
      <c r="G70" s="2001"/>
      <c r="H70" s="2001"/>
      <c r="I70" s="2001"/>
      <c r="J70" s="2001"/>
      <c r="K70" s="2001"/>
      <c r="L70" s="2001"/>
      <c r="M70" s="2001"/>
      <c r="N70" s="2001"/>
      <c r="O70" s="2001"/>
      <c r="P70" s="2001"/>
      <c r="Q70" s="2001"/>
      <c r="R70" s="2001"/>
      <c r="S70" s="2001"/>
      <c r="T70" s="2001"/>
      <c r="U70" s="2001"/>
      <c r="V70" s="2001"/>
      <c r="W70" s="2001"/>
      <c r="X70" s="2001"/>
      <c r="Y70" s="2001"/>
      <c r="Z70" s="2001"/>
      <c r="AA70" s="2001"/>
      <c r="AB70" s="2001"/>
      <c r="AC70" s="2001"/>
      <c r="AD70" s="2001"/>
      <c r="AE70" s="1844" t="s">
        <v>37</v>
      </c>
      <c r="AF70" s="1844"/>
      <c r="AG70" s="1844"/>
      <c r="AH70" s="8"/>
      <c r="AJ70" s="1475" t="s">
        <v>1115</v>
      </c>
      <c r="AK70" s="232">
        <v>739</v>
      </c>
      <c r="AL70" s="781" t="s">
        <v>62</v>
      </c>
      <c r="AM70" s="1"/>
      <c r="AN70" s="2001"/>
      <c r="AO70" s="2001"/>
      <c r="AP70" s="2001"/>
      <c r="AQ70" s="2001"/>
      <c r="AR70" s="2001"/>
      <c r="AS70" s="2001"/>
      <c r="AT70" s="2001"/>
      <c r="AU70" s="2001"/>
      <c r="AV70" s="2001"/>
      <c r="AW70" s="2001"/>
      <c r="AX70" s="2001"/>
      <c r="AY70" s="2001"/>
      <c r="AZ70" s="2001"/>
      <c r="BA70" s="2001"/>
      <c r="BB70" s="2001"/>
      <c r="BC70" s="2001"/>
      <c r="BD70" s="2001"/>
      <c r="BE70" s="2001"/>
      <c r="BF70" s="2001"/>
      <c r="BG70" s="2001"/>
      <c r="BH70" s="2001"/>
      <c r="BI70" s="2001"/>
      <c r="BJ70" s="2001"/>
      <c r="BK70" s="2001"/>
      <c r="BL70" s="2001"/>
      <c r="BM70" s="1844" t="s">
        <v>37</v>
      </c>
      <c r="BN70" s="1844"/>
      <c r="BO70" s="1844"/>
      <c r="BP70" s="6"/>
      <c r="BQ70" s="960"/>
      <c r="BR70" s="1917"/>
      <c r="BS70" s="1917"/>
      <c r="BW70" s="68"/>
      <c r="BX70" s="9"/>
      <c r="BY70" s="9"/>
      <c r="BZ70" s="9"/>
      <c r="CN70" s="123" t="s">
        <v>136</v>
      </c>
      <c r="CO70" s="124"/>
      <c r="CP70" s="124"/>
      <c r="CQ70" s="123" t="e">
        <f>ROUND(CP70/CO70*100,1)</f>
        <v>#DIV/0!</v>
      </c>
      <c r="CR70" s="123" t="s">
        <v>136</v>
      </c>
      <c r="CS70" s="124">
        <v>12</v>
      </c>
      <c r="CT70" s="124"/>
      <c r="CU70" s="123">
        <f>ROUND(CT70/CS70*100,1)</f>
        <v>0</v>
      </c>
      <c r="CX70" s="857" t="s">
        <v>266</v>
      </c>
      <c r="CY70" s="244">
        <f>MIN(AX125:AX128,P125:P128)</f>
        <v>60</v>
      </c>
      <c r="CZ70" s="247" t="s">
        <v>247</v>
      </c>
      <c r="DA70" s="244">
        <f>MAX(AX125:AX128,P125:P128)</f>
        <v>62</v>
      </c>
    </row>
    <row r="71" spans="1:105" ht="21.9" customHeight="1" thickBot="1" x14ac:dyDescent="0.45">
      <c r="B71" s="1476" t="s">
        <v>1111</v>
      </c>
      <c r="C71" s="536">
        <v>0</v>
      </c>
      <c r="D71" s="784" t="s">
        <v>1114</v>
      </c>
      <c r="E71" s="1"/>
      <c r="F71" s="1"/>
      <c r="G71" s="1"/>
      <c r="H71" s="15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1"/>
      <c r="X71" s="1"/>
      <c r="Y71" s="1"/>
      <c r="Z71" s="1"/>
      <c r="AA71" s="2144"/>
      <c r="AB71" s="782"/>
      <c r="AC71" s="974"/>
      <c r="AD71" s="22"/>
      <c r="AE71" s="1000"/>
      <c r="AF71" s="1000"/>
      <c r="AG71" s="1000"/>
      <c r="AH71" s="12"/>
      <c r="AJ71" s="1476" t="s">
        <v>1111</v>
      </c>
      <c r="AK71" s="536">
        <v>0</v>
      </c>
      <c r="AL71" s="784" t="s">
        <v>1114</v>
      </c>
      <c r="AM71" s="1"/>
      <c r="AP71" s="41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I71" s="1887"/>
      <c r="BJ71" s="90"/>
      <c r="BK71" s="984"/>
      <c r="BL71" s="1000"/>
      <c r="BM71" s="1000"/>
      <c r="BN71" s="1000"/>
      <c r="BO71" s="1000"/>
      <c r="BP71" s="6"/>
      <c r="BQ71" s="960"/>
      <c r="BR71" s="255" t="s">
        <v>1410</v>
      </c>
      <c r="BS71" s="255" t="s">
        <v>971</v>
      </c>
      <c r="BT71" s="255" t="s">
        <v>71</v>
      </c>
      <c r="BU71" s="255" t="s">
        <v>71</v>
      </c>
      <c r="BV71" s="255" t="s">
        <v>1405</v>
      </c>
      <c r="CN71" s="123" t="s">
        <v>137</v>
      </c>
      <c r="CO71" s="124"/>
      <c r="CP71" s="124"/>
      <c r="CQ71" s="123" t="e">
        <f>ROUND(CP71/CO71*100,1)</f>
        <v>#DIV/0!</v>
      </c>
      <c r="CR71" s="123" t="s">
        <v>137</v>
      </c>
      <c r="CS71" s="124">
        <v>12</v>
      </c>
      <c r="CT71" s="124"/>
      <c r="CU71" s="123">
        <f>ROUND(CT71/CS71*100,1)</f>
        <v>0</v>
      </c>
      <c r="CX71" s="857" t="s">
        <v>267</v>
      </c>
      <c r="CY71" s="244">
        <f>MIN(AY125:AY128,Q125:Q128)</f>
        <v>50</v>
      </c>
      <c r="CZ71" s="247" t="s">
        <v>247</v>
      </c>
      <c r="DA71" s="244">
        <f>MAX(AY125:AY128,Q125:Q128)</f>
        <v>59</v>
      </c>
    </row>
    <row r="72" spans="1:105" ht="21.9" customHeight="1" thickBot="1" x14ac:dyDescent="0.45">
      <c r="B72" s="1069" t="s">
        <v>1109</v>
      </c>
      <c r="C72" s="537">
        <v>2</v>
      </c>
      <c r="D72" s="784" t="s">
        <v>1114</v>
      </c>
      <c r="E72" s="1069" t="s">
        <v>1112</v>
      </c>
      <c r="F72" s="626">
        <v>29</v>
      </c>
      <c r="G72" s="784" t="s">
        <v>1114</v>
      </c>
      <c r="H72" s="2"/>
      <c r="I72" s="2"/>
      <c r="J72" s="2"/>
      <c r="K72" s="2"/>
      <c r="L72" s="1783" t="s">
        <v>59</v>
      </c>
      <c r="M72" s="1784"/>
      <c r="N72" s="2076" t="str">
        <f>N4</f>
        <v>04.03.2026г</v>
      </c>
      <c r="O72" s="2077"/>
      <c r="P72" s="795"/>
      <c r="Q72" s="1783" t="s">
        <v>60</v>
      </c>
      <c r="R72" s="1784"/>
      <c r="S72" s="765">
        <v>1</v>
      </c>
      <c r="T72" s="795"/>
      <c r="U72" s="1783" t="s">
        <v>61</v>
      </c>
      <c r="V72" s="1784"/>
      <c r="W72" s="765" t="str">
        <f>W4</f>
        <v>А</v>
      </c>
      <c r="X72" s="1"/>
      <c r="Y72" s="1"/>
      <c r="Z72" s="1"/>
      <c r="AA72" s="2144"/>
      <c r="AB72" s="782"/>
      <c r="AC72" s="974"/>
      <c r="AD72" s="22"/>
      <c r="AE72" s="1000"/>
      <c r="AF72" s="1000"/>
      <c r="AG72" s="1000"/>
      <c r="AH72" s="12"/>
      <c r="AJ72" s="1069" t="s">
        <v>1109</v>
      </c>
      <c r="AK72" s="537">
        <v>2</v>
      </c>
      <c r="AL72" s="784"/>
      <c r="AM72" s="1069" t="s">
        <v>1112</v>
      </c>
      <c r="AN72" s="538">
        <v>33</v>
      </c>
      <c r="AO72" s="784" t="s">
        <v>1114</v>
      </c>
      <c r="AP72" s="2"/>
      <c r="AQ72" s="2"/>
      <c r="AR72" s="2"/>
      <c r="AS72" s="2"/>
      <c r="AT72" s="1783" t="s">
        <v>59</v>
      </c>
      <c r="AU72" s="1784"/>
      <c r="AV72" s="2002" t="str">
        <f>AV4</f>
        <v>04.03.2026г</v>
      </c>
      <c r="AW72" s="2003"/>
      <c r="AX72" s="2"/>
      <c r="AY72" s="1783" t="s">
        <v>60</v>
      </c>
      <c r="AZ72" s="1784"/>
      <c r="BA72" s="237">
        <v>2</v>
      </c>
      <c r="BB72" s="5"/>
      <c r="BC72" s="1783" t="s">
        <v>61</v>
      </c>
      <c r="BD72" s="1784"/>
      <c r="BE72" s="237" t="str">
        <f>BE4</f>
        <v>в</v>
      </c>
      <c r="BI72" s="1887"/>
      <c r="BJ72" s="90"/>
      <c r="BK72" s="984"/>
      <c r="BL72" s="1000"/>
      <c r="BM72" s="1000"/>
      <c r="BN72" s="1000"/>
      <c r="BO72" s="1000"/>
      <c r="BP72" s="6"/>
      <c r="BR72" s="1395" t="s">
        <v>1407</v>
      </c>
      <c r="BS72" s="1395" t="s">
        <v>1407</v>
      </c>
      <c r="BT72" s="1395" t="s">
        <v>1407</v>
      </c>
      <c r="BU72" s="256" t="s">
        <v>1406</v>
      </c>
      <c r="BV72" s="256" t="s">
        <v>1408</v>
      </c>
      <c r="CN72" s="123"/>
      <c r="CO72" s="124"/>
      <c r="CP72" s="124"/>
      <c r="CQ72" s="123"/>
      <c r="CR72" s="123"/>
      <c r="CS72" s="124"/>
      <c r="CT72" s="124"/>
      <c r="CU72" s="123"/>
      <c r="CX72" s="857" t="s">
        <v>268</v>
      </c>
      <c r="CY72" s="244">
        <f>MIN(AT125:AT128,L125:L128)</f>
        <v>3.6</v>
      </c>
      <c r="CZ72" s="247" t="s">
        <v>247</v>
      </c>
      <c r="DA72" s="244">
        <f>MAX(AT125:AT128,L125:L128)</f>
        <v>3.6</v>
      </c>
    </row>
    <row r="73" spans="1:105" ht="21.9" customHeight="1" thickBot="1" x14ac:dyDescent="0.4">
      <c r="B73" s="1069" t="s">
        <v>1110</v>
      </c>
      <c r="C73" s="537">
        <v>20</v>
      </c>
      <c r="D73" s="784" t="s">
        <v>1114</v>
      </c>
      <c r="E73" s="2154" t="s">
        <v>1113</v>
      </c>
      <c r="F73" s="626">
        <v>64</v>
      </c>
      <c r="G73" s="784" t="s">
        <v>1114</v>
      </c>
      <c r="H73" s="960"/>
      <c r="I73" s="1"/>
      <c r="J73" s="1"/>
      <c r="K73" s="1"/>
      <c r="L73" s="239"/>
      <c r="M73" s="239"/>
      <c r="N73" s="239"/>
      <c r="O73" s="239"/>
      <c r="P73" s="239"/>
      <c r="Q73" s="239"/>
      <c r="R73" s="239"/>
      <c r="S73" s="988"/>
      <c r="T73" s="239"/>
      <c r="U73" s="239"/>
      <c r="V73" s="239"/>
      <c r="W73" s="988"/>
      <c r="X73" s="239"/>
      <c r="Y73" s="239"/>
      <c r="Z73" s="239"/>
      <c r="AA73" s="2144"/>
      <c r="AB73" s="782"/>
      <c r="AC73" s="785"/>
      <c r="AD73" s="786"/>
      <c r="AE73" s="93"/>
      <c r="AF73" s="94"/>
      <c r="AG73" s="95"/>
      <c r="AH73" s="12"/>
      <c r="AJ73" s="1069" t="s">
        <v>1110</v>
      </c>
      <c r="AK73" s="537">
        <v>19</v>
      </c>
      <c r="AL73" s="784" t="s">
        <v>1114</v>
      </c>
      <c r="AM73" s="2154" t="s">
        <v>1113</v>
      </c>
      <c r="AN73" s="538">
        <v>62</v>
      </c>
      <c r="AO73" s="784" t="s">
        <v>1114</v>
      </c>
      <c r="AP73" s="960"/>
      <c r="AQ73" s="1"/>
      <c r="AR73" s="1"/>
      <c r="AS73" s="1"/>
      <c r="AT73" s="239"/>
      <c r="AU73" s="239"/>
      <c r="AV73" s="239"/>
      <c r="AW73" s="239"/>
      <c r="AX73" s="239"/>
      <c r="AY73" s="239"/>
      <c r="AZ73" s="239"/>
      <c r="BA73" s="988"/>
      <c r="BB73" s="13"/>
      <c r="BC73" s="13"/>
      <c r="BD73" s="13"/>
      <c r="BE73" s="131"/>
      <c r="BF73" s="13"/>
      <c r="BG73" s="13"/>
      <c r="BH73" s="13"/>
      <c r="BI73" s="1887"/>
      <c r="BJ73" s="90"/>
      <c r="BK73" s="91"/>
      <c r="BL73" s="92"/>
      <c r="BM73" s="93"/>
      <c r="BN73" s="94"/>
      <c r="BO73" s="95"/>
      <c r="BP73" s="6"/>
      <c r="BR73" s="257">
        <f>ROUND(BS73/BT73,3)*100</f>
        <v>65.600000000000009</v>
      </c>
      <c r="BS73" s="258">
        <f>E42</f>
        <v>56.199999999999989</v>
      </c>
      <c r="BT73" s="258">
        <f>B42</f>
        <v>85.7</v>
      </c>
      <c r="BU73" s="258">
        <f>B43</f>
        <v>96.199999999999989</v>
      </c>
      <c r="BV73" s="258">
        <f>F91</f>
        <v>16.600000000000001</v>
      </c>
      <c r="CN73" s="70"/>
      <c r="CO73" s="70"/>
      <c r="CP73" s="70"/>
      <c r="CQ73" s="70"/>
      <c r="CR73" s="70"/>
      <c r="CS73" s="70"/>
      <c r="CT73" s="70"/>
      <c r="CU73" s="70"/>
      <c r="CX73" s="857" t="s">
        <v>269</v>
      </c>
      <c r="CY73" s="244">
        <f>MIN(AU125:AU128,M125:M128)</f>
        <v>3.1</v>
      </c>
      <c r="CZ73" s="247" t="s">
        <v>247</v>
      </c>
      <c r="DA73" s="244">
        <f>MAX(AU125:AU128,M125:M128)</f>
        <v>3.2</v>
      </c>
    </row>
    <row r="74" spans="1:105" ht="21.9" customHeight="1" thickBot="1" x14ac:dyDescent="0.4">
      <c r="A74" s="5"/>
      <c r="B74" s="783"/>
      <c r="C74" s="787"/>
      <c r="D74" s="429"/>
      <c r="E74" s="2155"/>
      <c r="F74" s="2232" t="s">
        <v>419</v>
      </c>
      <c r="G74" s="2232"/>
      <c r="H74" s="2232"/>
      <c r="I74" s="2232"/>
      <c r="J74" s="2232"/>
      <c r="K74" s="2232"/>
      <c r="L74" s="2232"/>
      <c r="M74" s="2232"/>
      <c r="N74" s="2232"/>
      <c r="O74" s="2232"/>
      <c r="P74" s="2232"/>
      <c r="Q74" s="2232"/>
      <c r="R74" s="2232"/>
      <c r="S74" s="2232"/>
      <c r="T74" s="2232"/>
      <c r="U74" s="2232"/>
      <c r="V74" s="2232"/>
      <c r="W74" s="4"/>
      <c r="X74" s="4"/>
      <c r="Y74" s="4"/>
      <c r="Z74" s="4"/>
      <c r="AA74" s="2144"/>
      <c r="AB74" s="782"/>
      <c r="AC74" s="785"/>
      <c r="AD74" s="786"/>
      <c r="AE74" s="96"/>
      <c r="AF74" s="96"/>
      <c r="AG74" s="1000"/>
      <c r="AH74" s="43"/>
      <c r="AI74" s="5"/>
      <c r="AJ74" s="783"/>
      <c r="AK74" s="787"/>
      <c r="AL74" s="429"/>
      <c r="AM74" s="2155"/>
      <c r="AN74" s="2129" t="s">
        <v>419</v>
      </c>
      <c r="AO74" s="2129"/>
      <c r="AP74" s="2129"/>
      <c r="AQ74" s="2129"/>
      <c r="AR74" s="2129"/>
      <c r="AS74" s="2129"/>
      <c r="AT74" s="2129"/>
      <c r="AU74" s="2129"/>
      <c r="AV74" s="2129"/>
      <c r="AW74" s="2129"/>
      <c r="AX74" s="2129"/>
      <c r="AY74" s="2129"/>
      <c r="AZ74" s="2129"/>
      <c r="BA74" s="2129"/>
      <c r="BB74" s="197"/>
      <c r="BC74" s="197"/>
      <c r="BD74" s="197"/>
      <c r="BE74" s="69"/>
      <c r="BF74" s="69"/>
      <c r="BG74" s="69"/>
      <c r="BH74" s="69"/>
      <c r="BI74" s="1887"/>
      <c r="BJ74" s="90"/>
      <c r="BK74" s="91"/>
      <c r="BL74" s="92"/>
      <c r="BM74" s="96"/>
      <c r="BN74" s="96"/>
      <c r="BO74" s="1000"/>
      <c r="BP74" s="6"/>
      <c r="BR74" s="257">
        <f>ROUND(BS74/BT74,3)*100</f>
        <v>65.400000000000006</v>
      </c>
      <c r="BS74" s="258">
        <f>AM42</f>
        <v>58.4</v>
      </c>
      <c r="BT74" s="258">
        <f>AJ42</f>
        <v>89.300000000000011</v>
      </c>
      <c r="BU74" s="258">
        <f>AJ43</f>
        <v>98.199999999999989</v>
      </c>
      <c r="BV74" s="258">
        <f>AN91</f>
        <v>15.9</v>
      </c>
      <c r="CN74" s="70"/>
      <c r="CO74" s="70"/>
      <c r="CP74" s="70"/>
      <c r="CQ74" s="70"/>
      <c r="CR74" s="70"/>
      <c r="CS74" s="70"/>
      <c r="CT74" s="70"/>
      <c r="CU74" s="70"/>
      <c r="CX74" s="857" t="s">
        <v>270</v>
      </c>
      <c r="CY74" s="244">
        <f>MIN(AV125:AV128,N125:N128)</f>
        <v>3.7</v>
      </c>
      <c r="CZ74" s="247" t="s">
        <v>247</v>
      </c>
      <c r="DA74" s="244">
        <f>MAX(AV125:AV128,N125:N128)</f>
        <v>3.9</v>
      </c>
    </row>
    <row r="75" spans="1:105" ht="21.9" customHeight="1" thickBot="1" x14ac:dyDescent="0.55000000000000004">
      <c r="A75" s="2209" t="s">
        <v>4</v>
      </c>
      <c r="B75" s="2200" t="s">
        <v>633</v>
      </c>
      <c r="C75" s="2201"/>
      <c r="D75" s="2202"/>
      <c r="E75" s="2161" t="s">
        <v>1116</v>
      </c>
      <c r="F75" s="2162"/>
      <c r="G75" s="2162"/>
      <c r="H75" s="2162"/>
      <c r="I75" s="2162"/>
      <c r="J75" s="2162"/>
      <c r="K75" s="2162"/>
      <c r="L75" s="2162"/>
      <c r="M75" s="2162"/>
      <c r="N75" s="2162"/>
      <c r="O75" s="2162"/>
      <c r="P75" s="2162"/>
      <c r="Q75" s="2162"/>
      <c r="R75" s="2162"/>
      <c r="S75" s="2162"/>
      <c r="T75" s="2162"/>
      <c r="U75" s="2162"/>
      <c r="V75" s="2163"/>
      <c r="W75" s="1868" t="s">
        <v>1119</v>
      </c>
      <c r="X75" s="1869"/>
      <c r="Y75" s="1869"/>
      <c r="Z75" s="1869"/>
      <c r="AA75" s="1869"/>
      <c r="AB75" s="1869"/>
      <c r="AC75" s="1869"/>
      <c r="AD75" s="1869"/>
      <c r="AE75" s="1869"/>
      <c r="AF75" s="1869"/>
      <c r="AG75" s="1870"/>
      <c r="AH75" s="16"/>
      <c r="AI75" s="2209" t="s">
        <v>4</v>
      </c>
      <c r="AJ75" s="2200" t="s">
        <v>633</v>
      </c>
      <c r="AK75" s="2201"/>
      <c r="AL75" s="2202"/>
      <c r="AM75" s="2161" t="s">
        <v>1116</v>
      </c>
      <c r="AN75" s="2162"/>
      <c r="AO75" s="2162"/>
      <c r="AP75" s="2162"/>
      <c r="AQ75" s="2162"/>
      <c r="AR75" s="2162"/>
      <c r="AS75" s="2162"/>
      <c r="AT75" s="2162"/>
      <c r="AU75" s="2162"/>
      <c r="AV75" s="2162"/>
      <c r="AW75" s="2162"/>
      <c r="AX75" s="2162"/>
      <c r="AY75" s="2162"/>
      <c r="AZ75" s="2162"/>
      <c r="BA75" s="2162"/>
      <c r="BB75" s="2162"/>
      <c r="BC75" s="2162"/>
      <c r="BD75" s="2163"/>
      <c r="BE75" s="1868" t="s">
        <v>1119</v>
      </c>
      <c r="BF75" s="1869"/>
      <c r="BG75" s="1869"/>
      <c r="BH75" s="1869"/>
      <c r="BI75" s="1869"/>
      <c r="BJ75" s="1869"/>
      <c r="BK75" s="1869"/>
      <c r="BL75" s="1869"/>
      <c r="BM75" s="1869"/>
      <c r="BN75" s="1869"/>
      <c r="BO75" s="1870"/>
      <c r="BP75" s="6"/>
      <c r="BS75" s="960"/>
      <c r="BT75" s="960"/>
      <c r="BU75" s="960"/>
      <c r="BV75" s="960"/>
      <c r="BW75" s="960"/>
      <c r="CN75" s="70"/>
      <c r="CO75" s="70"/>
      <c r="CP75" s="70"/>
      <c r="CQ75" s="70"/>
      <c r="CR75" s="70"/>
      <c r="CS75" s="70"/>
      <c r="CT75" s="70"/>
      <c r="CU75" s="70"/>
      <c r="CX75" s="857" t="s">
        <v>271</v>
      </c>
      <c r="CY75" s="244">
        <f>MIN(AZ125,R125)</f>
        <v>368</v>
      </c>
      <c r="CZ75" s="247" t="s">
        <v>247</v>
      </c>
      <c r="DA75" s="244">
        <f>MAX(AZ125,R125)</f>
        <v>395</v>
      </c>
    </row>
    <row r="76" spans="1:105" ht="37.5" customHeight="1" thickBot="1" x14ac:dyDescent="0.4">
      <c r="A76" s="2210"/>
      <c r="B76" s="1842" t="s">
        <v>803</v>
      </c>
      <c r="C76" s="2221" t="s">
        <v>1079</v>
      </c>
      <c r="D76" s="2175" t="s">
        <v>1422</v>
      </c>
      <c r="E76" s="2203" t="s">
        <v>1117</v>
      </c>
      <c r="F76" s="2204"/>
      <c r="G76" s="2205"/>
      <c r="H76" s="2212" t="s">
        <v>1129</v>
      </c>
      <c r="I76" s="2214" t="s">
        <v>1127</v>
      </c>
      <c r="J76" s="2214" t="s">
        <v>1128</v>
      </c>
      <c r="K76" s="2206" t="s">
        <v>1118</v>
      </c>
      <c r="L76" s="2207"/>
      <c r="M76" s="2207"/>
      <c r="N76" s="2207"/>
      <c r="O76" s="2207"/>
      <c r="P76" s="2207"/>
      <c r="Q76" s="2207"/>
      <c r="R76" s="2207"/>
      <c r="S76" s="2207"/>
      <c r="T76" s="2208"/>
      <c r="U76" s="1737" t="s">
        <v>1286</v>
      </c>
      <c r="V76" s="1738"/>
      <c r="W76" s="2116" t="s">
        <v>432</v>
      </c>
      <c r="X76" s="2117"/>
      <c r="Y76" s="2117"/>
      <c r="Z76" s="2118"/>
      <c r="AA76" s="1885" t="s">
        <v>628</v>
      </c>
      <c r="AB76" s="1875" t="s">
        <v>12</v>
      </c>
      <c r="AC76" s="1875" t="s">
        <v>1122</v>
      </c>
      <c r="AD76" s="1885" t="s">
        <v>1009</v>
      </c>
      <c r="AE76" s="1952"/>
      <c r="AF76" s="1885" t="s">
        <v>569</v>
      </c>
      <c r="AG76" s="1974"/>
      <c r="AH76" s="31"/>
      <c r="AI76" s="2210"/>
      <c r="AJ76" s="1842" t="s">
        <v>803</v>
      </c>
      <c r="AK76" s="2221" t="s">
        <v>1079</v>
      </c>
      <c r="AL76" s="2175" t="s">
        <v>1422</v>
      </c>
      <c r="AM76" s="2203" t="s">
        <v>1117</v>
      </c>
      <c r="AN76" s="2204"/>
      <c r="AO76" s="2205"/>
      <c r="AP76" s="2212" t="s">
        <v>1129</v>
      </c>
      <c r="AQ76" s="2214" t="s">
        <v>1127</v>
      </c>
      <c r="AR76" s="2214" t="s">
        <v>1128</v>
      </c>
      <c r="AS76" s="2206" t="s">
        <v>1118</v>
      </c>
      <c r="AT76" s="2207"/>
      <c r="AU76" s="2207"/>
      <c r="AV76" s="2207"/>
      <c r="AW76" s="2207"/>
      <c r="AX76" s="2207"/>
      <c r="AY76" s="2207"/>
      <c r="AZ76" s="2207"/>
      <c r="BA76" s="2207"/>
      <c r="BB76" s="2208"/>
      <c r="BC76" s="1737" t="s">
        <v>1286</v>
      </c>
      <c r="BD76" s="1738"/>
      <c r="BE76" s="2116" t="s">
        <v>432</v>
      </c>
      <c r="BF76" s="2117"/>
      <c r="BG76" s="2117"/>
      <c r="BH76" s="2118"/>
      <c r="BI76" s="1885" t="s">
        <v>628</v>
      </c>
      <c r="BJ76" s="1875" t="s">
        <v>12</v>
      </c>
      <c r="BK76" s="1875" t="s">
        <v>1122</v>
      </c>
      <c r="BL76" s="1885" t="s">
        <v>1009</v>
      </c>
      <c r="BM76" s="1952"/>
      <c r="BN76" s="1885" t="s">
        <v>569</v>
      </c>
      <c r="BO76" s="1974"/>
      <c r="BP76" s="6"/>
      <c r="BR76" s="255" t="s">
        <v>107</v>
      </c>
      <c r="BS76" s="255" t="s">
        <v>107</v>
      </c>
      <c r="BT76" s="255" t="s">
        <v>107</v>
      </c>
      <c r="BU76" s="259" t="s">
        <v>107</v>
      </c>
      <c r="BW76" s="960"/>
      <c r="CN76" s="1920">
        <v>12</v>
      </c>
      <c r="CO76" s="1921"/>
      <c r="CP76" s="1921"/>
      <c r="CQ76" s="1921"/>
      <c r="CR76" s="1922"/>
      <c r="CS76" s="1909">
        <v>1859</v>
      </c>
      <c r="CT76" s="1910"/>
      <c r="CU76" s="1910"/>
      <c r="CV76" s="1910"/>
      <c r="CW76" s="1911"/>
      <c r="CX76" s="996"/>
      <c r="CY76" s="960"/>
      <c r="CZ76" s="960"/>
      <c r="DA76" s="960"/>
    </row>
    <row r="77" spans="1:105" ht="21.9" customHeight="1" thickBot="1" x14ac:dyDescent="0.4">
      <c r="A77" s="2211"/>
      <c r="B77" s="1843"/>
      <c r="C77" s="2222"/>
      <c r="D77" s="2176"/>
      <c r="E77" s="1067" t="s">
        <v>133</v>
      </c>
      <c r="F77" s="788" t="s">
        <v>134</v>
      </c>
      <c r="G77" s="622" t="s">
        <v>81</v>
      </c>
      <c r="H77" s="2213"/>
      <c r="I77" s="2215"/>
      <c r="J77" s="2215"/>
      <c r="K77" s="789" t="s">
        <v>133</v>
      </c>
      <c r="L77" s="790" t="s">
        <v>134</v>
      </c>
      <c r="M77" s="791" t="s">
        <v>420</v>
      </c>
      <c r="N77" s="792" t="s">
        <v>421</v>
      </c>
      <c r="O77" s="792" t="s">
        <v>422</v>
      </c>
      <c r="P77" s="792" t="s">
        <v>423</v>
      </c>
      <c r="Q77" s="792" t="s">
        <v>424</v>
      </c>
      <c r="R77" s="792" t="s">
        <v>425</v>
      </c>
      <c r="S77" s="792" t="s">
        <v>426</v>
      </c>
      <c r="T77" s="790" t="s">
        <v>427</v>
      </c>
      <c r="U77" s="732" t="s">
        <v>79</v>
      </c>
      <c r="V77" s="622" t="s">
        <v>81</v>
      </c>
      <c r="W77" s="623" t="s">
        <v>409</v>
      </c>
      <c r="X77" s="624" t="s">
        <v>410</v>
      </c>
      <c r="Y77" s="624" t="s">
        <v>433</v>
      </c>
      <c r="Z77" s="625" t="s">
        <v>428</v>
      </c>
      <c r="AA77" s="1886"/>
      <c r="AB77" s="2178"/>
      <c r="AC77" s="1876"/>
      <c r="AD77" s="1953"/>
      <c r="AE77" s="1954"/>
      <c r="AF77" s="793"/>
      <c r="AG77" s="794" t="s">
        <v>234</v>
      </c>
      <c r="AH77" s="12"/>
      <c r="AI77" s="2211"/>
      <c r="AJ77" s="1843"/>
      <c r="AK77" s="2222"/>
      <c r="AL77" s="2176"/>
      <c r="AM77" s="1067" t="s">
        <v>133</v>
      </c>
      <c r="AN77" s="788" t="s">
        <v>134</v>
      </c>
      <c r="AO77" s="622" t="s">
        <v>81</v>
      </c>
      <c r="AP77" s="2213"/>
      <c r="AQ77" s="2215"/>
      <c r="AR77" s="2215"/>
      <c r="AS77" s="789" t="s">
        <v>133</v>
      </c>
      <c r="AT77" s="790" t="s">
        <v>134</v>
      </c>
      <c r="AU77" s="791" t="s">
        <v>420</v>
      </c>
      <c r="AV77" s="792" t="s">
        <v>421</v>
      </c>
      <c r="AW77" s="792" t="s">
        <v>422</v>
      </c>
      <c r="AX77" s="792" t="s">
        <v>423</v>
      </c>
      <c r="AY77" s="792" t="s">
        <v>424</v>
      </c>
      <c r="AZ77" s="792" t="s">
        <v>425</v>
      </c>
      <c r="BA77" s="792" t="s">
        <v>426</v>
      </c>
      <c r="BB77" s="790" t="s">
        <v>427</v>
      </c>
      <c r="BC77" s="732" t="s">
        <v>79</v>
      </c>
      <c r="BD77" s="622" t="s">
        <v>81</v>
      </c>
      <c r="BE77" s="623" t="s">
        <v>409</v>
      </c>
      <c r="BF77" s="624" t="s">
        <v>410</v>
      </c>
      <c r="BG77" s="624" t="s">
        <v>433</v>
      </c>
      <c r="BH77" s="625" t="s">
        <v>428</v>
      </c>
      <c r="BI77" s="1886"/>
      <c r="BJ77" s="2178"/>
      <c r="BK77" s="1876"/>
      <c r="BL77" s="1953"/>
      <c r="BM77" s="1954"/>
      <c r="BN77" s="793"/>
      <c r="BO77" s="794" t="s">
        <v>234</v>
      </c>
      <c r="BP77" s="6"/>
      <c r="BR77" s="1395" t="s">
        <v>1409</v>
      </c>
      <c r="BS77" s="1395" t="s">
        <v>1404</v>
      </c>
      <c r="BT77" s="256" t="s">
        <v>1301</v>
      </c>
      <c r="BU77" s="1396" t="s">
        <v>139</v>
      </c>
      <c r="CN77" s="858" t="s">
        <v>165</v>
      </c>
      <c r="CO77" s="859" t="s">
        <v>166</v>
      </c>
      <c r="CP77" s="859" t="s">
        <v>151</v>
      </c>
      <c r="CQ77" s="859" t="s">
        <v>167</v>
      </c>
      <c r="CR77" s="860" t="s">
        <v>168</v>
      </c>
      <c r="CS77" s="858" t="s">
        <v>165</v>
      </c>
      <c r="CT77" s="859" t="s">
        <v>166</v>
      </c>
      <c r="CU77" s="859" t="s">
        <v>151</v>
      </c>
      <c r="CV77" s="861" t="s">
        <v>167</v>
      </c>
      <c r="CW77" s="860" t="s">
        <v>168</v>
      </c>
      <c r="CX77" s="996"/>
      <c r="CY77" s="960"/>
      <c r="CZ77" s="960"/>
      <c r="DA77" s="960"/>
    </row>
    <row r="78" spans="1:105" ht="21.9" customHeight="1" x14ac:dyDescent="0.35">
      <c r="A78" s="1076" t="s">
        <v>1133</v>
      </c>
      <c r="B78" s="1525">
        <v>13.3</v>
      </c>
      <c r="C78" s="393">
        <v>0.06</v>
      </c>
      <c r="D78" s="399"/>
      <c r="E78" s="483">
        <v>15.2</v>
      </c>
      <c r="F78" s="1619">
        <v>17.7</v>
      </c>
      <c r="G78" s="347">
        <v>17.5</v>
      </c>
      <c r="H78" s="400">
        <v>311</v>
      </c>
      <c r="I78" s="1065">
        <v>2</v>
      </c>
      <c r="J78" s="1066">
        <v>1</v>
      </c>
      <c r="K78" s="945">
        <v>7.0000000000000007E-2</v>
      </c>
      <c r="L78" s="1617">
        <v>0.27</v>
      </c>
      <c r="M78" s="945"/>
      <c r="N78" s="946"/>
      <c r="O78" s="946"/>
      <c r="P78" s="946"/>
      <c r="Q78" s="946"/>
      <c r="R78" s="946"/>
      <c r="S78" s="946"/>
      <c r="T78" s="947">
        <v>0.06</v>
      </c>
      <c r="U78" s="735">
        <v>1.1000000000000001E-3</v>
      </c>
      <c r="V78" s="728">
        <v>8.0000000000000004E-4</v>
      </c>
      <c r="W78" s="1525"/>
      <c r="X78" s="393"/>
      <c r="Y78" s="394"/>
      <c r="Z78" s="1526"/>
      <c r="AA78" s="1527"/>
      <c r="AB78" s="400"/>
      <c r="AC78" s="1528"/>
      <c r="AD78" s="2159"/>
      <c r="AE78" s="2160"/>
      <c r="AF78" s="1529"/>
      <c r="AG78" s="399"/>
      <c r="AH78" s="12"/>
      <c r="AI78" s="1076" t="s">
        <v>1146</v>
      </c>
      <c r="AJ78" s="515">
        <v>13.6</v>
      </c>
      <c r="AK78" s="392">
        <v>0.06</v>
      </c>
      <c r="AL78" s="342"/>
      <c r="AM78" s="483">
        <v>14.4</v>
      </c>
      <c r="AN78" s="1619">
        <v>17.899999999999999</v>
      </c>
      <c r="AO78" s="1619">
        <v>20.100000000000001</v>
      </c>
      <c r="AP78" s="513">
        <v>287</v>
      </c>
      <c r="AQ78" s="1501">
        <v>2</v>
      </c>
      <c r="AR78" s="1502">
        <v>5</v>
      </c>
      <c r="AS78" s="1503">
        <v>0.06</v>
      </c>
      <c r="AT78" s="1617">
        <v>0.13</v>
      </c>
      <c r="AU78" s="1503"/>
      <c r="AV78" s="1504"/>
      <c r="AW78" s="1504"/>
      <c r="AX78" s="1504">
        <v>0.06</v>
      </c>
      <c r="AY78" s="1504">
        <v>0.06</v>
      </c>
      <c r="AZ78" s="1504">
        <v>7.0000000000000007E-2</v>
      </c>
      <c r="BA78" s="1504">
        <v>0.06</v>
      </c>
      <c r="BB78" s="1505">
        <v>7.0000000000000007E-2</v>
      </c>
      <c r="BC78" s="735">
        <v>6.9999999999999999E-4</v>
      </c>
      <c r="BD78" s="728">
        <v>8.0000000000000004E-4</v>
      </c>
      <c r="BE78" s="515"/>
      <c r="BF78" s="392"/>
      <c r="BG78" s="347"/>
      <c r="BH78" s="516"/>
      <c r="BI78" s="517"/>
      <c r="BJ78" s="513"/>
      <c r="BK78" s="518"/>
      <c r="BL78" s="1877"/>
      <c r="BM78" s="1878"/>
      <c r="BN78" s="514"/>
      <c r="BO78" s="342"/>
      <c r="BP78" s="6"/>
      <c r="BR78" s="678">
        <f>ROUND(3.56/BR73*100,3)</f>
        <v>5.4269999999999996</v>
      </c>
      <c r="BS78" s="679">
        <f>ROUND(BR78*106/BT73,3)</f>
        <v>6.7130000000000001</v>
      </c>
      <c r="BT78" s="679">
        <f>ROUND(BR78*106/BU73,3)</f>
        <v>5.98</v>
      </c>
      <c r="BU78" s="679">
        <f>ROUND(BS78-BT78+BV73/(98.5-BV73)*168/106,3)</f>
        <v>1.054</v>
      </c>
      <c r="CN78" s="862">
        <f>MIN(H57:H58)</f>
        <v>0</v>
      </c>
      <c r="CO78" s="863">
        <f>MAX(H57:H58)</f>
        <v>0</v>
      </c>
      <c r="CP78" s="863" t="e">
        <f>AVERAGE(H57:H58)</f>
        <v>#DIV/0!</v>
      </c>
      <c r="CQ78" s="863">
        <f>COUNT(H57:H58)</f>
        <v>0</v>
      </c>
      <c r="CR78" s="864">
        <f>COUNTIF(H57:H58,"&gt;0,5")</f>
        <v>0</v>
      </c>
      <c r="CS78" s="862">
        <f>MIN(I57:I58)</f>
        <v>0</v>
      </c>
      <c r="CT78" s="863">
        <f>MAX(I57:I58)</f>
        <v>0</v>
      </c>
      <c r="CU78" s="863" t="e">
        <f>AVERAGE(I57:I58)</f>
        <v>#DIV/0!</v>
      </c>
      <c r="CV78" s="863">
        <f>COUNT(I57:I58)</f>
        <v>0</v>
      </c>
      <c r="CW78" s="865">
        <f>COUNTIF(I57:I58,"&gt;0,5")</f>
        <v>0</v>
      </c>
      <c r="CX78" s="996"/>
      <c r="CY78" s="960"/>
      <c r="CZ78" s="960"/>
      <c r="DA78" s="960"/>
    </row>
    <row r="79" spans="1:105" ht="21.9" customHeight="1" thickBot="1" x14ac:dyDescent="0.4">
      <c r="A79" s="1077" t="s">
        <v>1134</v>
      </c>
      <c r="B79" s="404"/>
      <c r="C79" s="408"/>
      <c r="D79" s="403"/>
      <c r="E79" s="404"/>
      <c r="F79" s="405" t="s">
        <v>1704</v>
      </c>
      <c r="G79" s="403"/>
      <c r="H79" s="406">
        <v>308</v>
      </c>
      <c r="I79" s="1065">
        <v>2</v>
      </c>
      <c r="J79" s="1066">
        <v>1</v>
      </c>
      <c r="K79" s="407"/>
      <c r="L79" s="408"/>
      <c r="M79" s="407"/>
      <c r="N79" s="408"/>
      <c r="O79" s="408"/>
      <c r="P79" s="408"/>
      <c r="Q79" s="408"/>
      <c r="R79" s="408"/>
      <c r="S79" s="408"/>
      <c r="T79" s="734"/>
      <c r="U79" s="736"/>
      <c r="V79" s="413"/>
      <c r="W79" s="404"/>
      <c r="X79" s="405"/>
      <c r="Y79" s="405"/>
      <c r="Z79" s="1530">
        <v>16</v>
      </c>
      <c r="AA79" s="1635">
        <v>70</v>
      </c>
      <c r="AB79" s="1634">
        <v>81</v>
      </c>
      <c r="AC79" s="1620">
        <v>83</v>
      </c>
      <c r="AD79" s="1837">
        <v>56</v>
      </c>
      <c r="AE79" s="1838"/>
      <c r="AF79" s="407"/>
      <c r="AG79" s="1636">
        <v>37.799999999999997</v>
      </c>
      <c r="AH79" s="12"/>
      <c r="AI79" s="1076" t="s">
        <v>1147</v>
      </c>
      <c r="AJ79" s="339"/>
      <c r="AK79" s="439"/>
      <c r="AL79" s="341"/>
      <c r="AM79" s="339"/>
      <c r="AN79" s="340" t="s">
        <v>960</v>
      </c>
      <c r="AO79" s="341"/>
      <c r="AP79" s="519">
        <v>283</v>
      </c>
      <c r="AQ79" s="1501">
        <v>2</v>
      </c>
      <c r="AR79" s="1502">
        <v>5</v>
      </c>
      <c r="AS79" s="437"/>
      <c r="AT79" s="340" t="s">
        <v>960</v>
      </c>
      <c r="AU79" s="437"/>
      <c r="AV79" s="439"/>
      <c r="AW79" s="439"/>
      <c r="AX79" s="439"/>
      <c r="AY79" s="439"/>
      <c r="AZ79" s="439"/>
      <c r="BA79" s="340" t="s">
        <v>960</v>
      </c>
      <c r="BB79" s="1506"/>
      <c r="BC79" s="736"/>
      <c r="BD79" s="413"/>
      <c r="BE79" s="339"/>
      <c r="BF79" s="340"/>
      <c r="BG79" s="340"/>
      <c r="BH79" s="520"/>
      <c r="BI79" s="521"/>
      <c r="BJ79" s="519"/>
      <c r="BK79" s="1620">
        <v>83</v>
      </c>
      <c r="BL79" s="1837">
        <v>50</v>
      </c>
      <c r="BM79" s="1838"/>
      <c r="BN79" s="437"/>
      <c r="BO79" s="341"/>
      <c r="BP79" s="6"/>
      <c r="BR79" s="678">
        <f>ROUND(3.56/BR74*100,3)</f>
        <v>5.4429999999999996</v>
      </c>
      <c r="BS79" s="679">
        <f>ROUND(BR79*106/BT74,3)</f>
        <v>6.4610000000000003</v>
      </c>
      <c r="BT79" s="679">
        <f>ROUND(BR79*106/BU74,3)</f>
        <v>5.875</v>
      </c>
      <c r="BU79" s="679">
        <f>ROUND(BS79-BT79+BV74/(98.5-BV74)*168/106,3)</f>
        <v>0.89100000000000001</v>
      </c>
      <c r="CN79" s="866">
        <f>MIN(AP57:AP58)</f>
        <v>0</v>
      </c>
      <c r="CO79" s="867">
        <f>MAX(AP57:AP58)</f>
        <v>0</v>
      </c>
      <c r="CP79" s="867" t="e">
        <f>AVERAGE(AP57:AP58)</f>
        <v>#DIV/0!</v>
      </c>
      <c r="CQ79" s="868">
        <f>COUNT(AP57:AP58)</f>
        <v>0</v>
      </c>
      <c r="CR79" s="1448">
        <f>COUNTIF(AP57:AP58,"&gt;0,5")</f>
        <v>0</v>
      </c>
      <c r="CS79" s="866">
        <f>MIN(AQ57:AQ58)</f>
        <v>0.5</v>
      </c>
      <c r="CT79" s="867">
        <f>MAX(AQ57:AQ58)</f>
        <v>0.5</v>
      </c>
      <c r="CU79" s="867">
        <f>AVERAGE(AQ57:AQ58)</f>
        <v>0.5</v>
      </c>
      <c r="CV79" s="868">
        <f>COUNT(AQ57:AQ58)</f>
        <v>1</v>
      </c>
      <c r="CW79" s="1448">
        <f>COUNTIF(AQ57:AQ58,"&gt;0,5")</f>
        <v>0</v>
      </c>
      <c r="CX79" s="996"/>
      <c r="CY79" s="960"/>
      <c r="CZ79" s="960"/>
      <c r="DA79" s="960"/>
    </row>
    <row r="80" spans="1:105" ht="21.9" customHeight="1" x14ac:dyDescent="0.35">
      <c r="A80" s="1076" t="s">
        <v>1135</v>
      </c>
      <c r="B80" s="404"/>
      <c r="C80" s="396"/>
      <c r="D80" s="403"/>
      <c r="E80" s="1632">
        <v>17.899999999999999</v>
      </c>
      <c r="F80" s="1633">
        <v>16.899999999999999</v>
      </c>
      <c r="G80" s="403">
        <v>16</v>
      </c>
      <c r="H80" s="406">
        <v>307</v>
      </c>
      <c r="I80" s="1065">
        <v>2</v>
      </c>
      <c r="J80" s="1066">
        <v>1</v>
      </c>
      <c r="K80" s="407">
        <v>0.06</v>
      </c>
      <c r="L80" s="409">
        <v>0.06</v>
      </c>
      <c r="M80" s="407"/>
      <c r="N80" s="408"/>
      <c r="O80" s="408"/>
      <c r="P80" s="408"/>
      <c r="Q80" s="408"/>
      <c r="R80" s="408"/>
      <c r="S80" s="408"/>
      <c r="T80" s="734">
        <v>0.06</v>
      </c>
      <c r="U80" s="736"/>
      <c r="V80" s="413"/>
      <c r="W80" s="1533"/>
      <c r="X80" s="396"/>
      <c r="Y80" s="396"/>
      <c r="Z80" s="1530"/>
      <c r="AA80" s="1531"/>
      <c r="AB80" s="406"/>
      <c r="AC80" s="1532"/>
      <c r="AD80" s="2194"/>
      <c r="AE80" s="2195"/>
      <c r="AF80" s="407"/>
      <c r="AG80" s="403"/>
      <c r="AH80" s="12"/>
      <c r="AI80" s="1076" t="s">
        <v>1148</v>
      </c>
      <c r="AJ80" s="356"/>
      <c r="AK80" s="228"/>
      <c r="AL80" s="403"/>
      <c r="AM80" s="404"/>
      <c r="AN80" s="405"/>
      <c r="AO80" s="403"/>
      <c r="AP80" s="406">
        <v>304</v>
      </c>
      <c r="AQ80" s="1501">
        <v>2</v>
      </c>
      <c r="AR80" s="1502">
        <v>5</v>
      </c>
      <c r="AS80" s="407">
        <v>0.06</v>
      </c>
      <c r="AT80" s="409">
        <v>0.06</v>
      </c>
      <c r="AU80" s="407">
        <v>0.06</v>
      </c>
      <c r="AV80" s="408"/>
      <c r="AW80" s="408"/>
      <c r="AX80" s="408"/>
      <c r="AY80" s="408"/>
      <c r="AZ80" s="408"/>
      <c r="BA80" s="408"/>
      <c r="BB80" s="734"/>
      <c r="BC80" s="736"/>
      <c r="BD80" s="413"/>
      <c r="BE80" s="523"/>
      <c r="BF80" s="395"/>
      <c r="BG80" s="395"/>
      <c r="BH80" s="520">
        <v>16</v>
      </c>
      <c r="BI80" s="1635">
        <v>75</v>
      </c>
      <c r="BJ80" s="1634">
        <v>80</v>
      </c>
      <c r="BK80" s="522"/>
      <c r="BL80" s="1853"/>
      <c r="BM80" s="1854"/>
      <c r="BN80" s="437"/>
      <c r="BO80" s="1636">
        <v>35.799999999999997</v>
      </c>
      <c r="BP80" s="6"/>
      <c r="CN80" s="157"/>
      <c r="CO80" s="157"/>
      <c r="CP80" s="157"/>
      <c r="CQ80" s="971"/>
      <c r="CR80" s="971"/>
      <c r="CS80" s="157"/>
      <c r="CT80" s="157"/>
      <c r="CU80" s="157"/>
      <c r="CV80" s="971"/>
      <c r="CW80" s="971"/>
      <c r="CX80" s="996"/>
      <c r="CY80" s="960"/>
      <c r="CZ80" s="960"/>
      <c r="DA80" s="960"/>
    </row>
    <row r="81" spans="1:106" ht="21.9" customHeight="1" x14ac:dyDescent="0.35">
      <c r="A81" s="1076" t="s">
        <v>1136</v>
      </c>
      <c r="B81" s="404"/>
      <c r="C81" s="396"/>
      <c r="D81" s="403"/>
      <c r="E81" s="404"/>
      <c r="F81" s="405" t="s">
        <v>1704</v>
      </c>
      <c r="G81" s="403"/>
      <c r="H81" s="406">
        <v>307</v>
      </c>
      <c r="I81" s="1065">
        <v>2</v>
      </c>
      <c r="J81" s="1066">
        <v>1</v>
      </c>
      <c r="K81" s="407"/>
      <c r="L81" s="408"/>
      <c r="M81" s="407"/>
      <c r="N81" s="408"/>
      <c r="O81" s="408"/>
      <c r="P81" s="408"/>
      <c r="Q81" s="408"/>
      <c r="R81" s="408"/>
      <c r="S81" s="408"/>
      <c r="T81" s="734"/>
      <c r="U81" s="736"/>
      <c r="V81" s="413"/>
      <c r="W81" s="404"/>
      <c r="X81" s="405"/>
      <c r="Y81" s="396"/>
      <c r="Z81" s="1530"/>
      <c r="AA81" s="1531"/>
      <c r="AB81" s="406"/>
      <c r="AC81" s="1532"/>
      <c r="AD81" s="2194"/>
      <c r="AE81" s="2195"/>
      <c r="AF81" s="407"/>
      <c r="AG81" s="403"/>
      <c r="AH81" s="12"/>
      <c r="AI81" s="1076" t="s">
        <v>1149</v>
      </c>
      <c r="AJ81" s="356"/>
      <c r="AK81" s="228"/>
      <c r="AL81" s="403"/>
      <c r="AM81" s="404"/>
      <c r="AN81" s="340" t="s">
        <v>960</v>
      </c>
      <c r="AO81" s="403"/>
      <c r="AP81" s="406">
        <v>304</v>
      </c>
      <c r="AQ81" s="1501">
        <v>2</v>
      </c>
      <c r="AR81" s="1502">
        <v>2</v>
      </c>
      <c r="AS81" s="407"/>
      <c r="AT81" s="340" t="s">
        <v>960</v>
      </c>
      <c r="AU81" s="407"/>
      <c r="AV81" s="408"/>
      <c r="AW81" s="408"/>
      <c r="AX81" s="408"/>
      <c r="AY81" s="408"/>
      <c r="AZ81" s="408"/>
      <c r="BA81" s="340" t="s">
        <v>960</v>
      </c>
      <c r="BB81" s="734"/>
      <c r="BC81" s="736"/>
      <c r="BD81" s="413"/>
      <c r="BE81" s="339"/>
      <c r="BF81" s="340"/>
      <c r="BG81" s="395"/>
      <c r="BH81" s="520"/>
      <c r="BI81" s="521"/>
      <c r="BJ81" s="519"/>
      <c r="BK81" s="522"/>
      <c r="BL81" s="1853"/>
      <c r="BM81" s="1854"/>
      <c r="BN81" s="437"/>
      <c r="BO81" s="341"/>
      <c r="BP81" s="6"/>
      <c r="BR81" s="1391" t="s">
        <v>91</v>
      </c>
      <c r="BS81" s="1393" t="s">
        <v>769</v>
      </c>
      <c r="CX81" s="996"/>
      <c r="CY81" s="960"/>
      <c r="CZ81" s="960"/>
      <c r="DA81" s="960"/>
    </row>
    <row r="82" spans="1:106" ht="21.9" customHeight="1" x14ac:dyDescent="0.35">
      <c r="A82" s="1076" t="s">
        <v>1145</v>
      </c>
      <c r="B82" s="404"/>
      <c r="C82" s="396"/>
      <c r="D82" s="403"/>
      <c r="E82" s="404">
        <v>15.2</v>
      </c>
      <c r="F82" s="405">
        <v>12.9</v>
      </c>
      <c r="G82" s="403">
        <v>16.2</v>
      </c>
      <c r="H82" s="406">
        <v>307</v>
      </c>
      <c r="I82" s="1065">
        <v>2</v>
      </c>
      <c r="J82" s="1066">
        <v>1</v>
      </c>
      <c r="K82" s="407">
        <v>0.06</v>
      </c>
      <c r="L82" s="409">
        <v>0.06</v>
      </c>
      <c r="M82" s="407"/>
      <c r="N82" s="408"/>
      <c r="O82" s="408"/>
      <c r="P82" s="408"/>
      <c r="Q82" s="408"/>
      <c r="R82" s="408"/>
      <c r="S82" s="408"/>
      <c r="T82" s="734">
        <v>0.06</v>
      </c>
      <c r="U82" s="736"/>
      <c r="V82" s="413"/>
      <c r="W82" s="404"/>
      <c r="X82" s="405"/>
      <c r="Y82" s="396"/>
      <c r="Z82" s="1530"/>
      <c r="AA82" s="1531"/>
      <c r="AB82" s="406"/>
      <c r="AC82" s="1532"/>
      <c r="AD82" s="2194"/>
      <c r="AE82" s="2195"/>
      <c r="AF82" s="407"/>
      <c r="AG82" s="403"/>
      <c r="AH82" s="12"/>
      <c r="AI82" s="1076" t="s">
        <v>1150</v>
      </c>
      <c r="AJ82" s="356"/>
      <c r="AK82" s="228"/>
      <c r="AL82" s="403"/>
      <c r="AM82" s="404"/>
      <c r="AN82" s="405" t="s">
        <v>1743</v>
      </c>
      <c r="AO82" s="403"/>
      <c r="AP82" s="406">
        <v>304</v>
      </c>
      <c r="AQ82" s="1501">
        <v>2</v>
      </c>
      <c r="AR82" s="1502">
        <v>2</v>
      </c>
      <c r="AS82" s="407">
        <v>0.06</v>
      </c>
      <c r="AT82" s="409">
        <v>0.06</v>
      </c>
      <c r="AU82" s="407"/>
      <c r="AV82" s="408"/>
      <c r="AW82" s="408"/>
      <c r="AX82" s="408"/>
      <c r="AY82" s="408">
        <v>0.06</v>
      </c>
      <c r="AZ82" s="408"/>
      <c r="BA82" s="408"/>
      <c r="BB82" s="734">
        <v>7.0000000000000007E-2</v>
      </c>
      <c r="BC82" s="736"/>
      <c r="BD82" s="413"/>
      <c r="BE82" s="339"/>
      <c r="BF82" s="340"/>
      <c r="BG82" s="395"/>
      <c r="BH82" s="520"/>
      <c r="BI82" s="521"/>
      <c r="BJ82" s="519"/>
      <c r="BK82" s="522"/>
      <c r="BL82" s="1853"/>
      <c r="BM82" s="1854"/>
      <c r="BN82" s="437"/>
      <c r="BO82" s="341"/>
      <c r="BP82" s="6"/>
      <c r="BR82" s="1391">
        <v>1</v>
      </c>
      <c r="BS82" s="1392">
        <v>103.9</v>
      </c>
      <c r="BT82" s="7"/>
      <c r="BU82" s="7"/>
      <c r="BV82" s="7"/>
      <c r="CX82" s="996"/>
      <c r="CY82" s="960"/>
      <c r="CZ82" s="960"/>
      <c r="DA82" s="960"/>
    </row>
    <row r="83" spans="1:106" ht="21.9" customHeight="1" x14ac:dyDescent="0.35">
      <c r="A83" s="1076" t="s">
        <v>1138</v>
      </c>
      <c r="B83" s="404"/>
      <c r="C83" s="396"/>
      <c r="D83" s="403"/>
      <c r="E83" s="404"/>
      <c r="F83" s="405" t="s">
        <v>1704</v>
      </c>
      <c r="G83" s="403"/>
      <c r="H83" s="406">
        <v>322</v>
      </c>
      <c r="I83" s="1065">
        <v>2</v>
      </c>
      <c r="J83" s="1066">
        <v>1</v>
      </c>
      <c r="K83" s="407"/>
      <c r="L83" s="408"/>
      <c r="M83" s="407"/>
      <c r="N83" s="408"/>
      <c r="O83" s="408"/>
      <c r="P83" s="408"/>
      <c r="Q83" s="408"/>
      <c r="R83" s="408"/>
      <c r="S83" s="408"/>
      <c r="T83" s="734"/>
      <c r="U83" s="736"/>
      <c r="V83" s="413"/>
      <c r="W83" s="404"/>
      <c r="X83" s="405"/>
      <c r="Y83" s="396"/>
      <c r="Z83" s="1530"/>
      <c r="AA83" s="1531"/>
      <c r="AB83" s="406"/>
      <c r="AC83" s="1532"/>
      <c r="AD83" s="2194"/>
      <c r="AE83" s="2195"/>
      <c r="AF83" s="407"/>
      <c r="AG83" s="403"/>
      <c r="AH83" s="12"/>
      <c r="AI83" s="1076" t="s">
        <v>1151</v>
      </c>
      <c r="AJ83" s="356"/>
      <c r="AK83" s="228"/>
      <c r="AL83" s="403"/>
      <c r="AM83" s="404"/>
      <c r="AN83" s="340" t="s">
        <v>960</v>
      </c>
      <c r="AO83" s="403"/>
      <c r="AP83" s="406">
        <v>322</v>
      </c>
      <c r="AQ83" s="1501">
        <v>2</v>
      </c>
      <c r="AR83" s="1502">
        <v>5</v>
      </c>
      <c r="AS83" s="407"/>
      <c r="AT83" s="340" t="s">
        <v>960</v>
      </c>
      <c r="AU83" s="407"/>
      <c r="AV83" s="408"/>
      <c r="AW83" s="408"/>
      <c r="AX83" s="408"/>
      <c r="AY83" s="408"/>
      <c r="AZ83" s="408"/>
      <c r="BA83" s="340" t="s">
        <v>960</v>
      </c>
      <c r="BB83" s="734"/>
      <c r="BC83" s="736"/>
      <c r="BD83" s="413"/>
      <c r="BE83" s="339"/>
      <c r="BF83" s="340"/>
      <c r="BG83" s="395"/>
      <c r="BH83" s="520"/>
      <c r="BI83" s="521"/>
      <c r="BJ83" s="519"/>
      <c r="BK83" s="522"/>
      <c r="BL83" s="1853"/>
      <c r="BM83" s="1854"/>
      <c r="BN83" s="437"/>
      <c r="BO83" s="341"/>
      <c r="BP83" s="6"/>
      <c r="BR83" s="1391">
        <v>2</v>
      </c>
      <c r="BS83" s="1392">
        <v>104.3</v>
      </c>
      <c r="BT83" s="7"/>
      <c r="BU83" s="7"/>
      <c r="BV83" s="7"/>
      <c r="CX83" s="996"/>
      <c r="CY83" s="960"/>
      <c r="CZ83" s="960"/>
      <c r="DA83" s="960"/>
    </row>
    <row r="84" spans="1:106" ht="21.9" customHeight="1" x14ac:dyDescent="0.45">
      <c r="A84" s="1076" t="s">
        <v>1139</v>
      </c>
      <c r="B84" s="404">
        <v>14.1</v>
      </c>
      <c r="C84" s="396">
        <v>0.06</v>
      </c>
      <c r="D84" s="403"/>
      <c r="E84" s="1632">
        <v>17.899999999999999</v>
      </c>
      <c r="F84" s="405">
        <v>16.2</v>
      </c>
      <c r="G84" s="403">
        <v>15</v>
      </c>
      <c r="H84" s="406">
        <v>330</v>
      </c>
      <c r="I84" s="1065">
        <v>2</v>
      </c>
      <c r="J84" s="1066">
        <v>1</v>
      </c>
      <c r="K84" s="407">
        <v>0.06</v>
      </c>
      <c r="L84" s="409">
        <v>0.06</v>
      </c>
      <c r="M84" s="407"/>
      <c r="N84" s="408"/>
      <c r="O84" s="408"/>
      <c r="P84" s="408"/>
      <c r="Q84" s="408"/>
      <c r="R84" s="408"/>
      <c r="S84" s="408"/>
      <c r="T84" s="734">
        <v>0.06</v>
      </c>
      <c r="U84" s="736">
        <v>1.5E-3</v>
      </c>
      <c r="V84" s="413">
        <v>6.9999999999999999E-4</v>
      </c>
      <c r="W84" s="404"/>
      <c r="X84" s="405"/>
      <c r="Y84" s="396"/>
      <c r="Z84" s="1530"/>
      <c r="AA84" s="1531"/>
      <c r="AB84" s="406"/>
      <c r="AC84" s="1532"/>
      <c r="AD84" s="2194"/>
      <c r="AE84" s="2195"/>
      <c r="AF84" s="407"/>
      <c r="AG84" s="403"/>
      <c r="AH84" s="12"/>
      <c r="AI84" s="1076" t="s">
        <v>1152</v>
      </c>
      <c r="AJ84" s="356">
        <v>12.1</v>
      </c>
      <c r="AK84" s="228">
        <v>0.06</v>
      </c>
      <c r="AL84" s="403"/>
      <c r="AM84" s="404">
        <v>14.6</v>
      </c>
      <c r="AN84" s="405">
        <v>15.4</v>
      </c>
      <c r="AO84" s="1636">
        <v>20.3</v>
      </c>
      <c r="AP84" s="406">
        <v>330</v>
      </c>
      <c r="AQ84" s="1501">
        <v>2</v>
      </c>
      <c r="AR84" s="1502">
        <v>5</v>
      </c>
      <c r="AS84" s="407">
        <v>0.06</v>
      </c>
      <c r="AT84" s="409">
        <v>7.0000000000000007E-2</v>
      </c>
      <c r="AU84" s="407"/>
      <c r="AV84" s="408"/>
      <c r="AW84" s="408"/>
      <c r="AX84" s="408">
        <v>0.06</v>
      </c>
      <c r="AY84" s="408">
        <v>0.06</v>
      </c>
      <c r="AZ84" s="408">
        <v>7.0000000000000007E-2</v>
      </c>
      <c r="BA84" s="408">
        <v>7.0000000000000007E-2</v>
      </c>
      <c r="BB84" s="734">
        <v>7.0000000000000007E-2</v>
      </c>
      <c r="BC84" s="736">
        <v>5.0000000000000001E-4</v>
      </c>
      <c r="BD84" s="413">
        <v>5.0000000000000001E-4</v>
      </c>
      <c r="BE84" s="339"/>
      <c r="BF84" s="340"/>
      <c r="BG84" s="395"/>
      <c r="BH84" s="520"/>
      <c r="BI84" s="521"/>
      <c r="BJ84" s="519"/>
      <c r="BK84" s="1620">
        <v>81</v>
      </c>
      <c r="BL84" s="1837">
        <v>59</v>
      </c>
      <c r="BM84" s="1838"/>
      <c r="BN84" s="437"/>
      <c r="BO84" s="341"/>
      <c r="BP84" s="6"/>
      <c r="BS84" s="265"/>
      <c r="BV84" s="7"/>
      <c r="CX84" s="996"/>
      <c r="CY84" s="960"/>
      <c r="CZ84" s="960"/>
      <c r="DA84" s="960"/>
    </row>
    <row r="85" spans="1:106" ht="21.9" customHeight="1" thickBot="1" x14ac:dyDescent="0.4">
      <c r="A85" s="1076" t="s">
        <v>1140</v>
      </c>
      <c r="B85" s="404"/>
      <c r="C85" s="396"/>
      <c r="D85" s="403"/>
      <c r="E85" s="404"/>
      <c r="F85" s="405" t="s">
        <v>1704</v>
      </c>
      <c r="G85" s="403"/>
      <c r="H85" s="406">
        <v>293</v>
      </c>
      <c r="I85" s="1065">
        <v>2</v>
      </c>
      <c r="J85" s="1066">
        <v>1</v>
      </c>
      <c r="K85" s="407"/>
      <c r="L85" s="408"/>
      <c r="M85" s="407"/>
      <c r="N85" s="408"/>
      <c r="O85" s="408"/>
      <c r="P85" s="408"/>
      <c r="Q85" s="408"/>
      <c r="R85" s="408"/>
      <c r="S85" s="408"/>
      <c r="T85" s="734"/>
      <c r="U85" s="736"/>
      <c r="V85" s="413"/>
      <c r="W85" s="404"/>
      <c r="X85" s="405"/>
      <c r="Y85" s="396"/>
      <c r="Z85" s="1530"/>
      <c r="AA85" s="1531"/>
      <c r="AB85" s="406"/>
      <c r="AC85" s="1620">
        <v>89</v>
      </c>
      <c r="AD85" s="1837">
        <v>54</v>
      </c>
      <c r="AE85" s="1838"/>
      <c r="AF85" s="407"/>
      <c r="AG85" s="403"/>
      <c r="AH85" s="12"/>
      <c r="AI85" s="1076" t="s">
        <v>1153</v>
      </c>
      <c r="AJ85" s="356"/>
      <c r="AK85" s="228"/>
      <c r="AL85" s="403"/>
      <c r="AM85" s="404"/>
      <c r="AN85" s="340" t="s">
        <v>960</v>
      </c>
      <c r="AO85" s="403"/>
      <c r="AP85" s="406">
        <v>320</v>
      </c>
      <c r="AQ85" s="1501">
        <v>2</v>
      </c>
      <c r="AR85" s="1502">
        <v>5</v>
      </c>
      <c r="AS85" s="407"/>
      <c r="AT85" s="340" t="s">
        <v>960</v>
      </c>
      <c r="AU85" s="407"/>
      <c r="AV85" s="408"/>
      <c r="AW85" s="408"/>
      <c r="AX85" s="408"/>
      <c r="AY85" s="408"/>
      <c r="AZ85" s="408"/>
      <c r="BA85" s="340" t="s">
        <v>960</v>
      </c>
      <c r="BB85" s="734"/>
      <c r="BC85" s="736"/>
      <c r="BD85" s="413"/>
      <c r="BE85" s="339"/>
      <c r="BF85" s="340"/>
      <c r="BG85" s="395"/>
      <c r="BH85" s="520"/>
      <c r="BI85" s="521"/>
      <c r="BJ85" s="519"/>
      <c r="BK85" s="522"/>
      <c r="BL85" s="1853"/>
      <c r="BM85" s="1854"/>
      <c r="BN85" s="437"/>
      <c r="BO85" s="341"/>
      <c r="BP85" s="6"/>
      <c r="BR85" s="1390" t="s">
        <v>463</v>
      </c>
      <c r="BS85" s="1394">
        <v>104.2</v>
      </c>
      <c r="BV85" s="7"/>
      <c r="CX85" s="996"/>
      <c r="CY85" s="960"/>
      <c r="CZ85" s="960"/>
      <c r="DA85" s="960"/>
    </row>
    <row r="86" spans="1:106" ht="21.9" customHeight="1" thickBot="1" x14ac:dyDescent="0.4">
      <c r="A86" s="1076" t="s">
        <v>1141</v>
      </c>
      <c r="B86" s="404"/>
      <c r="C86" s="396"/>
      <c r="D86" s="403"/>
      <c r="E86" s="404">
        <v>13.8</v>
      </c>
      <c r="F86" s="1633">
        <v>19.7</v>
      </c>
      <c r="G86" s="403">
        <v>16.399999999999999</v>
      </c>
      <c r="H86" s="406">
        <v>262</v>
      </c>
      <c r="I86" s="1065">
        <v>2</v>
      </c>
      <c r="J86" s="1066">
        <v>1</v>
      </c>
      <c r="K86" s="407">
        <v>7.0000000000000007E-2</v>
      </c>
      <c r="L86" s="409">
        <v>0.06</v>
      </c>
      <c r="M86" s="407"/>
      <c r="N86" s="408"/>
      <c r="O86" s="408"/>
      <c r="P86" s="408"/>
      <c r="Q86" s="408"/>
      <c r="R86" s="408"/>
      <c r="S86" s="408"/>
      <c r="T86" s="734">
        <v>0.06</v>
      </c>
      <c r="U86" s="736"/>
      <c r="V86" s="413"/>
      <c r="W86" s="404"/>
      <c r="X86" s="405"/>
      <c r="Y86" s="405"/>
      <c r="Z86" s="1530"/>
      <c r="AA86" s="1531"/>
      <c r="AB86" s="406"/>
      <c r="AC86" s="1532"/>
      <c r="AD86" s="2194"/>
      <c r="AE86" s="2195"/>
      <c r="AF86" s="407"/>
      <c r="AG86" s="403"/>
      <c r="AH86" s="12"/>
      <c r="AI86" s="1076" t="s">
        <v>1154</v>
      </c>
      <c r="AJ86" s="356"/>
      <c r="AK86" s="228"/>
      <c r="AL86" s="403"/>
      <c r="AM86" s="1632">
        <v>16.899999999999999</v>
      </c>
      <c r="AN86" s="405">
        <v>16.2</v>
      </c>
      <c r="AO86" s="1636">
        <v>20.5</v>
      </c>
      <c r="AP86" s="406">
        <v>306</v>
      </c>
      <c r="AQ86" s="1501">
        <v>2</v>
      </c>
      <c r="AR86" s="1502">
        <v>5</v>
      </c>
      <c r="AS86" s="407">
        <v>7.0000000000000007E-2</v>
      </c>
      <c r="AT86" s="409">
        <v>7.0000000000000007E-2</v>
      </c>
      <c r="AU86" s="407"/>
      <c r="AV86" s="408"/>
      <c r="AW86" s="408"/>
      <c r="AX86" s="408">
        <v>7.0000000000000007E-2</v>
      </c>
      <c r="AY86" s="408">
        <v>7.0000000000000007E-2</v>
      </c>
      <c r="AZ86" s="408">
        <v>7.0000000000000007E-2</v>
      </c>
      <c r="BA86" s="408">
        <v>0.06</v>
      </c>
      <c r="BB86" s="734">
        <v>0.06</v>
      </c>
      <c r="BC86" s="736"/>
      <c r="BD86" s="413"/>
      <c r="BE86" s="339"/>
      <c r="BF86" s="340"/>
      <c r="BG86" s="340"/>
      <c r="BH86" s="520"/>
      <c r="BI86" s="521"/>
      <c r="BJ86" s="519"/>
      <c r="BK86" s="522"/>
      <c r="BL86" s="1853"/>
      <c r="BM86" s="1854"/>
      <c r="BN86" s="437"/>
      <c r="BO86" s="341"/>
      <c r="BP86" s="6"/>
      <c r="BR86" s="1390" t="s">
        <v>393</v>
      </c>
      <c r="BS86" s="1394">
        <v>106</v>
      </c>
      <c r="CX86" s="869" t="s">
        <v>43</v>
      </c>
      <c r="CY86" s="980"/>
      <c r="CZ86" s="960"/>
      <c r="DA86" s="960"/>
    </row>
    <row r="87" spans="1:106" ht="21.9" customHeight="1" x14ac:dyDescent="0.35">
      <c r="A87" s="1076" t="s">
        <v>1142</v>
      </c>
      <c r="B87" s="404"/>
      <c r="C87" s="396"/>
      <c r="D87" s="403"/>
      <c r="E87" s="404"/>
      <c r="F87" s="405" t="s">
        <v>1704</v>
      </c>
      <c r="G87" s="403"/>
      <c r="H87" s="406">
        <v>303</v>
      </c>
      <c r="I87" s="1065">
        <v>2</v>
      </c>
      <c r="J87" s="1066">
        <v>1</v>
      </c>
      <c r="K87" s="407"/>
      <c r="L87" s="408"/>
      <c r="M87" s="407"/>
      <c r="N87" s="408"/>
      <c r="O87" s="408"/>
      <c r="P87" s="408"/>
      <c r="Q87" s="408"/>
      <c r="R87" s="408"/>
      <c r="S87" s="408"/>
      <c r="T87" s="734"/>
      <c r="U87" s="736"/>
      <c r="V87" s="413"/>
      <c r="W87" s="1533"/>
      <c r="X87" s="405"/>
      <c r="Y87" s="405"/>
      <c r="Z87" s="1530"/>
      <c r="AA87" s="1531"/>
      <c r="AB87" s="406"/>
      <c r="AC87" s="1532"/>
      <c r="AD87" s="2194"/>
      <c r="AE87" s="2195"/>
      <c r="AF87" s="407"/>
      <c r="AG87" s="403"/>
      <c r="AH87" s="12"/>
      <c r="AI87" s="1076" t="s">
        <v>1155</v>
      </c>
      <c r="AJ87" s="356"/>
      <c r="AK87" s="228"/>
      <c r="AL87" s="403"/>
      <c r="AM87" s="404"/>
      <c r="AN87" s="340" t="s">
        <v>960</v>
      </c>
      <c r="AO87" s="403"/>
      <c r="AP87" s="406">
        <v>312</v>
      </c>
      <c r="AQ87" s="1501">
        <v>2</v>
      </c>
      <c r="AR87" s="1502">
        <v>5</v>
      </c>
      <c r="AS87" s="407"/>
      <c r="AT87" s="340" t="s">
        <v>960</v>
      </c>
      <c r="AU87" s="407"/>
      <c r="AV87" s="408"/>
      <c r="AW87" s="408"/>
      <c r="AX87" s="408"/>
      <c r="AY87" s="408"/>
      <c r="AZ87" s="408"/>
      <c r="BA87" s="340" t="s">
        <v>960</v>
      </c>
      <c r="BB87" s="734"/>
      <c r="BC87" s="736"/>
      <c r="BD87" s="413"/>
      <c r="BE87" s="523"/>
      <c r="BF87" s="340"/>
      <c r="BG87" s="340"/>
      <c r="BH87" s="520"/>
      <c r="BI87" s="521"/>
      <c r="BJ87" s="519"/>
      <c r="BK87" s="522"/>
      <c r="BL87" s="1853"/>
      <c r="BM87" s="1854"/>
      <c r="BN87" s="437"/>
      <c r="BO87" s="341"/>
      <c r="BP87" s="6"/>
      <c r="CX87" s="997" t="s">
        <v>997</v>
      </c>
      <c r="CY87" s="981"/>
      <c r="CZ87" s="960"/>
      <c r="DA87" s="870">
        <f t="shared" ref="DA87:DA96" si="20">AVERAGE(AK111:AZ111)</f>
        <v>155.44444444444446</v>
      </c>
    </row>
    <row r="88" spans="1:106" ht="21.9" customHeight="1" x14ac:dyDescent="0.35">
      <c r="A88" s="1076" t="s">
        <v>1143</v>
      </c>
      <c r="B88" s="414"/>
      <c r="C88" s="415"/>
      <c r="D88" s="403"/>
      <c r="E88" s="1632">
        <v>16.399999999999999</v>
      </c>
      <c r="F88" s="1633">
        <v>19.100000000000001</v>
      </c>
      <c r="G88" s="403">
        <v>17.3</v>
      </c>
      <c r="H88" s="406">
        <v>307</v>
      </c>
      <c r="I88" s="1065">
        <v>2</v>
      </c>
      <c r="J88" s="1066">
        <v>4</v>
      </c>
      <c r="K88" s="407">
        <v>0.06</v>
      </c>
      <c r="L88" s="409">
        <v>0.06</v>
      </c>
      <c r="M88" s="407"/>
      <c r="N88" s="408"/>
      <c r="O88" s="408"/>
      <c r="P88" s="408"/>
      <c r="Q88" s="408">
        <v>7.0000000000000007E-2</v>
      </c>
      <c r="R88" s="408">
        <v>0.06</v>
      </c>
      <c r="S88" s="408">
        <v>0.06</v>
      </c>
      <c r="T88" s="734">
        <v>0.06</v>
      </c>
      <c r="U88" s="736"/>
      <c r="V88" s="413"/>
      <c r="W88" s="1533"/>
      <c r="X88" s="396"/>
      <c r="Y88" s="396"/>
      <c r="Z88" s="1530"/>
      <c r="AA88" s="1531"/>
      <c r="AB88" s="406"/>
      <c r="AC88" s="1532"/>
      <c r="AD88" s="2194"/>
      <c r="AE88" s="2195"/>
      <c r="AF88" s="407"/>
      <c r="AG88" s="403"/>
      <c r="AH88" s="12"/>
      <c r="AI88" s="1076" t="s">
        <v>1156</v>
      </c>
      <c r="AJ88" s="414"/>
      <c r="AK88" s="415"/>
      <c r="AL88" s="403"/>
      <c r="AM88" s="404"/>
      <c r="AN88" s="405"/>
      <c r="AO88" s="403"/>
      <c r="AP88" s="406">
        <v>304</v>
      </c>
      <c r="AQ88" s="1501">
        <v>2</v>
      </c>
      <c r="AR88" s="1502">
        <v>5</v>
      </c>
      <c r="AS88" s="407">
        <v>0.06</v>
      </c>
      <c r="AT88" s="409">
        <v>0.06</v>
      </c>
      <c r="AU88" s="407">
        <v>7.0000000000000007E-2</v>
      </c>
      <c r="AV88" s="408"/>
      <c r="AW88" s="408"/>
      <c r="AX88" s="408"/>
      <c r="AY88" s="408"/>
      <c r="AZ88" s="408"/>
      <c r="BA88" s="408"/>
      <c r="BB88" s="734"/>
      <c r="BC88" s="736"/>
      <c r="BD88" s="413"/>
      <c r="BE88" s="523"/>
      <c r="BF88" s="395"/>
      <c r="BG88" s="395"/>
      <c r="BH88" s="520"/>
      <c r="BI88" s="521"/>
      <c r="BJ88" s="519"/>
      <c r="BK88" s="522"/>
      <c r="BL88" s="1853"/>
      <c r="BM88" s="1854"/>
      <c r="BN88" s="437"/>
      <c r="BO88" s="341"/>
      <c r="BP88" s="6"/>
      <c r="CX88" s="871" t="s">
        <v>272</v>
      </c>
      <c r="CY88" s="872"/>
      <c r="CZ88" s="960"/>
      <c r="DA88" s="870">
        <f t="shared" si="20"/>
        <v>97.333333333333329</v>
      </c>
    </row>
    <row r="89" spans="1:106" ht="21.9" customHeight="1" thickBot="1" x14ac:dyDescent="0.4">
      <c r="A89" s="1076" t="s">
        <v>1144</v>
      </c>
      <c r="B89" s="414"/>
      <c r="C89" s="415"/>
      <c r="D89" s="416"/>
      <c r="E89" s="848"/>
      <c r="F89" s="405" t="s">
        <v>1704</v>
      </c>
      <c r="G89" s="1509"/>
      <c r="H89" s="417">
        <v>306</v>
      </c>
      <c r="I89" s="1065">
        <v>2</v>
      </c>
      <c r="J89" s="1066">
        <v>4</v>
      </c>
      <c r="K89" s="948"/>
      <c r="L89" s="949"/>
      <c r="M89" s="948"/>
      <c r="N89" s="949"/>
      <c r="O89" s="949"/>
      <c r="P89" s="949"/>
      <c r="Q89" s="949"/>
      <c r="R89" s="949"/>
      <c r="S89" s="949"/>
      <c r="T89" s="950"/>
      <c r="U89" s="727"/>
      <c r="V89" s="418"/>
      <c r="W89" s="1534"/>
      <c r="X89" s="1535"/>
      <c r="Y89" s="1535"/>
      <c r="Z89" s="1536"/>
      <c r="AA89" s="1537"/>
      <c r="AB89" s="1538"/>
      <c r="AC89" s="1538"/>
      <c r="AD89" s="2249"/>
      <c r="AE89" s="2250"/>
      <c r="AF89" s="1539"/>
      <c r="AG89" s="1509"/>
      <c r="AH89" s="12"/>
      <c r="AI89" s="1076" t="s">
        <v>1157</v>
      </c>
      <c r="AJ89" s="414"/>
      <c r="AK89" s="415"/>
      <c r="AL89" s="524"/>
      <c r="AM89" s="848"/>
      <c r="AN89" s="340" t="s">
        <v>960</v>
      </c>
      <c r="AO89" s="964"/>
      <c r="AP89" s="417">
        <v>303</v>
      </c>
      <c r="AQ89" s="1501">
        <v>2</v>
      </c>
      <c r="AR89" s="1502">
        <v>5</v>
      </c>
      <c r="AS89" s="948"/>
      <c r="AT89" s="340" t="s">
        <v>960</v>
      </c>
      <c r="AU89" s="948"/>
      <c r="AV89" s="949"/>
      <c r="AW89" s="949"/>
      <c r="AX89" s="949"/>
      <c r="AY89" s="949"/>
      <c r="AZ89" s="949"/>
      <c r="BA89" s="340" t="s">
        <v>960</v>
      </c>
      <c r="BB89" s="950"/>
      <c r="BC89" s="727"/>
      <c r="BD89" s="418"/>
      <c r="BE89" s="526"/>
      <c r="BF89" s="527"/>
      <c r="BG89" s="527"/>
      <c r="BH89" s="528"/>
      <c r="BI89" s="529"/>
      <c r="BJ89" s="530"/>
      <c r="BK89" s="530"/>
      <c r="BL89" s="2181"/>
      <c r="BM89" s="2182"/>
      <c r="BN89" s="445"/>
      <c r="BO89" s="525"/>
      <c r="BP89" s="6"/>
      <c r="BZ89" s="960"/>
      <c r="CX89" s="982" t="s">
        <v>8</v>
      </c>
      <c r="CY89" s="973"/>
      <c r="CZ89" s="960"/>
      <c r="DA89" s="870">
        <f t="shared" si="20"/>
        <v>-1</v>
      </c>
    </row>
    <row r="90" spans="1:106" ht="21.9" customHeight="1" thickBot="1" x14ac:dyDescent="0.4">
      <c r="A90" s="42" t="s">
        <v>28</v>
      </c>
      <c r="B90" s="420">
        <f>ROUND(AVERAGE(B78:B89),1)</f>
        <v>13.7</v>
      </c>
      <c r="C90" s="388">
        <f>ROUND(AVERAGE(C78:C89),2)</f>
        <v>0.06</v>
      </c>
      <c r="D90" s="421">
        <v>18.3</v>
      </c>
      <c r="E90" s="420">
        <f>ROUND(AVERAGE(E78:E89),1)</f>
        <v>16.100000000000001</v>
      </c>
      <c r="F90" s="420">
        <f>ROUND(AVERAGE(F78:F89),1)</f>
        <v>17.100000000000001</v>
      </c>
      <c r="G90" s="420">
        <f>ROUND(AVERAGE(G78:G89),1)</f>
        <v>16.399999999999999</v>
      </c>
      <c r="H90" s="309">
        <f>ROUND(AVERAGE(H78:H89),)</f>
        <v>305</v>
      </c>
      <c r="I90" s="420">
        <f>ROUND(AVERAGE(I78:I89),1)</f>
        <v>2</v>
      </c>
      <c r="J90" s="969">
        <f>ROUND(AVERAGE(J78:J89),1)</f>
        <v>1.5</v>
      </c>
      <c r="K90" s="1571">
        <f>COUNT(K78:L89)</f>
        <v>12</v>
      </c>
      <c r="L90" s="942">
        <f>ROUND(AVERAGE(K78:L89),2)</f>
        <v>0.08</v>
      </c>
      <c r="M90" s="941">
        <f>COUNT(M78:T89)</f>
        <v>9</v>
      </c>
      <c r="N90" s="942">
        <f>ROUND(AVERAGE(M78:T89),2)</f>
        <v>0.06</v>
      </c>
      <c r="O90" s="379"/>
      <c r="P90" s="374"/>
      <c r="Q90" s="976" t="s">
        <v>80</v>
      </c>
      <c r="R90" s="943">
        <f>ROUND((((F91*6.5)/(I91/I90))+((G90*J90)/COUNT(H78:H89)))/(6.5/(I91/I90)+(J90/COUNT(H78:H89))),1)</f>
        <v>16.600000000000001</v>
      </c>
      <c r="S90" s="423"/>
      <c r="T90" s="944"/>
      <c r="U90" s="1879">
        <f>ROUND(AVERAGE(U78:V89),4)</f>
        <v>1E-3</v>
      </c>
      <c r="V90" s="1880"/>
      <c r="W90" s="975"/>
      <c r="X90" s="420" t="e">
        <f>ROUND(AVERAGE(W78:Y89),1)</f>
        <v>#DIV/0!</v>
      </c>
      <c r="Y90" s="856"/>
      <c r="Z90" s="420">
        <f>AVERAGE(Z78:Z89)</f>
        <v>16</v>
      </c>
      <c r="AA90" s="424">
        <f>ROUND(AVERAGE(AA78:AA89),1)</f>
        <v>70</v>
      </c>
      <c r="AB90" s="420">
        <f>ROUND(AVERAGE(AB78:AB89),1)</f>
        <v>81</v>
      </c>
      <c r="AC90" s="420">
        <f>ROUND(AVERAGE(AC78:AC89),1)</f>
        <v>86</v>
      </c>
      <c r="AD90" s="2179">
        <f>ROUND(AVERAGE(AD78:AE89),1)</f>
        <v>55</v>
      </c>
      <c r="AE90" s="2180"/>
      <c r="AF90" s="425" t="e">
        <f>ROUND(AVERAGE(AF78:AF89),2)</f>
        <v>#DIV/0!</v>
      </c>
      <c r="AG90" s="420">
        <f>ROUND(AVERAGE(AG78:AG89),1)</f>
        <v>37.799999999999997</v>
      </c>
      <c r="AH90" s="12"/>
      <c r="AI90" s="34" t="s">
        <v>28</v>
      </c>
      <c r="AJ90" s="420">
        <f>ROUND(AVERAGE(AJ78:AJ89),1)</f>
        <v>12.9</v>
      </c>
      <c r="AK90" s="388">
        <f>ROUND(AVERAGE(AK78:AK89),2)</f>
        <v>0.06</v>
      </c>
      <c r="AL90" s="381">
        <v>16.100000000000001</v>
      </c>
      <c r="AM90" s="420">
        <f>ROUND(AVERAGE(AM78:AM89),1)</f>
        <v>15.3</v>
      </c>
      <c r="AN90" s="420">
        <f>ROUND(AVERAGE(AN78:AN89),1)</f>
        <v>16.5</v>
      </c>
      <c r="AO90" s="420">
        <f>ROUND(AVERAGE(AO78:AO89),1)</f>
        <v>20.3</v>
      </c>
      <c r="AP90" s="309">
        <f>ROUND(AVERAGE(AP78:AP89),)</f>
        <v>307</v>
      </c>
      <c r="AQ90" s="420">
        <f>ROUND(AVERAGE(AQ78:AQ89),1)</f>
        <v>2</v>
      </c>
      <c r="AR90" s="969">
        <f>ROUND(AVERAGE(AR78:AR89),1)</f>
        <v>4.5</v>
      </c>
      <c r="AS90" s="730">
        <f>COUNT(AS78:AT89)</f>
        <v>12</v>
      </c>
      <c r="AT90" s="729">
        <f>ROUND(AVERAGE(AS78:AT89),2)</f>
        <v>7.0000000000000007E-2</v>
      </c>
      <c r="AU90" s="941">
        <f>COUNT(AU78:BB89)</f>
        <v>19</v>
      </c>
      <c r="AV90" s="942">
        <f>ROUND(AVERAGE(AU78:BB89),2)</f>
        <v>7.0000000000000007E-2</v>
      </c>
      <c r="AW90" s="379"/>
      <c r="AX90" s="374"/>
      <c r="AY90" s="976" t="s">
        <v>80</v>
      </c>
      <c r="AZ90" s="943">
        <f>ROUND((((AN91*6.5)/(AQ91/AQ90))+((AO90*AR90)/COUNT(AP78:AP89)))/(6.5/(AQ91/AQ90)+(AR90/COUNT(AP78:AP89))),1)</f>
        <v>17</v>
      </c>
      <c r="BA90" s="423"/>
      <c r="BB90" s="944"/>
      <c r="BC90" s="1879">
        <f>ROUND(AVERAGE(BC78:BD89),4)</f>
        <v>5.9999999999999995E-4</v>
      </c>
      <c r="BD90" s="1880"/>
      <c r="BE90" s="975"/>
      <c r="BF90" s="420" t="e">
        <f>ROUND(AVERAGE(BE78:BG89),1)</f>
        <v>#DIV/0!</v>
      </c>
      <c r="BG90" s="856"/>
      <c r="BH90" s="420">
        <f>AVERAGE(BH78:BH89)</f>
        <v>16</v>
      </c>
      <c r="BI90" s="424">
        <f>ROUND(AVERAGE(BI78:BI89),1)</f>
        <v>75</v>
      </c>
      <c r="BJ90" s="420">
        <f>ROUND(AVERAGE(BJ78:BJ89),1)</f>
        <v>80</v>
      </c>
      <c r="BK90" s="420">
        <f>ROUND(AVERAGE(BK78:BK89),1)</f>
        <v>82</v>
      </c>
      <c r="BL90" s="2179">
        <f>ROUND(AVERAGE(BL78:BM89),1)</f>
        <v>54.5</v>
      </c>
      <c r="BM90" s="2180"/>
      <c r="BN90" s="425" t="e">
        <f>ROUND(AVERAGE(BN78:BN89),2)</f>
        <v>#DIV/0!</v>
      </c>
      <c r="BO90" s="420">
        <f>ROUND(AVERAGE(BO78:BO89),1)</f>
        <v>35.799999999999997</v>
      </c>
      <c r="BP90" s="6"/>
      <c r="BZ90" s="2"/>
      <c r="CX90" s="982" t="s">
        <v>998</v>
      </c>
      <c r="CY90" s="973"/>
      <c r="CZ90" s="960"/>
      <c r="DA90" s="870" t="e">
        <f t="shared" si="20"/>
        <v>#DIV/0!</v>
      </c>
      <c r="DB90" s="873">
        <f>COUNT(#REF!)</f>
        <v>0</v>
      </c>
    </row>
    <row r="91" spans="1:106" ht="16.5" customHeight="1" x14ac:dyDescent="0.35">
      <c r="A91" s="122"/>
      <c r="B91" s="960"/>
      <c r="C91" s="960"/>
      <c r="D91" s="426"/>
      <c r="E91" s="427">
        <f>COUNT(E78:F89)</f>
        <v>12</v>
      </c>
      <c r="F91" s="1051">
        <f>ROUND(AVERAGE(E78:F89),1)</f>
        <v>16.600000000000001</v>
      </c>
      <c r="G91" s="428">
        <f>COUNT(G78:G89)</f>
        <v>6</v>
      </c>
      <c r="H91" s="960"/>
      <c r="I91" s="731">
        <f>COUNT(I78:I89)</f>
        <v>12</v>
      </c>
      <c r="J91" s="733"/>
      <c r="K91" s="733"/>
      <c r="L91" s="429"/>
      <c r="M91" s="429"/>
      <c r="N91" s="429"/>
      <c r="O91" s="429"/>
      <c r="P91" s="429"/>
      <c r="Q91" s="429"/>
      <c r="R91" s="429"/>
      <c r="S91" s="429"/>
      <c r="T91" s="429"/>
      <c r="U91" s="431"/>
      <c r="V91" s="429"/>
      <c r="W91" s="429"/>
      <c r="X91" s="429"/>
      <c r="Y91" s="429"/>
      <c r="Z91" s="429"/>
      <c r="AA91" s="429"/>
      <c r="AB91" s="429"/>
      <c r="AC91" s="429"/>
      <c r="AD91" s="429"/>
      <c r="AE91" s="429"/>
      <c r="AF91" s="429"/>
      <c r="AG91" s="429"/>
      <c r="AH91" s="44"/>
      <c r="AJ91" s="960"/>
      <c r="AK91" s="960"/>
      <c r="AL91" s="426"/>
      <c r="AM91" s="427">
        <f>COUNT(AM78:AN89)</f>
        <v>6</v>
      </c>
      <c r="AN91" s="1051">
        <f>ROUND(AVERAGE(AM78:AN89),1)</f>
        <v>15.9</v>
      </c>
      <c r="AO91" s="428">
        <f>COUNT(AO78:AO89)</f>
        <v>3</v>
      </c>
      <c r="AP91" s="960"/>
      <c r="AQ91" s="731">
        <f>COUNT(AQ78:AQ89)</f>
        <v>12</v>
      </c>
      <c r="AR91" s="733"/>
      <c r="AS91" s="733"/>
      <c r="AT91" s="429"/>
      <c r="AU91" s="429"/>
      <c r="AV91" s="429"/>
      <c r="AW91" s="429"/>
      <c r="AX91" s="429"/>
      <c r="AY91" s="429"/>
      <c r="AZ91" s="429"/>
      <c r="BA91" s="429"/>
      <c r="BB91" s="429"/>
      <c r="BC91" s="431"/>
      <c r="BD91" s="429"/>
      <c r="BE91" s="429"/>
      <c r="BF91" s="429"/>
      <c r="BG91" s="429"/>
      <c r="BH91" s="429"/>
      <c r="BI91" s="429"/>
      <c r="BJ91" s="429"/>
      <c r="BK91" s="429"/>
      <c r="BL91" s="429"/>
      <c r="BM91" s="429"/>
      <c r="BN91" s="429"/>
      <c r="BO91" s="429"/>
      <c r="BP91" s="6"/>
      <c r="CX91" s="982"/>
      <c r="CY91" s="874" t="s">
        <v>783</v>
      </c>
      <c r="CZ91" s="960"/>
      <c r="DA91" s="870">
        <f t="shared" si="20"/>
        <v>428.11111111111109</v>
      </c>
      <c r="DB91" s="873">
        <f>COUNT(#REF!)</f>
        <v>0</v>
      </c>
    </row>
    <row r="92" spans="1:106" ht="21.9" customHeight="1" thickBot="1" x14ac:dyDescent="0.45">
      <c r="A92" s="2248" t="s">
        <v>418</v>
      </c>
      <c r="B92" s="2248"/>
      <c r="C92" s="2248"/>
      <c r="D92" s="2248"/>
      <c r="E92" s="2248"/>
      <c r="F92" s="2248"/>
      <c r="G92" s="2248"/>
      <c r="H92" s="2248"/>
      <c r="I92" s="2248"/>
      <c r="J92" s="2248"/>
      <c r="K92" s="2248"/>
      <c r="L92" s="2248"/>
      <c r="M92" s="2248"/>
      <c r="N92" s="2248"/>
      <c r="O92" s="2248"/>
      <c r="P92" s="2248"/>
      <c r="Q92" s="2248"/>
      <c r="R92" s="2248"/>
      <c r="S92" s="2248"/>
      <c r="T92" s="2266"/>
      <c r="U92" s="2266"/>
      <c r="V92" s="2266"/>
      <c r="W92" s="2266"/>
      <c r="X92" s="2266"/>
      <c r="Y92" s="2266"/>
      <c r="Z92" s="2266"/>
      <c r="AA92" s="2266"/>
      <c r="AB92" s="2266"/>
      <c r="AC92" s="2266"/>
      <c r="AD92" s="2266"/>
      <c r="AE92" s="98"/>
      <c r="AF92" s="98"/>
      <c r="AG92" s="122"/>
      <c r="AH92" s="12"/>
      <c r="AI92" s="2197" t="s">
        <v>418</v>
      </c>
      <c r="AJ92" s="2197"/>
      <c r="AK92" s="2197"/>
      <c r="AL92" s="2197"/>
      <c r="AM92" s="2197"/>
      <c r="AN92" s="2197"/>
      <c r="AO92" s="2197"/>
      <c r="AP92" s="2197"/>
      <c r="AQ92" s="2197"/>
      <c r="AR92" s="2197"/>
      <c r="AS92" s="2197"/>
      <c r="AT92" s="2197"/>
      <c r="AU92" s="2197"/>
      <c r="AV92" s="2197"/>
      <c r="AW92" s="2197"/>
      <c r="AX92" s="2197"/>
      <c r="AY92" s="2197"/>
      <c r="AZ92" s="2197"/>
      <c r="BA92" s="2197"/>
      <c r="BB92" s="199"/>
      <c r="BC92" s="199"/>
      <c r="BD92" s="199"/>
      <c r="BE92" s="199"/>
      <c r="BF92" s="199"/>
      <c r="BG92" s="199"/>
      <c r="BH92" s="199"/>
      <c r="BI92" s="199"/>
      <c r="BJ92" s="199"/>
      <c r="BK92" s="199"/>
      <c r="BL92" s="199"/>
      <c r="BM92" s="98"/>
      <c r="BN92" s="98"/>
      <c r="BP92" s="6"/>
      <c r="CX92" s="982" t="s">
        <v>999</v>
      </c>
      <c r="CY92" s="973"/>
      <c r="CZ92" s="960"/>
      <c r="DA92" s="870" t="e">
        <f t="shared" si="20"/>
        <v>#DIV/0!</v>
      </c>
      <c r="DB92" s="873">
        <f>COUNT(#REF!,AJ114:AY114,BS114:CH114)</f>
        <v>0</v>
      </c>
    </row>
    <row r="93" spans="1:106" ht="26.25" customHeight="1" thickBot="1" x14ac:dyDescent="0.4">
      <c r="A93" s="760"/>
      <c r="B93" s="1857" t="s">
        <v>174</v>
      </c>
      <c r="C93" s="1858"/>
      <c r="D93" s="1858"/>
      <c r="E93" s="1858"/>
      <c r="F93" s="1857" t="s">
        <v>161</v>
      </c>
      <c r="G93" s="1858"/>
      <c r="H93" s="1858"/>
      <c r="I93" s="1859"/>
      <c r="J93" s="1857" t="s">
        <v>349</v>
      </c>
      <c r="K93" s="1858"/>
      <c r="L93" s="1858"/>
      <c r="M93" s="1859"/>
      <c r="N93" s="1857" t="s">
        <v>750</v>
      </c>
      <c r="O93" s="1858"/>
      <c r="P93" s="1858"/>
      <c r="Q93" s="1859"/>
      <c r="R93" s="1857" t="s">
        <v>162</v>
      </c>
      <c r="S93" s="1858"/>
      <c r="T93" s="1858"/>
      <c r="U93" s="1859"/>
      <c r="V93" s="1857" t="s">
        <v>407</v>
      </c>
      <c r="W93" s="1858"/>
      <c r="X93" s="1858"/>
      <c r="Y93" s="1859"/>
      <c r="Z93" s="2183" t="s">
        <v>57</v>
      </c>
      <c r="AA93" s="2184"/>
      <c r="AB93" s="2184"/>
      <c r="AC93" s="2185"/>
      <c r="AD93" s="2239" t="s">
        <v>39</v>
      </c>
      <c r="AE93" s="2240"/>
      <c r="AF93" s="2240"/>
      <c r="AG93" s="2241"/>
      <c r="AH93" s="16"/>
      <c r="AI93" s="760"/>
      <c r="AJ93" s="1857" t="s">
        <v>174</v>
      </c>
      <c r="AK93" s="1858"/>
      <c r="AL93" s="1858"/>
      <c r="AM93" s="1858"/>
      <c r="AN93" s="1857" t="s">
        <v>161</v>
      </c>
      <c r="AO93" s="1858"/>
      <c r="AP93" s="1858"/>
      <c r="AQ93" s="1859"/>
      <c r="AR93" s="1857" t="s">
        <v>349</v>
      </c>
      <c r="AS93" s="1858"/>
      <c r="AT93" s="1858"/>
      <c r="AU93" s="1859"/>
      <c r="AV93" s="1857" t="s">
        <v>750</v>
      </c>
      <c r="AW93" s="1858"/>
      <c r="AX93" s="1858"/>
      <c r="AY93" s="1859"/>
      <c r="AZ93" s="1857" t="s">
        <v>162</v>
      </c>
      <c r="BA93" s="1858"/>
      <c r="BB93" s="1858"/>
      <c r="BC93" s="1859"/>
      <c r="BD93" s="1857" t="s">
        <v>407</v>
      </c>
      <c r="BE93" s="1858"/>
      <c r="BF93" s="1858"/>
      <c r="BG93" s="1859"/>
      <c r="BH93" s="2183" t="s">
        <v>57</v>
      </c>
      <c r="BI93" s="2184"/>
      <c r="BJ93" s="2184"/>
      <c r="BK93" s="2185"/>
      <c r="BL93" s="1052" t="s">
        <v>1120</v>
      </c>
      <c r="BM93" s="1052" t="s">
        <v>1121</v>
      </c>
      <c r="BN93" s="585"/>
      <c r="BO93" s="586"/>
      <c r="BP93" s="6"/>
      <c r="CX93" s="982" t="s">
        <v>1000</v>
      </c>
      <c r="CY93" s="973"/>
      <c r="CZ93" s="960"/>
      <c r="DA93" s="870">
        <f t="shared" si="20"/>
        <v>163.44444444444446</v>
      </c>
      <c r="DB93" s="873">
        <f>COUNT(#REF!,AJ115:AY115,BS115:CH115)</f>
        <v>8</v>
      </c>
    </row>
    <row r="94" spans="1:106" s="68" customFormat="1" ht="42" customHeight="1" thickBot="1" x14ac:dyDescent="0.3">
      <c r="A94" s="834" t="s">
        <v>1059</v>
      </c>
      <c r="B94" s="97" t="s">
        <v>768</v>
      </c>
      <c r="C94" s="584" t="s">
        <v>626</v>
      </c>
      <c r="D94" s="584" t="s">
        <v>627</v>
      </c>
      <c r="E94" s="761" t="s">
        <v>625</v>
      </c>
      <c r="F94" s="97" t="s">
        <v>768</v>
      </c>
      <c r="G94" s="584" t="s">
        <v>626</v>
      </c>
      <c r="H94" s="584" t="s">
        <v>627</v>
      </c>
      <c r="I94" s="118" t="s">
        <v>625</v>
      </c>
      <c r="J94" s="97" t="s">
        <v>768</v>
      </c>
      <c r="K94" s="584" t="s">
        <v>626</v>
      </c>
      <c r="L94" s="584" t="s">
        <v>627</v>
      </c>
      <c r="M94" s="118" t="s">
        <v>625</v>
      </c>
      <c r="N94" s="97" t="s">
        <v>768</v>
      </c>
      <c r="O94" s="584" t="s">
        <v>626</v>
      </c>
      <c r="P94" s="584" t="s">
        <v>627</v>
      </c>
      <c r="Q94" s="118" t="s">
        <v>625</v>
      </c>
      <c r="R94" s="97" t="s">
        <v>768</v>
      </c>
      <c r="S94" s="584" t="s">
        <v>626</v>
      </c>
      <c r="T94" s="584" t="s">
        <v>627</v>
      </c>
      <c r="U94" s="118" t="s">
        <v>625</v>
      </c>
      <c r="V94" s="97" t="s">
        <v>768</v>
      </c>
      <c r="W94" s="584" t="s">
        <v>626</v>
      </c>
      <c r="X94" s="584" t="s">
        <v>627</v>
      </c>
      <c r="Y94" s="118" t="s">
        <v>625</v>
      </c>
      <c r="Z94" s="97" t="s">
        <v>768</v>
      </c>
      <c r="AA94" s="584" t="s">
        <v>626</v>
      </c>
      <c r="AB94" s="584" t="s">
        <v>627</v>
      </c>
      <c r="AC94" s="118" t="s">
        <v>625</v>
      </c>
      <c r="AD94" s="1663" t="s">
        <v>1720</v>
      </c>
      <c r="AE94" s="1664"/>
      <c r="AF94" s="1664"/>
      <c r="AG94" s="1665"/>
      <c r="AH94" s="45"/>
      <c r="AI94" s="834" t="s">
        <v>1059</v>
      </c>
      <c r="AJ94" s="97" t="s">
        <v>768</v>
      </c>
      <c r="AK94" s="584" t="s">
        <v>626</v>
      </c>
      <c r="AL94" s="584" t="s">
        <v>627</v>
      </c>
      <c r="AM94" s="761" t="s">
        <v>625</v>
      </c>
      <c r="AN94" s="97" t="s">
        <v>768</v>
      </c>
      <c r="AO94" s="584" t="s">
        <v>626</v>
      </c>
      <c r="AP94" s="584" t="s">
        <v>627</v>
      </c>
      <c r="AQ94" s="118" t="s">
        <v>625</v>
      </c>
      <c r="AR94" s="97" t="s">
        <v>768</v>
      </c>
      <c r="AS94" s="584" t="s">
        <v>626</v>
      </c>
      <c r="AT94" s="584" t="s">
        <v>627</v>
      </c>
      <c r="AU94" s="118" t="s">
        <v>625</v>
      </c>
      <c r="AV94" s="97" t="s">
        <v>768</v>
      </c>
      <c r="AW94" s="584" t="s">
        <v>626</v>
      </c>
      <c r="AX94" s="584" t="s">
        <v>627</v>
      </c>
      <c r="AY94" s="118" t="s">
        <v>625</v>
      </c>
      <c r="AZ94" s="97" t="s">
        <v>768</v>
      </c>
      <c r="BA94" s="584" t="s">
        <v>626</v>
      </c>
      <c r="BB94" s="584" t="s">
        <v>627</v>
      </c>
      <c r="BC94" s="118" t="s">
        <v>625</v>
      </c>
      <c r="BD94" s="97" t="s">
        <v>768</v>
      </c>
      <c r="BE94" s="584" t="s">
        <v>626</v>
      </c>
      <c r="BF94" s="584" t="s">
        <v>627</v>
      </c>
      <c r="BG94" s="118" t="s">
        <v>625</v>
      </c>
      <c r="BH94" s="97" t="s">
        <v>768</v>
      </c>
      <c r="BI94" s="584" t="s">
        <v>626</v>
      </c>
      <c r="BJ94" s="584" t="s">
        <v>627</v>
      </c>
      <c r="BK94" s="118" t="s">
        <v>625</v>
      </c>
      <c r="BL94" s="1053" t="s">
        <v>803</v>
      </c>
      <c r="BM94" s="1053" t="s">
        <v>803</v>
      </c>
      <c r="BN94" s="835"/>
      <c r="BO94" s="836"/>
      <c r="BP94" s="837"/>
      <c r="BQ94" s="838"/>
      <c r="CX94" s="1912" t="s">
        <v>273</v>
      </c>
      <c r="CY94" s="1913"/>
      <c r="CZ94" s="875"/>
      <c r="DA94" s="876" t="e">
        <f t="shared" si="20"/>
        <v>#DIV/0!</v>
      </c>
      <c r="DB94" s="877"/>
    </row>
    <row r="95" spans="1:106" ht="21.9" customHeight="1" x14ac:dyDescent="0.35">
      <c r="A95" s="1076" t="s">
        <v>1133</v>
      </c>
      <c r="B95" s="402"/>
      <c r="C95" s="353" t="s">
        <v>1716</v>
      </c>
      <c r="D95" s="1029"/>
      <c r="E95" s="436"/>
      <c r="F95" s="407" t="s">
        <v>967</v>
      </c>
      <c r="G95" s="1516">
        <v>99.33</v>
      </c>
      <c r="H95" s="1516">
        <v>0.14000000000000001</v>
      </c>
      <c r="I95" s="1540">
        <v>2.8999999999999998E-3</v>
      </c>
      <c r="J95" s="407" t="s">
        <v>967</v>
      </c>
      <c r="K95" s="1516">
        <v>99.33</v>
      </c>
      <c r="L95" s="1516">
        <v>0.14000000000000001</v>
      </c>
      <c r="M95" s="1540">
        <v>2.7000000000000001E-3</v>
      </c>
      <c r="N95" s="407"/>
      <c r="O95" s="1516"/>
      <c r="P95" s="1516"/>
      <c r="Q95" s="1540"/>
      <c r="R95" s="407" t="s">
        <v>967</v>
      </c>
      <c r="S95" s="1516">
        <v>99.33</v>
      </c>
      <c r="T95" s="1516">
        <v>0.14000000000000001</v>
      </c>
      <c r="U95" s="1540">
        <v>2E-3</v>
      </c>
      <c r="V95" s="407" t="s">
        <v>967</v>
      </c>
      <c r="W95" s="1516">
        <v>99.33</v>
      </c>
      <c r="X95" s="1516">
        <v>0.14000000000000001</v>
      </c>
      <c r="Y95" s="1540">
        <v>2.2000000000000001E-3</v>
      </c>
      <c r="Z95" s="437"/>
      <c r="AA95" s="353"/>
      <c r="AB95" s="353"/>
      <c r="AC95" s="436"/>
      <c r="AD95" s="1642" t="s">
        <v>1721</v>
      </c>
      <c r="AE95" s="1619">
        <v>36</v>
      </c>
      <c r="AF95" s="353"/>
      <c r="AG95" s="401"/>
      <c r="AH95" s="12"/>
      <c r="AI95" s="1076" t="s">
        <v>1146</v>
      </c>
      <c r="AJ95" s="402" t="s">
        <v>1716</v>
      </c>
      <c r="AK95" s="353"/>
      <c r="AL95" s="353"/>
      <c r="AM95" s="436"/>
      <c r="AN95" s="437" t="s">
        <v>1729</v>
      </c>
      <c r="AO95" s="1029">
        <v>99.33</v>
      </c>
      <c r="AP95" s="1029">
        <v>0.15</v>
      </c>
      <c r="AQ95" s="436">
        <v>1.6999999999999999E-3</v>
      </c>
      <c r="AR95" s="437" t="s">
        <v>1729</v>
      </c>
      <c r="AS95" s="1029">
        <v>99.33</v>
      </c>
      <c r="AT95" s="1648">
        <v>0.16</v>
      </c>
      <c r="AU95" s="436">
        <v>2.2000000000000001E-3</v>
      </c>
      <c r="AV95" s="437"/>
      <c r="AW95" s="1029"/>
      <c r="AX95" s="1029"/>
      <c r="AY95" s="436"/>
      <c r="AZ95" s="437" t="s">
        <v>1729</v>
      </c>
      <c r="BA95" s="1029">
        <v>99.33</v>
      </c>
      <c r="BB95" s="1648">
        <v>0.16</v>
      </c>
      <c r="BC95" s="436">
        <v>1.8E-3</v>
      </c>
      <c r="BD95" s="437" t="s">
        <v>1729</v>
      </c>
      <c r="BE95" s="1029">
        <v>99.33</v>
      </c>
      <c r="BF95" s="1648">
        <v>0.17</v>
      </c>
      <c r="BG95" s="436">
        <v>2E-3</v>
      </c>
      <c r="BH95" s="437"/>
      <c r="BI95" s="353"/>
      <c r="BJ95" s="353"/>
      <c r="BK95" s="507"/>
      <c r="BL95" s="348"/>
      <c r="BM95" s="401"/>
      <c r="BN95" s="229"/>
      <c r="BO95" s="227"/>
      <c r="BP95" s="6"/>
      <c r="CX95" s="878"/>
      <c r="CY95" s="879" t="s">
        <v>274</v>
      </c>
      <c r="CZ95" s="960"/>
      <c r="DA95" s="870">
        <f t="shared" si="20"/>
        <v>540</v>
      </c>
      <c r="DB95" s="873">
        <f>COUNT(#REF!,AJ117:AY117,BS117:CH117)</f>
        <v>8</v>
      </c>
    </row>
    <row r="96" spans="1:106" ht="21.9" customHeight="1" thickBot="1" x14ac:dyDescent="0.4">
      <c r="A96" s="1077" t="s">
        <v>1134</v>
      </c>
      <c r="B96" s="412"/>
      <c r="C96" s="360"/>
      <c r="D96" s="360"/>
      <c r="E96" s="438"/>
      <c r="F96" s="407"/>
      <c r="G96" s="1516"/>
      <c r="H96" s="1516"/>
      <c r="I96" s="413"/>
      <c r="J96" s="407"/>
      <c r="K96" s="1516"/>
      <c r="L96" s="1516"/>
      <c r="M96" s="413"/>
      <c r="N96" s="407"/>
      <c r="O96" s="408"/>
      <c r="P96" s="408"/>
      <c r="Q96" s="413"/>
      <c r="R96" s="407" t="s">
        <v>967</v>
      </c>
      <c r="S96" s="1516">
        <v>99.33</v>
      </c>
      <c r="T96" s="1516">
        <v>0.14000000000000001</v>
      </c>
      <c r="U96" s="413"/>
      <c r="V96" s="407" t="s">
        <v>967</v>
      </c>
      <c r="W96" s="1516">
        <v>99.33</v>
      </c>
      <c r="X96" s="1516">
        <v>0.14000000000000001</v>
      </c>
      <c r="Y96" s="1540">
        <v>2.3E-3</v>
      </c>
      <c r="Z96" s="437"/>
      <c r="AA96" s="439"/>
      <c r="AB96" s="439"/>
      <c r="AC96" s="438"/>
      <c r="AD96" s="412"/>
      <c r="AE96" s="362"/>
      <c r="AF96" s="360"/>
      <c r="AG96" s="411"/>
      <c r="AH96" s="11"/>
      <c r="AI96" s="1076" t="s">
        <v>1147</v>
      </c>
      <c r="AJ96" s="412"/>
      <c r="AK96" s="360"/>
      <c r="AL96" s="360"/>
      <c r="AM96" s="438"/>
      <c r="AN96" s="437" t="s">
        <v>1729</v>
      </c>
      <c r="AO96" s="1029">
        <v>99.33</v>
      </c>
      <c r="AP96" s="1648">
        <v>0.16</v>
      </c>
      <c r="AQ96" s="440"/>
      <c r="AR96" s="437" t="s">
        <v>1729</v>
      </c>
      <c r="AS96" s="1029">
        <v>99.33</v>
      </c>
      <c r="AT96" s="1648">
        <v>0.16</v>
      </c>
      <c r="AU96" s="440"/>
      <c r="AV96" s="437"/>
      <c r="AW96" s="439"/>
      <c r="AX96" s="439"/>
      <c r="AY96" s="440"/>
      <c r="AZ96" s="437" t="s">
        <v>1729</v>
      </c>
      <c r="BA96" s="1029">
        <v>99.33</v>
      </c>
      <c r="BB96" s="1648">
        <v>0.16</v>
      </c>
      <c r="BC96" s="440"/>
      <c r="BD96" s="437" t="s">
        <v>1729</v>
      </c>
      <c r="BE96" s="1029">
        <v>99.33</v>
      </c>
      <c r="BF96" s="1648">
        <v>0.16</v>
      </c>
      <c r="BG96" s="440">
        <v>1.9E-3</v>
      </c>
      <c r="BH96" s="437"/>
      <c r="BI96" s="439"/>
      <c r="BJ96" s="439"/>
      <c r="BK96" s="440"/>
      <c r="BL96" s="348"/>
      <c r="BM96" s="401"/>
      <c r="BN96" s="229"/>
      <c r="BO96" s="227"/>
      <c r="BP96" s="6"/>
      <c r="BR96" s="1923"/>
      <c r="BS96" s="1969"/>
      <c r="BT96" s="1971"/>
      <c r="BU96" s="1971"/>
      <c r="BV96" s="1971"/>
      <c r="BW96" s="1971"/>
      <c r="BX96" s="1971"/>
      <c r="BY96" s="1971"/>
      <c r="CX96" s="1927" t="s">
        <v>275</v>
      </c>
      <c r="CY96" s="1928"/>
      <c r="CZ96" s="960"/>
      <c r="DA96" s="870">
        <f t="shared" si="20"/>
        <v>-4.666666666666667</v>
      </c>
      <c r="DB96" s="873"/>
    </row>
    <row r="97" spans="1:106" ht="21.9" customHeight="1" x14ac:dyDescent="0.35">
      <c r="A97" s="1076" t="s">
        <v>1135</v>
      </c>
      <c r="B97" s="412"/>
      <c r="C97" s="360"/>
      <c r="D97" s="360"/>
      <c r="E97" s="438"/>
      <c r="F97" s="407" t="s">
        <v>967</v>
      </c>
      <c r="G97" s="1516">
        <v>99.33</v>
      </c>
      <c r="H97" s="1516">
        <v>0.14000000000000001</v>
      </c>
      <c r="I97" s="1541"/>
      <c r="J97" s="407" t="s">
        <v>967</v>
      </c>
      <c r="K97" s="1516">
        <v>99.33</v>
      </c>
      <c r="L97" s="1516">
        <v>0.14000000000000001</v>
      </c>
      <c r="M97" s="1541"/>
      <c r="N97" s="407"/>
      <c r="O97" s="408"/>
      <c r="P97" s="408"/>
      <c r="Q97" s="413"/>
      <c r="R97" s="407" t="s">
        <v>967</v>
      </c>
      <c r="S97" s="1516">
        <v>99.33</v>
      </c>
      <c r="T97" s="1516">
        <v>0.14000000000000001</v>
      </c>
      <c r="U97" s="413"/>
      <c r="V97" s="407" t="s">
        <v>967</v>
      </c>
      <c r="W97" s="1516">
        <v>99.33</v>
      </c>
      <c r="X97" s="1516">
        <v>0.14000000000000001</v>
      </c>
      <c r="Y97" s="1540">
        <v>2.3E-3</v>
      </c>
      <c r="Z97" s="437"/>
      <c r="AA97" s="439"/>
      <c r="AB97" s="439"/>
      <c r="AC97" s="438"/>
      <c r="AD97" s="412"/>
      <c r="AE97" s="362"/>
      <c r="AF97" s="360"/>
      <c r="AG97" s="411"/>
      <c r="AH97" s="46"/>
      <c r="AI97" s="1076" t="s">
        <v>1148</v>
      </c>
      <c r="AJ97" s="412"/>
      <c r="AK97" s="360"/>
      <c r="AL97" s="360"/>
      <c r="AM97" s="438"/>
      <c r="AN97" s="437" t="s">
        <v>1729</v>
      </c>
      <c r="AO97" s="1029">
        <v>99.33</v>
      </c>
      <c r="AP97" s="1029">
        <v>0.15</v>
      </c>
      <c r="AQ97" s="440"/>
      <c r="AR97" s="437" t="s">
        <v>1729</v>
      </c>
      <c r="AS97" s="1029">
        <v>99.33</v>
      </c>
      <c r="AT97" s="1029">
        <v>0.15</v>
      </c>
      <c r="AU97" s="440"/>
      <c r="AV97" s="437"/>
      <c r="AW97" s="439"/>
      <c r="AX97" s="439"/>
      <c r="AY97" s="440"/>
      <c r="AZ97" s="437" t="s">
        <v>1729</v>
      </c>
      <c r="BA97" s="1029">
        <v>99.33</v>
      </c>
      <c r="BB97" s="1648">
        <v>0.16</v>
      </c>
      <c r="BC97" s="440"/>
      <c r="BD97" s="437" t="s">
        <v>1729</v>
      </c>
      <c r="BE97" s="1029">
        <v>99.33</v>
      </c>
      <c r="BF97" s="1648">
        <v>0.16</v>
      </c>
      <c r="BG97" s="440">
        <v>2E-3</v>
      </c>
      <c r="BH97" s="437"/>
      <c r="BI97" s="439"/>
      <c r="BJ97" s="439"/>
      <c r="BK97" s="440"/>
      <c r="BL97" s="348"/>
      <c r="BM97" s="401"/>
      <c r="BN97" s="229"/>
      <c r="BO97" s="227"/>
      <c r="BP97" s="6"/>
      <c r="BR97" s="1969"/>
      <c r="BS97" s="1969"/>
      <c r="BT97" s="1971"/>
      <c r="BU97" s="1971"/>
      <c r="BV97" s="1971"/>
      <c r="BW97" s="1971"/>
      <c r="BX97" s="1971"/>
      <c r="BY97" s="1971"/>
      <c r="CX97" s="996"/>
      <c r="CY97" s="960"/>
      <c r="CZ97" s="960"/>
      <c r="DA97" s="248"/>
      <c r="DB97" s="873"/>
    </row>
    <row r="98" spans="1:106" ht="21.9" customHeight="1" x14ac:dyDescent="0.35">
      <c r="A98" s="1076" t="s">
        <v>1136</v>
      </c>
      <c r="B98" s="412"/>
      <c r="C98" s="360"/>
      <c r="D98" s="360"/>
      <c r="E98" s="438"/>
      <c r="F98" s="407" t="s">
        <v>967</v>
      </c>
      <c r="G98" s="1516">
        <v>99.33</v>
      </c>
      <c r="H98" s="1516">
        <v>0.14000000000000001</v>
      </c>
      <c r="I98" s="1541"/>
      <c r="J98" s="407" t="s">
        <v>967</v>
      </c>
      <c r="K98" s="1516">
        <v>99.33</v>
      </c>
      <c r="L98" s="1516">
        <v>0.14000000000000001</v>
      </c>
      <c r="M98" s="1541"/>
      <c r="N98" s="407"/>
      <c r="O98" s="408"/>
      <c r="P98" s="408"/>
      <c r="Q98" s="413"/>
      <c r="R98" s="407" t="s">
        <v>967</v>
      </c>
      <c r="S98" s="1516">
        <v>99.33</v>
      </c>
      <c r="T98" s="1516">
        <v>0.14000000000000001</v>
      </c>
      <c r="U98" s="413"/>
      <c r="V98" s="407" t="s">
        <v>967</v>
      </c>
      <c r="W98" s="1516">
        <v>99.33</v>
      </c>
      <c r="X98" s="1516">
        <v>0.14000000000000001</v>
      </c>
      <c r="Y98" s="1540">
        <v>2E-3</v>
      </c>
      <c r="Z98" s="437"/>
      <c r="AA98" s="439"/>
      <c r="AB98" s="439"/>
      <c r="AC98" s="438"/>
      <c r="AD98" s="441"/>
      <c r="AE98" s="433"/>
      <c r="AF98" s="442"/>
      <c r="AG98" s="443"/>
      <c r="AH98" s="12"/>
      <c r="AI98" s="1076" t="s">
        <v>1149</v>
      </c>
      <c r="AJ98" s="412"/>
      <c r="AK98" s="360"/>
      <c r="AL98" s="360"/>
      <c r="AM98" s="438"/>
      <c r="AN98" s="437" t="s">
        <v>1729</v>
      </c>
      <c r="AO98" s="1029">
        <v>99.33</v>
      </c>
      <c r="AP98" s="1029">
        <v>0.15</v>
      </c>
      <c r="AQ98" s="440"/>
      <c r="AR98" s="437" t="s">
        <v>1729</v>
      </c>
      <c r="AS98" s="1029">
        <v>99.33</v>
      </c>
      <c r="AT98" s="1029">
        <v>0.14000000000000001</v>
      </c>
      <c r="AU98" s="440"/>
      <c r="AV98" s="437"/>
      <c r="AW98" s="439"/>
      <c r="AX98" s="439"/>
      <c r="AY98" s="440"/>
      <c r="AZ98" s="437" t="s">
        <v>1729</v>
      </c>
      <c r="BA98" s="1029">
        <v>99.33</v>
      </c>
      <c r="BB98" s="1648">
        <v>0.16</v>
      </c>
      <c r="BC98" s="440"/>
      <c r="BD98" s="437" t="s">
        <v>1729</v>
      </c>
      <c r="BE98" s="1029">
        <v>99.33</v>
      </c>
      <c r="BF98" s="1648">
        <v>0.16</v>
      </c>
      <c r="BG98" s="440">
        <v>2.2000000000000001E-3</v>
      </c>
      <c r="BH98" s="437"/>
      <c r="BI98" s="439"/>
      <c r="BJ98" s="439"/>
      <c r="BK98" s="440"/>
      <c r="BL98" s="356"/>
      <c r="BM98" s="411"/>
      <c r="BN98" s="229"/>
      <c r="BO98" s="227"/>
      <c r="BP98" s="6"/>
      <c r="BR98" s="1923"/>
      <c r="BS98" s="1969"/>
      <c r="BT98" s="1971"/>
      <c r="BU98" s="1971"/>
      <c r="BV98" s="1971"/>
      <c r="BW98" s="1971"/>
      <c r="BX98" s="1971"/>
      <c r="BY98" s="1971"/>
      <c r="CX98" s="996"/>
      <c r="CY98" s="960"/>
      <c r="CZ98" s="960"/>
      <c r="DA98" s="248"/>
      <c r="DB98" s="873">
        <f>COUNT(#REF!)</f>
        <v>0</v>
      </c>
    </row>
    <row r="99" spans="1:106" ht="21.9" customHeight="1" x14ac:dyDescent="0.35">
      <c r="A99" s="1076" t="s">
        <v>1145</v>
      </c>
      <c r="B99" s="412"/>
      <c r="C99" s="360"/>
      <c r="D99" s="360"/>
      <c r="E99" s="438"/>
      <c r="F99" s="407" t="s">
        <v>967</v>
      </c>
      <c r="G99" s="1516">
        <v>99.33</v>
      </c>
      <c r="H99" s="1516">
        <v>0.14000000000000001</v>
      </c>
      <c r="I99" s="1541">
        <v>1.6999999999999999E-3</v>
      </c>
      <c r="J99" s="407" t="s">
        <v>967</v>
      </c>
      <c r="K99" s="1516">
        <v>99.33</v>
      </c>
      <c r="L99" s="1516">
        <v>0.14000000000000001</v>
      </c>
      <c r="M99" s="1541">
        <v>1.4E-3</v>
      </c>
      <c r="N99" s="407"/>
      <c r="O99" s="408"/>
      <c r="P99" s="408"/>
      <c r="Q99" s="413"/>
      <c r="R99" s="407" t="s">
        <v>967</v>
      </c>
      <c r="S99" s="1516">
        <v>99.33</v>
      </c>
      <c r="T99" s="1516">
        <v>0.14000000000000001</v>
      </c>
      <c r="U99" s="413">
        <v>1.9E-3</v>
      </c>
      <c r="V99" s="407" t="s">
        <v>967</v>
      </c>
      <c r="W99" s="1516">
        <v>99.33</v>
      </c>
      <c r="X99" s="1516">
        <v>0.14000000000000001</v>
      </c>
      <c r="Y99" s="1540">
        <v>1.6999999999999999E-3</v>
      </c>
      <c r="Z99" s="437"/>
      <c r="AA99" s="439"/>
      <c r="AB99" s="439"/>
      <c r="AC99" s="438"/>
      <c r="AD99" s="441"/>
      <c r="AE99" s="433"/>
      <c r="AF99" s="442"/>
      <c r="AG99" s="443"/>
      <c r="AH99" s="12"/>
      <c r="AI99" s="1076" t="s">
        <v>1150</v>
      </c>
      <c r="AJ99" s="412"/>
      <c r="AK99" s="360"/>
      <c r="AL99" s="360"/>
      <c r="AM99" s="438"/>
      <c r="AN99" s="437" t="s">
        <v>1729</v>
      </c>
      <c r="AO99" s="1029">
        <v>99.33</v>
      </c>
      <c r="AP99" s="1029">
        <v>0.15</v>
      </c>
      <c r="AQ99" s="440">
        <v>1.9E-3</v>
      </c>
      <c r="AR99" s="437" t="s">
        <v>1729</v>
      </c>
      <c r="AS99" s="1029">
        <v>99.33</v>
      </c>
      <c r="AT99" s="1029">
        <v>0.14000000000000001</v>
      </c>
      <c r="AU99" s="440">
        <v>2.3E-3</v>
      </c>
      <c r="AV99" s="437"/>
      <c r="AW99" s="439"/>
      <c r="AX99" s="439"/>
      <c r="AY99" s="440"/>
      <c r="AZ99" s="437" t="s">
        <v>1729</v>
      </c>
      <c r="BA99" s="1029">
        <v>99.33</v>
      </c>
      <c r="BB99" s="1029">
        <v>0.15</v>
      </c>
      <c r="BC99" s="440">
        <v>1.1999999999999999E-3</v>
      </c>
      <c r="BD99" s="437" t="s">
        <v>1729</v>
      </c>
      <c r="BE99" s="1029">
        <v>99.33</v>
      </c>
      <c r="BF99" s="1648">
        <v>0.16</v>
      </c>
      <c r="BG99" s="440">
        <v>1.9E-3</v>
      </c>
      <c r="BH99" s="437"/>
      <c r="BI99" s="439"/>
      <c r="BJ99" s="439"/>
      <c r="BK99" s="440"/>
      <c r="BL99" s="356"/>
      <c r="BM99" s="411"/>
      <c r="BN99" s="229"/>
      <c r="BO99" s="227"/>
      <c r="BP99" s="6"/>
      <c r="BR99" s="958"/>
      <c r="BS99" s="1000"/>
      <c r="BT99" s="993"/>
      <c r="BU99" s="993"/>
      <c r="BV99" s="993"/>
      <c r="BW99" s="993"/>
      <c r="BX99" s="993"/>
      <c r="BY99" s="993"/>
      <c r="CX99" s="996"/>
      <c r="CY99" s="960"/>
      <c r="CZ99" s="960"/>
      <c r="DA99" s="248"/>
      <c r="DB99" s="873"/>
    </row>
    <row r="100" spans="1:106" ht="21.9" customHeight="1" x14ac:dyDescent="0.35">
      <c r="A100" s="1076" t="s">
        <v>1138</v>
      </c>
      <c r="B100" s="412"/>
      <c r="C100" s="360"/>
      <c r="D100" s="360"/>
      <c r="E100" s="438"/>
      <c r="F100" s="407" t="s">
        <v>967</v>
      </c>
      <c r="G100" s="1516">
        <v>99.33</v>
      </c>
      <c r="H100" s="1516">
        <v>0.14000000000000001</v>
      </c>
      <c r="I100" s="1541"/>
      <c r="J100" s="407" t="s">
        <v>967</v>
      </c>
      <c r="K100" s="1516">
        <v>99.33</v>
      </c>
      <c r="L100" s="1516">
        <v>0.14000000000000001</v>
      </c>
      <c r="M100" s="1541"/>
      <c r="N100" s="407"/>
      <c r="O100" s="408"/>
      <c r="P100" s="408"/>
      <c r="Q100" s="413"/>
      <c r="R100" s="407" t="s">
        <v>967</v>
      </c>
      <c r="S100" s="1516">
        <v>99.33</v>
      </c>
      <c r="T100" s="1516">
        <v>0.14000000000000001</v>
      </c>
      <c r="U100" s="413"/>
      <c r="V100" s="407" t="s">
        <v>967</v>
      </c>
      <c r="W100" s="1516">
        <v>99.33</v>
      </c>
      <c r="X100" s="1516">
        <v>0.14000000000000001</v>
      </c>
      <c r="Y100" s="1540">
        <v>2.3E-3</v>
      </c>
      <c r="Z100" s="437"/>
      <c r="AA100" s="439"/>
      <c r="AB100" s="439"/>
      <c r="AC100" s="438"/>
      <c r="AD100" s="441"/>
      <c r="AE100" s="433"/>
      <c r="AF100" s="442"/>
      <c r="AG100" s="443"/>
      <c r="AH100" s="12"/>
      <c r="AI100" s="1076" t="s">
        <v>1151</v>
      </c>
      <c r="AJ100" s="412"/>
      <c r="AK100" s="360"/>
      <c r="AL100" s="360"/>
      <c r="AM100" s="438"/>
      <c r="AN100" s="437" t="s">
        <v>1729</v>
      </c>
      <c r="AO100" s="1029">
        <v>99.33</v>
      </c>
      <c r="AP100" s="1029">
        <v>0.15</v>
      </c>
      <c r="AQ100" s="440"/>
      <c r="AR100" s="437" t="s">
        <v>1729</v>
      </c>
      <c r="AS100" s="1029">
        <v>99.33</v>
      </c>
      <c r="AT100" s="1029">
        <v>0.14000000000000001</v>
      </c>
      <c r="AU100" s="440"/>
      <c r="AV100" s="437"/>
      <c r="AW100" s="439"/>
      <c r="AX100" s="439"/>
      <c r="AY100" s="440"/>
      <c r="AZ100" s="437" t="s">
        <v>1729</v>
      </c>
      <c r="BA100" s="1029">
        <v>99.33</v>
      </c>
      <c r="BB100" s="1029">
        <v>0.15</v>
      </c>
      <c r="BC100" s="440"/>
      <c r="BD100" s="437" t="s">
        <v>1729</v>
      </c>
      <c r="BE100" s="1029">
        <v>99.33</v>
      </c>
      <c r="BF100" s="1029">
        <v>0.15</v>
      </c>
      <c r="BG100" s="440">
        <v>1.5E-3</v>
      </c>
      <c r="BH100" s="437"/>
      <c r="BI100" s="439"/>
      <c r="BJ100" s="439"/>
      <c r="BK100" s="440"/>
      <c r="BL100" s="356"/>
      <c r="BM100" s="411"/>
      <c r="BN100" s="229"/>
      <c r="BO100" s="227"/>
      <c r="BP100" s="6"/>
      <c r="BR100" s="958"/>
      <c r="BS100" s="1000"/>
      <c r="BT100" s="993"/>
      <c r="BU100" s="993"/>
      <c r="BV100" s="993"/>
      <c r="BW100" s="993"/>
      <c r="BX100" s="993"/>
      <c r="BY100" s="993"/>
      <c r="CX100" s="996"/>
      <c r="CY100" s="960"/>
      <c r="CZ100" s="960"/>
      <c r="DA100" s="248"/>
      <c r="DB100" s="873"/>
    </row>
    <row r="101" spans="1:106" ht="21.9" customHeight="1" thickBot="1" x14ac:dyDescent="0.4">
      <c r="A101" s="1076" t="s">
        <v>1139</v>
      </c>
      <c r="B101" s="412"/>
      <c r="C101" s="360"/>
      <c r="D101" s="360"/>
      <c r="E101" s="438"/>
      <c r="F101" s="407" t="s">
        <v>967</v>
      </c>
      <c r="G101" s="1516">
        <v>99.33</v>
      </c>
      <c r="H101" s="1516">
        <v>0.14000000000000001</v>
      </c>
      <c r="I101" s="1541"/>
      <c r="J101" s="407" t="s">
        <v>967</v>
      </c>
      <c r="K101" s="1516">
        <v>99.33</v>
      </c>
      <c r="L101" s="1516">
        <v>0.14000000000000001</v>
      </c>
      <c r="M101" s="1541"/>
      <c r="N101" s="407"/>
      <c r="O101" s="408"/>
      <c r="P101" s="408"/>
      <c r="Q101" s="413"/>
      <c r="R101" s="407" t="s">
        <v>967</v>
      </c>
      <c r="S101" s="1516">
        <v>99.33</v>
      </c>
      <c r="T101" s="1516">
        <v>0.14000000000000001</v>
      </c>
      <c r="U101" s="413"/>
      <c r="V101" s="407" t="s">
        <v>967</v>
      </c>
      <c r="W101" s="1516">
        <v>99.33</v>
      </c>
      <c r="X101" s="1516">
        <v>0.14000000000000001</v>
      </c>
      <c r="Y101" s="1540">
        <v>2.0999999999999999E-3</v>
      </c>
      <c r="Z101" s="437"/>
      <c r="AA101" s="439"/>
      <c r="AB101" s="439"/>
      <c r="AC101" s="438"/>
      <c r="AD101" s="441"/>
      <c r="AE101" s="433"/>
      <c r="AF101" s="442"/>
      <c r="AG101" s="443"/>
      <c r="AH101" s="12"/>
      <c r="AI101" s="1076" t="s">
        <v>1152</v>
      </c>
      <c r="AJ101" s="412"/>
      <c r="AK101" s="360"/>
      <c r="AL101" s="360"/>
      <c r="AM101" s="438"/>
      <c r="AN101" s="437" t="s">
        <v>1729</v>
      </c>
      <c r="AO101" s="1029">
        <v>99.33</v>
      </c>
      <c r="AP101" s="1029">
        <v>0.15</v>
      </c>
      <c r="AQ101" s="440"/>
      <c r="AR101" s="437" t="s">
        <v>1729</v>
      </c>
      <c r="AS101" s="1029">
        <v>99.33</v>
      </c>
      <c r="AT101" s="1029">
        <v>0.15</v>
      </c>
      <c r="AU101" s="440"/>
      <c r="AV101" s="437"/>
      <c r="AW101" s="439"/>
      <c r="AX101" s="439"/>
      <c r="AY101" s="440"/>
      <c r="AZ101" s="437" t="s">
        <v>1729</v>
      </c>
      <c r="BA101" s="1029">
        <v>99.33</v>
      </c>
      <c r="BB101" s="1648">
        <v>0.16</v>
      </c>
      <c r="BC101" s="440"/>
      <c r="BD101" s="437" t="s">
        <v>1729</v>
      </c>
      <c r="BE101" s="1029">
        <v>99.33</v>
      </c>
      <c r="BF101" s="1029">
        <v>0.15</v>
      </c>
      <c r="BG101" s="440">
        <v>1.4E-3</v>
      </c>
      <c r="BH101" s="437"/>
      <c r="BI101" s="439"/>
      <c r="BJ101" s="439"/>
      <c r="BK101" s="440"/>
      <c r="BL101" s="356"/>
      <c r="BM101" s="411"/>
      <c r="BN101" s="229"/>
      <c r="BO101" s="227"/>
      <c r="BP101" s="6"/>
      <c r="BR101" s="958"/>
      <c r="BS101" s="1000"/>
      <c r="BT101" s="993"/>
      <c r="BU101" s="993"/>
      <c r="BV101" s="993"/>
      <c r="BW101" s="993"/>
      <c r="BX101" s="993"/>
      <c r="BY101" s="993"/>
      <c r="CX101" s="996"/>
      <c r="CY101" s="960"/>
      <c r="CZ101" s="960"/>
      <c r="DA101" s="248"/>
      <c r="DB101" s="873"/>
    </row>
    <row r="102" spans="1:106" ht="21.9" customHeight="1" thickBot="1" x14ac:dyDescent="0.4">
      <c r="A102" s="1076" t="s">
        <v>1140</v>
      </c>
      <c r="B102" s="412"/>
      <c r="C102" s="360"/>
      <c r="D102" s="360"/>
      <c r="E102" s="438"/>
      <c r="F102" s="407" t="s">
        <v>967</v>
      </c>
      <c r="G102" s="1516">
        <v>99.33</v>
      </c>
      <c r="H102" s="1516">
        <v>0.14000000000000001</v>
      </c>
      <c r="I102" s="1541"/>
      <c r="J102" s="407" t="s">
        <v>967</v>
      </c>
      <c r="K102" s="1516">
        <v>99.33</v>
      </c>
      <c r="L102" s="1516">
        <v>0.14000000000000001</v>
      </c>
      <c r="M102" s="1541"/>
      <c r="N102" s="407"/>
      <c r="O102" s="408"/>
      <c r="P102" s="408"/>
      <c r="Q102" s="413"/>
      <c r="R102" s="407" t="s">
        <v>967</v>
      </c>
      <c r="S102" s="1516">
        <v>99.33</v>
      </c>
      <c r="T102" s="1516">
        <v>0.14000000000000001</v>
      </c>
      <c r="U102" s="413"/>
      <c r="V102" s="407" t="s">
        <v>967</v>
      </c>
      <c r="W102" s="1516">
        <v>99.33</v>
      </c>
      <c r="X102" s="1516">
        <v>0.14000000000000001</v>
      </c>
      <c r="Y102" s="1540">
        <v>1.8E-3</v>
      </c>
      <c r="Z102" s="437"/>
      <c r="AA102" s="439"/>
      <c r="AB102" s="439"/>
      <c r="AC102" s="438"/>
      <c r="AD102" s="441"/>
      <c r="AE102" s="433"/>
      <c r="AF102" s="442"/>
      <c r="AG102" s="443"/>
      <c r="AH102" s="12"/>
      <c r="AI102" s="1076" t="s">
        <v>1153</v>
      </c>
      <c r="AJ102" s="412"/>
      <c r="AK102" s="360"/>
      <c r="AL102" s="360"/>
      <c r="AM102" s="438"/>
      <c r="AN102" s="437" t="s">
        <v>1729</v>
      </c>
      <c r="AO102" s="1029">
        <v>99.33</v>
      </c>
      <c r="AP102" s="1029">
        <v>0.15</v>
      </c>
      <c r="AQ102" s="440"/>
      <c r="AR102" s="437" t="s">
        <v>1729</v>
      </c>
      <c r="AS102" s="1029">
        <v>99.33</v>
      </c>
      <c r="AT102" s="1648">
        <v>0.17</v>
      </c>
      <c r="AU102" s="440"/>
      <c r="AV102" s="437"/>
      <c r="AW102" s="439"/>
      <c r="AX102" s="439"/>
      <c r="AY102" s="440"/>
      <c r="AZ102" s="437" t="s">
        <v>1729</v>
      </c>
      <c r="BA102" s="1029">
        <v>99.33</v>
      </c>
      <c r="BB102" s="1648">
        <v>0.16</v>
      </c>
      <c r="BC102" s="440"/>
      <c r="BD102" s="437" t="s">
        <v>1729</v>
      </c>
      <c r="BE102" s="1029">
        <v>99.33</v>
      </c>
      <c r="BF102" s="1029">
        <v>0.15</v>
      </c>
      <c r="BG102" s="440">
        <v>1.6000000000000001E-3</v>
      </c>
      <c r="BH102" s="437"/>
      <c r="BI102" s="439"/>
      <c r="BJ102" s="439"/>
      <c r="BK102" s="440"/>
      <c r="BL102" s="509" t="e">
        <f>AVERAGE(BL95:BL101)</f>
        <v>#DIV/0!</v>
      </c>
      <c r="BM102" s="510" t="e">
        <f>AVERAGE(BM95:BM101)</f>
        <v>#DIV/0!</v>
      </c>
      <c r="BN102" s="229"/>
      <c r="BO102" s="227"/>
      <c r="BP102" s="6"/>
      <c r="BR102" s="958"/>
      <c r="BS102" s="1000"/>
      <c r="BT102" s="993"/>
      <c r="BU102" s="993"/>
      <c r="BV102" s="993"/>
      <c r="BW102" s="993"/>
      <c r="BX102" s="993"/>
      <c r="BY102" s="993"/>
      <c r="CX102" s="996"/>
      <c r="CY102" s="960"/>
      <c r="CZ102" s="960"/>
      <c r="DA102" s="248"/>
      <c r="DB102" s="873"/>
    </row>
    <row r="103" spans="1:106" ht="21.9" customHeight="1" thickBot="1" x14ac:dyDescent="0.4">
      <c r="A103" s="1076" t="s">
        <v>1141</v>
      </c>
      <c r="B103" s="412"/>
      <c r="C103" s="360"/>
      <c r="D103" s="408"/>
      <c r="E103" s="438"/>
      <c r="F103" s="407" t="s">
        <v>967</v>
      </c>
      <c r="G103" s="1516">
        <v>99.33</v>
      </c>
      <c r="H103" s="1516">
        <v>0.14000000000000001</v>
      </c>
      <c r="I103" s="1541">
        <v>1.9E-3</v>
      </c>
      <c r="J103" s="407" t="s">
        <v>967</v>
      </c>
      <c r="K103" s="1516">
        <v>99.33</v>
      </c>
      <c r="L103" s="1516">
        <v>0.14000000000000001</v>
      </c>
      <c r="M103" s="1541">
        <v>1.8E-3</v>
      </c>
      <c r="N103" s="407"/>
      <c r="O103" s="408"/>
      <c r="P103" s="408"/>
      <c r="Q103" s="413"/>
      <c r="R103" s="407" t="s">
        <v>967</v>
      </c>
      <c r="S103" s="1516">
        <v>99.33</v>
      </c>
      <c r="T103" s="1516">
        <v>0.14000000000000001</v>
      </c>
      <c r="U103" s="413">
        <v>1.6999999999999999E-3</v>
      </c>
      <c r="V103" s="407" t="s">
        <v>967</v>
      </c>
      <c r="W103" s="1516">
        <v>99.33</v>
      </c>
      <c r="X103" s="1516">
        <v>0.14000000000000001</v>
      </c>
      <c r="Y103" s="1540">
        <v>1.9E-3</v>
      </c>
      <c r="Z103" s="437"/>
      <c r="AA103" s="439"/>
      <c r="AB103" s="439"/>
      <c r="AC103" s="438"/>
      <c r="AD103" s="441"/>
      <c r="AE103" s="433"/>
      <c r="AF103" s="442"/>
      <c r="AG103" s="443"/>
      <c r="AH103" s="12"/>
      <c r="AI103" s="1076" t="s">
        <v>1154</v>
      </c>
      <c r="AJ103" s="412"/>
      <c r="AK103" s="360"/>
      <c r="AL103" s="408"/>
      <c r="AM103" s="438"/>
      <c r="AN103" s="437" t="s">
        <v>1729</v>
      </c>
      <c r="AO103" s="1029">
        <v>99.33</v>
      </c>
      <c r="AP103" s="1029">
        <v>0.14000000000000001</v>
      </c>
      <c r="AQ103" s="440">
        <v>1.6999999999999999E-3</v>
      </c>
      <c r="AR103" s="437" t="s">
        <v>1729</v>
      </c>
      <c r="AS103" s="1029">
        <v>99.33</v>
      </c>
      <c r="AT103" s="1648">
        <v>0.18</v>
      </c>
      <c r="AU103" s="440">
        <v>2.0999999999999999E-3</v>
      </c>
      <c r="AV103" s="437"/>
      <c r="AW103" s="439"/>
      <c r="AX103" s="439"/>
      <c r="AY103" s="440"/>
      <c r="AZ103" s="437" t="s">
        <v>1729</v>
      </c>
      <c r="BA103" s="1029">
        <v>99.33</v>
      </c>
      <c r="BB103" s="1648">
        <v>0.17</v>
      </c>
      <c r="BC103" s="440">
        <v>1.6999999999999999E-3</v>
      </c>
      <c r="BD103" s="437" t="s">
        <v>1729</v>
      </c>
      <c r="BE103" s="1029">
        <v>99.33</v>
      </c>
      <c r="BF103" s="1648">
        <v>0.17</v>
      </c>
      <c r="BG103" s="440">
        <v>1.5E-3</v>
      </c>
      <c r="BH103" s="437"/>
      <c r="BI103" s="439"/>
      <c r="BJ103" s="439"/>
      <c r="BK103" s="440"/>
      <c r="BL103" s="508"/>
      <c r="BM103" s="511"/>
      <c r="BN103" s="229"/>
      <c r="BO103" s="227"/>
      <c r="BP103" s="6"/>
      <c r="BR103" s="4"/>
      <c r="BS103" s="4"/>
      <c r="BT103" s="4"/>
      <c r="BU103" s="4"/>
      <c r="BV103" s="4"/>
      <c r="BW103" s="4"/>
      <c r="BX103" s="4"/>
      <c r="BY103" s="4"/>
      <c r="CX103" s="996"/>
      <c r="CY103" s="960"/>
      <c r="CZ103" s="960"/>
      <c r="DA103" s="248"/>
    </row>
    <row r="104" spans="1:106" ht="21.9" customHeight="1" x14ac:dyDescent="0.35">
      <c r="A104" s="1076" t="s">
        <v>1142</v>
      </c>
      <c r="B104" s="412"/>
      <c r="C104" s="360"/>
      <c r="D104" s="360"/>
      <c r="E104" s="438"/>
      <c r="F104" s="407" t="s">
        <v>967</v>
      </c>
      <c r="G104" s="1516">
        <v>99.33</v>
      </c>
      <c r="H104" s="1516">
        <v>0.14000000000000001</v>
      </c>
      <c r="I104" s="1541"/>
      <c r="J104" s="407" t="s">
        <v>967</v>
      </c>
      <c r="K104" s="1516">
        <v>99.33</v>
      </c>
      <c r="L104" s="1516">
        <v>0.14000000000000001</v>
      </c>
      <c r="M104" s="1541"/>
      <c r="N104" s="407"/>
      <c r="O104" s="408"/>
      <c r="P104" s="408"/>
      <c r="Q104" s="413"/>
      <c r="R104" s="407" t="s">
        <v>967</v>
      </c>
      <c r="S104" s="1516">
        <v>99.33</v>
      </c>
      <c r="T104" s="1516">
        <v>0.14000000000000001</v>
      </c>
      <c r="U104" s="413"/>
      <c r="V104" s="407" t="s">
        <v>967</v>
      </c>
      <c r="W104" s="1516">
        <v>99.33</v>
      </c>
      <c r="X104" s="1516">
        <v>0.14000000000000001</v>
      </c>
      <c r="Y104" s="1540">
        <v>2.2000000000000001E-3</v>
      </c>
      <c r="Z104" s="437"/>
      <c r="AA104" s="439"/>
      <c r="AB104" s="439"/>
      <c r="AC104" s="438"/>
      <c r="AD104" s="441"/>
      <c r="AE104" s="433"/>
      <c r="AF104" s="442"/>
      <c r="AG104" s="443"/>
      <c r="AH104" s="12"/>
      <c r="AI104" s="1076" t="s">
        <v>1155</v>
      </c>
      <c r="AJ104" s="412"/>
      <c r="AK104" s="360"/>
      <c r="AL104" s="360"/>
      <c r="AM104" s="438"/>
      <c r="AN104" s="437" t="s">
        <v>1729</v>
      </c>
      <c r="AO104" s="1029">
        <v>99.33</v>
      </c>
      <c r="AP104" s="1029">
        <v>0.15</v>
      </c>
      <c r="AQ104" s="440"/>
      <c r="AR104" s="437" t="s">
        <v>1729</v>
      </c>
      <c r="AS104" s="1029">
        <v>99.33</v>
      </c>
      <c r="AT104" s="1648">
        <v>0.19</v>
      </c>
      <c r="AU104" s="440"/>
      <c r="AV104" s="437"/>
      <c r="AW104" s="439"/>
      <c r="AX104" s="439"/>
      <c r="AY104" s="440"/>
      <c r="AZ104" s="437" t="s">
        <v>1729</v>
      </c>
      <c r="BA104" s="1029">
        <v>99.33</v>
      </c>
      <c r="BB104" s="1648">
        <v>0.18</v>
      </c>
      <c r="BC104" s="440"/>
      <c r="BD104" s="437" t="s">
        <v>1729</v>
      </c>
      <c r="BE104" s="1029">
        <v>99.33</v>
      </c>
      <c r="BF104" s="1648">
        <v>0.17</v>
      </c>
      <c r="BG104" s="440">
        <v>1.8E-3</v>
      </c>
      <c r="BH104" s="437"/>
      <c r="BI104" s="439"/>
      <c r="BJ104" s="439"/>
      <c r="BK104" s="440"/>
      <c r="BL104" s="508"/>
      <c r="BM104" s="433"/>
      <c r="BN104" s="229"/>
      <c r="BO104" s="227"/>
      <c r="BP104" s="6"/>
      <c r="BR104" s="4"/>
      <c r="BS104" s="4"/>
      <c r="BT104" s="4"/>
      <c r="BU104" s="4"/>
      <c r="BV104" s="4"/>
      <c r="BW104" s="4"/>
      <c r="BX104" s="4"/>
      <c r="BY104" s="4"/>
      <c r="CX104" s="1918" t="s">
        <v>42</v>
      </c>
      <c r="CY104" s="1919"/>
      <c r="CZ104" s="960"/>
      <c r="DA104" s="248"/>
    </row>
    <row r="105" spans="1:106" ht="21.9" customHeight="1" x14ac:dyDescent="0.35">
      <c r="A105" s="1076" t="s">
        <v>1143</v>
      </c>
      <c r="B105" s="412"/>
      <c r="C105" s="360"/>
      <c r="D105" s="360"/>
      <c r="E105" s="438"/>
      <c r="F105" s="407" t="s">
        <v>967</v>
      </c>
      <c r="G105" s="1516">
        <v>99.33</v>
      </c>
      <c r="H105" s="1643">
        <v>0.17</v>
      </c>
      <c r="I105" s="1541"/>
      <c r="J105" s="407" t="s">
        <v>967</v>
      </c>
      <c r="K105" s="1516">
        <v>99.33</v>
      </c>
      <c r="L105" s="1643">
        <v>0.16</v>
      </c>
      <c r="M105" s="1541"/>
      <c r="N105" s="407"/>
      <c r="O105" s="408"/>
      <c r="P105" s="408"/>
      <c r="Q105" s="413"/>
      <c r="R105" s="407" t="s">
        <v>967</v>
      </c>
      <c r="S105" s="1516">
        <v>99.33</v>
      </c>
      <c r="T105" s="1516">
        <v>0.15</v>
      </c>
      <c r="U105" s="413"/>
      <c r="V105" s="407" t="s">
        <v>967</v>
      </c>
      <c r="W105" s="1516">
        <v>99.33</v>
      </c>
      <c r="X105" s="1516">
        <v>0.15</v>
      </c>
      <c r="Y105" s="1540">
        <v>2E-3</v>
      </c>
      <c r="Z105" s="437"/>
      <c r="AA105" s="439"/>
      <c r="AB105" s="439"/>
      <c r="AC105" s="438"/>
      <c r="AD105" s="441"/>
      <c r="AE105" s="433"/>
      <c r="AF105" s="442"/>
      <c r="AG105" s="443"/>
      <c r="AH105" s="12"/>
      <c r="AI105" s="1076" t="s">
        <v>1156</v>
      </c>
      <c r="AJ105" s="412"/>
      <c r="AK105" s="360"/>
      <c r="AL105" s="360"/>
      <c r="AM105" s="438"/>
      <c r="AN105" s="437" t="s">
        <v>1729</v>
      </c>
      <c r="AO105" s="1029">
        <v>99.33</v>
      </c>
      <c r="AP105" s="1648">
        <v>0.16</v>
      </c>
      <c r="AQ105" s="440"/>
      <c r="AR105" s="437" t="s">
        <v>1729</v>
      </c>
      <c r="AS105" s="1029">
        <v>99.33</v>
      </c>
      <c r="AT105" s="1648">
        <v>0.19</v>
      </c>
      <c r="AU105" s="440"/>
      <c r="AV105" s="437"/>
      <c r="AW105" s="439"/>
      <c r="AX105" s="439"/>
      <c r="AY105" s="440"/>
      <c r="AZ105" s="437" t="s">
        <v>1729</v>
      </c>
      <c r="BA105" s="1029">
        <v>99.33</v>
      </c>
      <c r="BB105" s="1648">
        <v>0.18</v>
      </c>
      <c r="BC105" s="440"/>
      <c r="BD105" s="437" t="s">
        <v>1729</v>
      </c>
      <c r="BE105" s="1029">
        <v>99.33</v>
      </c>
      <c r="BF105" s="1648">
        <v>0.18</v>
      </c>
      <c r="BG105" s="440">
        <v>1.6999999999999999E-3</v>
      </c>
      <c r="BH105" s="437"/>
      <c r="BI105" s="439"/>
      <c r="BJ105" s="439"/>
      <c r="BK105" s="440"/>
      <c r="BL105" s="508"/>
      <c r="BM105" s="433"/>
      <c r="BN105" s="229"/>
      <c r="BO105" s="227"/>
      <c r="BP105" s="6"/>
      <c r="BR105" s="1923"/>
      <c r="BS105" s="1923"/>
      <c r="BT105" s="1923"/>
      <c r="BU105" s="1923"/>
      <c r="BV105" s="1923"/>
      <c r="BW105" s="1923"/>
      <c r="BX105" s="1923"/>
      <c r="BY105" s="1923"/>
      <c r="CX105" s="998" t="s">
        <v>47</v>
      </c>
      <c r="CY105" s="813" t="s">
        <v>54</v>
      </c>
      <c r="CZ105" s="248"/>
      <c r="DA105" s="960"/>
    </row>
    <row r="106" spans="1:106" ht="21.9" customHeight="1" thickBot="1" x14ac:dyDescent="0.4">
      <c r="A106" s="1076" t="s">
        <v>1144</v>
      </c>
      <c r="B106" s="390"/>
      <c r="C106" s="386"/>
      <c r="D106" s="386"/>
      <c r="E106" s="444"/>
      <c r="F106" s="407" t="s">
        <v>967</v>
      </c>
      <c r="G106" s="1516">
        <v>99.33</v>
      </c>
      <c r="H106" s="1643">
        <v>0.16</v>
      </c>
      <c r="I106" s="1541"/>
      <c r="J106" s="407" t="s">
        <v>967</v>
      </c>
      <c r="K106" s="1516">
        <v>99.33</v>
      </c>
      <c r="L106" s="1516">
        <v>0.15</v>
      </c>
      <c r="M106" s="1542"/>
      <c r="N106" s="1539"/>
      <c r="O106" s="1543"/>
      <c r="P106" s="1543"/>
      <c r="Q106" s="1544"/>
      <c r="R106" s="407" t="s">
        <v>967</v>
      </c>
      <c r="S106" s="1516">
        <v>99.33</v>
      </c>
      <c r="T106" s="1516">
        <v>0.15</v>
      </c>
      <c r="U106" s="413"/>
      <c r="V106" s="407" t="s">
        <v>967</v>
      </c>
      <c r="W106" s="1516">
        <v>99.33</v>
      </c>
      <c r="X106" s="1516">
        <v>0.15</v>
      </c>
      <c r="Y106" s="1544"/>
      <c r="Z106" s="445"/>
      <c r="AA106" s="446"/>
      <c r="AB106" s="446"/>
      <c r="AC106" s="444"/>
      <c r="AD106" s="441"/>
      <c r="AE106" s="433"/>
      <c r="AF106" s="442"/>
      <c r="AG106" s="443"/>
      <c r="AH106" s="12"/>
      <c r="AI106" s="1076" t="s">
        <v>1157</v>
      </c>
      <c r="AJ106" s="390"/>
      <c r="AK106" s="386"/>
      <c r="AL106" s="386"/>
      <c r="AM106" s="444"/>
      <c r="AN106" s="437" t="s">
        <v>1729</v>
      </c>
      <c r="AO106" s="1029">
        <v>99.33</v>
      </c>
      <c r="AP106" s="1648">
        <v>0.18</v>
      </c>
      <c r="AQ106" s="447"/>
      <c r="AR106" s="437" t="s">
        <v>1729</v>
      </c>
      <c r="AS106" s="1029">
        <v>99.33</v>
      </c>
      <c r="AT106" s="1648">
        <v>0.2</v>
      </c>
      <c r="AU106" s="447"/>
      <c r="AV106" s="445"/>
      <c r="AW106" s="446"/>
      <c r="AX106" s="446"/>
      <c r="AY106" s="447"/>
      <c r="AZ106" s="437" t="s">
        <v>1729</v>
      </c>
      <c r="BA106" s="1029">
        <v>99.33</v>
      </c>
      <c r="BB106" s="1648">
        <v>0.19</v>
      </c>
      <c r="BC106" s="440"/>
      <c r="BD106" s="437" t="s">
        <v>1729</v>
      </c>
      <c r="BE106" s="1029">
        <v>99.33</v>
      </c>
      <c r="BF106" s="1648">
        <v>0.19</v>
      </c>
      <c r="BG106" s="447"/>
      <c r="BH106" s="445"/>
      <c r="BI106" s="446"/>
      <c r="BJ106" s="446"/>
      <c r="BK106" s="447"/>
      <c r="BL106" s="508"/>
      <c r="BM106" s="433"/>
      <c r="BN106" s="229"/>
      <c r="BO106" s="227"/>
      <c r="BP106" s="6"/>
      <c r="CX106" s="998" t="s">
        <v>48</v>
      </c>
      <c r="CY106" s="813" t="s">
        <v>55</v>
      </c>
      <c r="CZ106" s="248"/>
      <c r="DA106" s="248">
        <f>AVERAGE(AS126)</f>
        <v>58.4</v>
      </c>
    </row>
    <row r="107" spans="1:106" ht="21.9" customHeight="1" thickBot="1" x14ac:dyDescent="0.4">
      <c r="A107" s="203" t="s">
        <v>28</v>
      </c>
      <c r="B107" s="448"/>
      <c r="C107" s="449">
        <f>ROUND((AVERAGE(S95:S106,C95:C106,G95:G106,K95:K106,O95:O106)),2)</f>
        <v>99.33</v>
      </c>
      <c r="D107" s="449">
        <f>ROUND((AVERAGE(D95:D106,H95:H106,L95:L106,P95:P106,T95:T106)),2)</f>
        <v>0.14000000000000001</v>
      </c>
      <c r="E107" s="450">
        <f>ROUND((AVERAGE(E95:E106,I95:I106,M95:M106,Q95:Q106,U95:U106)),4)</f>
        <v>2E-3</v>
      </c>
      <c r="F107" s="451"/>
      <c r="G107" s="452"/>
      <c r="H107" s="453"/>
      <c r="I107" s="454"/>
      <c r="J107" s="451"/>
      <c r="K107" s="452"/>
      <c r="L107" s="453"/>
      <c r="M107" s="454"/>
      <c r="N107" s="451"/>
      <c r="O107" s="452"/>
      <c r="P107" s="453"/>
      <c r="Q107" s="454"/>
      <c r="R107" s="451"/>
      <c r="S107" s="452"/>
      <c r="T107" s="453"/>
      <c r="U107" s="454"/>
      <c r="V107" s="451"/>
      <c r="W107" s="452"/>
      <c r="X107" s="453"/>
      <c r="Y107" s="454"/>
      <c r="Z107" s="451"/>
      <c r="AA107" s="452"/>
      <c r="AB107" s="453"/>
      <c r="AC107" s="455"/>
      <c r="AD107" s="456"/>
      <c r="AE107" s="435"/>
      <c r="AF107" s="435"/>
      <c r="AG107" s="457"/>
      <c r="AH107" s="12"/>
      <c r="AI107" s="206" t="s">
        <v>28</v>
      </c>
      <c r="AJ107" s="448"/>
      <c r="AK107" s="449">
        <f>ROUND((AVERAGE(BA95:BA106,AK95:AK106,AO95:AO106,AS95:AS106,AW95:AW106)),2)</f>
        <v>99.33</v>
      </c>
      <c r="AL107" s="449">
        <f>ROUND((AVERAGE(AL95:AL106,AP95:AP106,AT95:AT106,AX95:AX106,BB95:BB106)),2)</f>
        <v>0.16</v>
      </c>
      <c r="AM107" s="450">
        <f>ROUND((AVERAGE(AM95:AM106,AQ95:AQ106,AU95:AU106,AY95:AY106,BC95:BC106)),4)</f>
        <v>1.8E-3</v>
      </c>
      <c r="AN107" s="451"/>
      <c r="AO107" s="452"/>
      <c r="AP107" s="453"/>
      <c r="AQ107" s="454"/>
      <c r="AR107" s="451"/>
      <c r="AS107" s="452"/>
      <c r="AT107" s="453"/>
      <c r="AU107" s="454"/>
      <c r="AV107" s="451"/>
      <c r="AW107" s="452"/>
      <c r="AX107" s="453"/>
      <c r="AY107" s="454"/>
      <c r="AZ107" s="451"/>
      <c r="BA107" s="452"/>
      <c r="BB107" s="453"/>
      <c r="BC107" s="454"/>
      <c r="BD107" s="451"/>
      <c r="BE107" s="452"/>
      <c r="BF107" s="453"/>
      <c r="BG107" s="454"/>
      <c r="BH107" s="451"/>
      <c r="BI107" s="452"/>
      <c r="BJ107" s="453"/>
      <c r="BK107" s="454"/>
      <c r="BL107" s="508"/>
      <c r="BM107" s="433"/>
      <c r="BN107" s="229"/>
      <c r="BO107" s="227"/>
      <c r="BP107" s="6"/>
      <c r="CX107" s="998" t="s">
        <v>50</v>
      </c>
      <c r="CY107" s="813"/>
      <c r="CZ107" s="960"/>
      <c r="DA107" s="248">
        <f>AVERAGE(AS127)</f>
        <v>29.8</v>
      </c>
    </row>
    <row r="108" spans="1:106" ht="21.9" customHeight="1" x14ac:dyDescent="0.35">
      <c r="A108" s="1000"/>
      <c r="B108" s="1000"/>
      <c r="C108" s="1000"/>
      <c r="D108" s="1000"/>
      <c r="E108" s="1000"/>
      <c r="F108" s="1000"/>
      <c r="G108" s="1000"/>
      <c r="H108" s="1000"/>
      <c r="I108" s="47"/>
      <c r="J108" s="1000"/>
      <c r="K108" s="1000"/>
      <c r="L108" s="1000"/>
      <c r="M108" s="1000"/>
      <c r="N108" s="1000"/>
      <c r="O108" s="1000"/>
      <c r="P108" s="1000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1000"/>
      <c r="AC108" s="1000"/>
      <c r="AD108" s="1000"/>
      <c r="AE108" s="1000"/>
      <c r="AF108" s="1000"/>
      <c r="AG108" s="1000"/>
      <c r="AH108" s="12"/>
      <c r="AI108" s="100"/>
      <c r="AJ108" s="958"/>
      <c r="AK108" s="958"/>
      <c r="AL108" s="958"/>
      <c r="AM108" s="958"/>
      <c r="AN108" s="958"/>
      <c r="AO108" s="958"/>
      <c r="AP108" s="958"/>
      <c r="AQ108" s="512"/>
      <c r="AR108" s="958"/>
      <c r="AS108" s="958"/>
      <c r="AT108" s="958"/>
      <c r="AU108" s="958"/>
      <c r="AV108" s="958"/>
      <c r="AW108" s="958"/>
      <c r="AX108" s="958"/>
      <c r="AY108" s="958"/>
      <c r="AZ108" s="958"/>
      <c r="BA108" s="958"/>
      <c r="BB108" s="958"/>
      <c r="BC108" s="958"/>
      <c r="BD108" s="958"/>
      <c r="BE108" s="958"/>
      <c r="BF108" s="958"/>
      <c r="BG108" s="958"/>
      <c r="BH108" s="958"/>
      <c r="BI108" s="958"/>
      <c r="BJ108" s="958"/>
      <c r="BK108" s="958"/>
      <c r="BL108" s="958"/>
      <c r="BM108" s="958"/>
      <c r="BN108" s="958"/>
      <c r="BO108" s="958"/>
      <c r="BP108" s="6"/>
      <c r="CX108" s="1925" t="s">
        <v>49</v>
      </c>
      <c r="CY108" s="1926"/>
      <c r="CZ108" s="960"/>
      <c r="DA108" s="248" t="e">
        <f>AVERAGE(AS128)</f>
        <v>#DIV/0!</v>
      </c>
    </row>
    <row r="109" spans="1:106" s="88" customFormat="1" ht="21.9" customHeight="1" thickBot="1" x14ac:dyDescent="0.45">
      <c r="A109" s="2251" t="s">
        <v>1006</v>
      </c>
      <c r="B109" s="2251"/>
      <c r="C109" s="2251"/>
      <c r="D109" s="2251"/>
      <c r="E109" s="2251"/>
      <c r="F109" s="2251"/>
      <c r="G109" s="2251"/>
      <c r="H109" s="2251"/>
      <c r="I109" s="2251"/>
      <c r="J109" s="2251"/>
      <c r="K109" s="2251"/>
      <c r="L109" s="2251"/>
      <c r="M109" s="2251"/>
      <c r="N109" s="2251"/>
      <c r="O109" s="2251"/>
      <c r="P109" s="2251"/>
      <c r="Q109" s="2251"/>
      <c r="R109" s="2251"/>
      <c r="S109" s="2251"/>
      <c r="T109" s="2251"/>
      <c r="U109" s="2252" t="s">
        <v>65</v>
      </c>
      <c r="V109" s="2252"/>
      <c r="W109" s="2252"/>
      <c r="X109" s="2252"/>
      <c r="Y109" s="2252"/>
      <c r="Z109" s="2252"/>
      <c r="AA109" s="2252"/>
      <c r="AB109" s="2252"/>
      <c r="AC109" s="2252"/>
      <c r="AD109" s="2252"/>
      <c r="AE109" s="2252"/>
      <c r="AF109" s="2252"/>
      <c r="AG109" s="2252"/>
      <c r="AH109" s="84"/>
      <c r="AI109" s="2196" t="s">
        <v>1065</v>
      </c>
      <c r="AJ109" s="2196"/>
      <c r="AK109" s="2196"/>
      <c r="AL109" s="2196"/>
      <c r="AM109" s="2196"/>
      <c r="AN109" s="2196"/>
      <c r="AO109" s="2196"/>
      <c r="AP109" s="2196"/>
      <c r="AQ109" s="2196"/>
      <c r="AR109" s="2196"/>
      <c r="AS109" s="2196"/>
      <c r="AT109" s="2196"/>
      <c r="AU109" s="2196"/>
      <c r="AV109" s="2196"/>
      <c r="AW109" s="2196"/>
      <c r="AX109" s="2196"/>
      <c r="AY109" s="2196"/>
      <c r="AZ109" s="2196"/>
      <c r="BA109" s="2196"/>
      <c r="BB109" s="2196"/>
      <c r="BC109" s="2177" t="s">
        <v>65</v>
      </c>
      <c r="BD109" s="2177"/>
      <c r="BE109" s="2177"/>
      <c r="BF109" s="2177"/>
      <c r="BG109" s="2177"/>
      <c r="BH109" s="2177"/>
      <c r="BI109" s="2177"/>
      <c r="BJ109" s="2177"/>
      <c r="BK109" s="2177"/>
      <c r="BL109" s="2177"/>
      <c r="BM109" s="2177"/>
      <c r="BN109" s="2177"/>
      <c r="BO109" s="2177"/>
      <c r="BP109" s="85"/>
      <c r="BQ109" s="86"/>
      <c r="BR109" s="87"/>
      <c r="BS109" s="87"/>
      <c r="BT109" s="87"/>
      <c r="BU109" s="87"/>
      <c r="BV109" s="87"/>
      <c r="BW109" s="87"/>
      <c r="BX109" s="87"/>
      <c r="BY109" s="87"/>
      <c r="BZ109" s="87"/>
      <c r="CA109" s="87"/>
      <c r="CX109" s="1906" t="s">
        <v>56</v>
      </c>
      <c r="CY109" s="1907"/>
      <c r="CZ109" s="243"/>
      <c r="DA109" s="880">
        <f>AVERAGE(AS129)</f>
        <v>16</v>
      </c>
    </row>
    <row r="110" spans="1:106" ht="21.9" customHeight="1" thickBot="1" x14ac:dyDescent="0.4">
      <c r="A110" s="2237" t="s">
        <v>84</v>
      </c>
      <c r="B110" s="2238"/>
      <c r="C110" s="805">
        <v>1</v>
      </c>
      <c r="D110" s="806">
        <v>2</v>
      </c>
      <c r="E110" s="806">
        <v>3</v>
      </c>
      <c r="F110" s="806">
        <v>4</v>
      </c>
      <c r="G110" s="806">
        <v>5</v>
      </c>
      <c r="H110" s="806">
        <v>6</v>
      </c>
      <c r="I110" s="806">
        <v>7</v>
      </c>
      <c r="J110" s="806">
        <v>8</v>
      </c>
      <c r="K110" s="806">
        <v>9</v>
      </c>
      <c r="L110" s="806">
        <v>10</v>
      </c>
      <c r="M110" s="806">
        <v>11</v>
      </c>
      <c r="N110" s="806">
        <v>12</v>
      </c>
      <c r="O110" s="806">
        <v>13</v>
      </c>
      <c r="P110" s="806">
        <v>14</v>
      </c>
      <c r="Q110" s="806">
        <v>15</v>
      </c>
      <c r="R110" s="807">
        <v>16</v>
      </c>
      <c r="S110" s="808" t="s">
        <v>28</v>
      </c>
      <c r="T110" s="809" t="s">
        <v>188</v>
      </c>
      <c r="U110" s="49"/>
      <c r="V110" s="120"/>
      <c r="W110" s="2267" t="s">
        <v>43</v>
      </c>
      <c r="X110" s="2268"/>
      <c r="Y110" s="797">
        <v>1</v>
      </c>
      <c r="Z110" s="798">
        <v>2</v>
      </c>
      <c r="AA110" s="798">
        <v>3</v>
      </c>
      <c r="AB110" s="798">
        <v>4</v>
      </c>
      <c r="AC110" s="798">
        <v>7</v>
      </c>
      <c r="AD110" s="798">
        <v>8</v>
      </c>
      <c r="AE110" s="798">
        <v>9</v>
      </c>
      <c r="AF110" s="798">
        <v>10</v>
      </c>
      <c r="AG110" s="724" t="s">
        <v>28</v>
      </c>
      <c r="AH110" s="50"/>
      <c r="AI110" s="2237" t="s">
        <v>84</v>
      </c>
      <c r="AJ110" s="2238"/>
      <c r="AK110" s="805">
        <v>1</v>
      </c>
      <c r="AL110" s="806">
        <v>2</v>
      </c>
      <c r="AM110" s="806">
        <v>3</v>
      </c>
      <c r="AN110" s="806">
        <v>4</v>
      </c>
      <c r="AO110" s="806">
        <v>5</v>
      </c>
      <c r="AP110" s="806">
        <v>6</v>
      </c>
      <c r="AQ110" s="806">
        <v>7</v>
      </c>
      <c r="AR110" s="806">
        <v>8</v>
      </c>
      <c r="AS110" s="806">
        <v>9</v>
      </c>
      <c r="AT110" s="806">
        <v>10</v>
      </c>
      <c r="AU110" s="806">
        <v>11</v>
      </c>
      <c r="AV110" s="806">
        <v>12</v>
      </c>
      <c r="AW110" s="806">
        <v>13</v>
      </c>
      <c r="AX110" s="806">
        <v>14</v>
      </c>
      <c r="AY110" s="806">
        <v>15</v>
      </c>
      <c r="AZ110" s="807">
        <v>16</v>
      </c>
      <c r="BA110" s="2294" t="s">
        <v>28</v>
      </c>
      <c r="BB110" s="2295"/>
      <c r="BC110" s="824"/>
      <c r="BD110" s="503"/>
      <c r="BE110" s="1873" t="s">
        <v>43</v>
      </c>
      <c r="BF110" s="1874"/>
      <c r="BG110" s="797">
        <v>1</v>
      </c>
      <c r="BH110" s="798">
        <v>2</v>
      </c>
      <c r="BI110" s="798">
        <v>3</v>
      </c>
      <c r="BJ110" s="798">
        <v>4</v>
      </c>
      <c r="BK110" s="798">
        <v>7</v>
      </c>
      <c r="BL110" s="798">
        <v>8</v>
      </c>
      <c r="BM110" s="798">
        <v>9</v>
      </c>
      <c r="BN110" s="798">
        <v>10</v>
      </c>
      <c r="BO110" s="724" t="s">
        <v>28</v>
      </c>
      <c r="BP110" s="6"/>
      <c r="CX110" s="996" t="s">
        <v>276</v>
      </c>
      <c r="CY110" s="960"/>
      <c r="CZ110" s="960"/>
      <c r="DA110" s="960">
        <f>AVERAGE(C72,AK72)</f>
        <v>2</v>
      </c>
    </row>
    <row r="111" spans="1:106" ht="21.9" customHeight="1" x14ac:dyDescent="0.35">
      <c r="A111" s="2269" t="s">
        <v>987</v>
      </c>
      <c r="B111" s="2270"/>
      <c r="C111" s="458">
        <v>164</v>
      </c>
      <c r="D111" s="228">
        <v>162</v>
      </c>
      <c r="E111" s="398" t="s">
        <v>1718</v>
      </c>
      <c r="F111" s="228" t="s">
        <v>1719</v>
      </c>
      <c r="G111" s="398" t="s">
        <v>1718</v>
      </c>
      <c r="H111" s="228">
        <v>164</v>
      </c>
      <c r="I111" s="398" t="s">
        <v>1718</v>
      </c>
      <c r="J111" s="228">
        <v>161</v>
      </c>
      <c r="K111" s="228" t="s">
        <v>1718</v>
      </c>
      <c r="L111" s="398" t="s">
        <v>1718</v>
      </c>
      <c r="M111" s="398" t="s">
        <v>1718</v>
      </c>
      <c r="N111" s="398">
        <v>146</v>
      </c>
      <c r="O111" s="228">
        <v>160</v>
      </c>
      <c r="P111" s="359">
        <v>148</v>
      </c>
      <c r="Q111" s="228">
        <v>163</v>
      </c>
      <c r="R111" s="355" t="s">
        <v>1718</v>
      </c>
      <c r="S111" s="810">
        <f t="shared" ref="S111:S117" si="21">ROUND(AVERAGE(C111:R111),1)</f>
        <v>158.5</v>
      </c>
      <c r="T111" s="1547">
        <f>COUNT(C111:R111)</f>
        <v>8</v>
      </c>
      <c r="U111" s="52" t="s">
        <v>985</v>
      </c>
      <c r="V111" s="503">
        <v>31</v>
      </c>
      <c r="W111" s="1871" t="s">
        <v>240</v>
      </c>
      <c r="X111" s="1872"/>
      <c r="Y111" s="398">
        <v>25</v>
      </c>
      <c r="Z111" s="398">
        <v>26</v>
      </c>
      <c r="AA111" s="398">
        <v>25</v>
      </c>
      <c r="AB111" s="398">
        <v>26</v>
      </c>
      <c r="AC111" s="398">
        <v>26</v>
      </c>
      <c r="AD111" s="398" t="s">
        <v>1718</v>
      </c>
      <c r="AE111" s="398">
        <v>26</v>
      </c>
      <c r="AF111" s="466" t="s">
        <v>1718</v>
      </c>
      <c r="AG111" s="828">
        <f>ROUND(AVERAGE(Y111:AF111),1)</f>
        <v>25.7</v>
      </c>
      <c r="AH111" s="51"/>
      <c r="AI111" s="2269" t="s">
        <v>987</v>
      </c>
      <c r="AJ111" s="2270"/>
      <c r="AK111" s="458">
        <v>162</v>
      </c>
      <c r="AL111" s="228">
        <v>161</v>
      </c>
      <c r="AM111" s="398" t="s">
        <v>1718</v>
      </c>
      <c r="AN111" s="228" t="s">
        <v>1719</v>
      </c>
      <c r="AO111" s="398" t="s">
        <v>1718</v>
      </c>
      <c r="AP111" s="228">
        <v>151</v>
      </c>
      <c r="AQ111" s="398" t="s">
        <v>1719</v>
      </c>
      <c r="AR111" s="228">
        <v>154</v>
      </c>
      <c r="AS111" s="398" t="s">
        <v>1718</v>
      </c>
      <c r="AT111" s="228" t="s">
        <v>1719</v>
      </c>
      <c r="AU111" s="228" t="s">
        <v>1719</v>
      </c>
      <c r="AV111" s="398">
        <v>156</v>
      </c>
      <c r="AW111" s="228">
        <v>149</v>
      </c>
      <c r="AX111" s="359">
        <v>151</v>
      </c>
      <c r="AY111" s="228">
        <v>154</v>
      </c>
      <c r="AZ111" s="355">
        <v>161</v>
      </c>
      <c r="BA111" s="492">
        <f t="shared" ref="BA111:BA117" si="22">ROUND(AVERAGE(AK111:AZ111),1)</f>
        <v>155.4</v>
      </c>
      <c r="BB111" s="845">
        <f>COUNT(AK111:AZ111)</f>
        <v>9</v>
      </c>
      <c r="BC111" s="52" t="s">
        <v>985</v>
      </c>
      <c r="BD111" s="497">
        <v>31</v>
      </c>
      <c r="BE111" s="1871" t="s">
        <v>240</v>
      </c>
      <c r="BF111" s="1872"/>
      <c r="BG111" s="398">
        <v>22</v>
      </c>
      <c r="BH111" s="398">
        <v>22</v>
      </c>
      <c r="BI111" s="398">
        <v>22</v>
      </c>
      <c r="BJ111" s="398">
        <v>21</v>
      </c>
      <c r="BK111" s="398">
        <v>24</v>
      </c>
      <c r="BL111" s="398" t="s">
        <v>1718</v>
      </c>
      <c r="BM111" s="398">
        <v>24</v>
      </c>
      <c r="BN111" s="398" t="s">
        <v>1718</v>
      </c>
      <c r="BO111" s="828">
        <f>ROUND(AVERAGE(BG111:BN111),1)</f>
        <v>22.5</v>
      </c>
      <c r="BP111" s="6"/>
      <c r="CX111" s="996" t="s">
        <v>277</v>
      </c>
      <c r="CY111" s="960"/>
      <c r="CZ111" s="960"/>
      <c r="DA111" s="960">
        <f>AVERAGE(C73,AK73)</f>
        <v>19.5</v>
      </c>
    </row>
    <row r="112" spans="1:106" ht="21.9" customHeight="1" x14ac:dyDescent="0.35">
      <c r="A112" s="1855" t="s">
        <v>440</v>
      </c>
      <c r="B112" s="1856"/>
      <c r="C112" s="372"/>
      <c r="D112" s="228"/>
      <c r="E112" s="398"/>
      <c r="F112" s="228"/>
      <c r="G112" s="398"/>
      <c r="H112" s="228"/>
      <c r="I112" s="398"/>
      <c r="J112" s="228"/>
      <c r="K112" s="228"/>
      <c r="L112" s="398"/>
      <c r="M112" s="398"/>
      <c r="N112" s="398"/>
      <c r="O112" s="228"/>
      <c r="P112" s="228"/>
      <c r="Q112" s="228"/>
      <c r="R112" s="355"/>
      <c r="S112" s="810" t="e">
        <f t="shared" si="21"/>
        <v>#DIV/0!</v>
      </c>
      <c r="T112" s="1547">
        <f t="shared" ref="T112" si="23">COUNT(C112:R112)</f>
        <v>0</v>
      </c>
      <c r="U112" s="804" t="s">
        <v>986</v>
      </c>
      <c r="V112" s="497">
        <v>249</v>
      </c>
      <c r="W112" s="2314" t="s">
        <v>442</v>
      </c>
      <c r="X112" s="2315"/>
      <c r="Y112" s="228">
        <v>-0.5</v>
      </c>
      <c r="Z112" s="228">
        <v>-0.5</v>
      </c>
      <c r="AA112" s="228">
        <v>-0.5</v>
      </c>
      <c r="AB112" s="228">
        <v>-0.5</v>
      </c>
      <c r="AC112" s="228">
        <v>-0.5</v>
      </c>
      <c r="AD112" s="228"/>
      <c r="AE112" s="228">
        <v>-0.5</v>
      </c>
      <c r="AF112" s="228"/>
      <c r="AG112" s="828">
        <f>ROUND(AVERAGE(Y112:AF112),1)</f>
        <v>-0.5</v>
      </c>
      <c r="AH112" s="51"/>
      <c r="AI112" s="1855" t="s">
        <v>440</v>
      </c>
      <c r="AJ112" s="1856"/>
      <c r="AK112" s="372">
        <v>95</v>
      </c>
      <c r="AL112" s="228">
        <v>96</v>
      </c>
      <c r="AM112" s="398"/>
      <c r="AN112" s="228"/>
      <c r="AO112" s="398"/>
      <c r="AP112" s="228">
        <v>92</v>
      </c>
      <c r="AQ112" s="398"/>
      <c r="AR112" s="228">
        <v>103</v>
      </c>
      <c r="AS112" s="228"/>
      <c r="AT112" s="398"/>
      <c r="AU112" s="398"/>
      <c r="AV112" s="398">
        <v>91</v>
      </c>
      <c r="AW112" s="228">
        <v>109</v>
      </c>
      <c r="AX112" s="228">
        <v>94</v>
      </c>
      <c r="AY112" s="228">
        <v>105</v>
      </c>
      <c r="AZ112" s="355">
        <v>91</v>
      </c>
      <c r="BA112" s="492">
        <f t="shared" si="22"/>
        <v>97.3</v>
      </c>
      <c r="BB112" s="845">
        <f t="shared" ref="BB112:BB113" si="24">COUNT(AK112:AZ112)</f>
        <v>9</v>
      </c>
      <c r="BC112" s="804" t="s">
        <v>986</v>
      </c>
      <c r="BD112" s="498">
        <v>248</v>
      </c>
      <c r="BE112" s="2271" t="s">
        <v>442</v>
      </c>
      <c r="BF112" s="2272"/>
      <c r="BG112" s="228">
        <v>-1</v>
      </c>
      <c r="BH112" s="228">
        <v>-1</v>
      </c>
      <c r="BI112" s="398">
        <v>-1</v>
      </c>
      <c r="BJ112" s="228">
        <v>-1</v>
      </c>
      <c r="BK112" s="398">
        <v>-1</v>
      </c>
      <c r="BL112" s="228"/>
      <c r="BM112" s="398">
        <v>-1</v>
      </c>
      <c r="BN112" s="466"/>
      <c r="BO112" s="828">
        <f>ROUND(AVERAGE(BG112:BN112),1)</f>
        <v>-1</v>
      </c>
      <c r="BP112" s="6"/>
      <c r="CX112" s="996" t="s">
        <v>278</v>
      </c>
      <c r="CY112" s="960"/>
      <c r="CZ112" s="960"/>
      <c r="DA112" s="960">
        <f>AVERAGE(C71,AK71)</f>
        <v>0</v>
      </c>
    </row>
    <row r="113" spans="1:105" ht="21.9" customHeight="1" x14ac:dyDescent="0.35">
      <c r="A113" s="1823" t="s">
        <v>132</v>
      </c>
      <c r="B113" s="1824"/>
      <c r="C113" s="372"/>
      <c r="D113" s="228"/>
      <c r="E113" s="398"/>
      <c r="F113" s="228"/>
      <c r="G113" s="398"/>
      <c r="H113" s="228"/>
      <c r="I113" s="398"/>
      <c r="J113" s="228"/>
      <c r="K113" s="228"/>
      <c r="L113" s="398"/>
      <c r="M113" s="398"/>
      <c r="N113" s="398"/>
      <c r="O113" s="228"/>
      <c r="P113" s="228"/>
      <c r="Q113" s="228"/>
      <c r="R113" s="355"/>
      <c r="S113" s="810" t="e">
        <f t="shared" si="21"/>
        <v>#DIV/0!</v>
      </c>
      <c r="T113" s="1547">
        <f>COUNT(C113:R113)</f>
        <v>0</v>
      </c>
      <c r="U113" s="979" t="s">
        <v>444</v>
      </c>
      <c r="V113" s="504">
        <v>3</v>
      </c>
      <c r="W113" s="1871" t="s">
        <v>984</v>
      </c>
      <c r="X113" s="1872"/>
      <c r="Y113" s="228">
        <v>180</v>
      </c>
      <c r="Z113" s="228">
        <v>179</v>
      </c>
      <c r="AA113" s="228">
        <v>180</v>
      </c>
      <c r="AB113" s="228">
        <v>179</v>
      </c>
      <c r="AC113" s="228">
        <v>178</v>
      </c>
      <c r="AD113" s="398"/>
      <c r="AE113" s="228">
        <v>180</v>
      </c>
      <c r="AF113" s="466"/>
      <c r="AG113" s="828">
        <f>ROUND(AVERAGE(Y113:AF113),1)</f>
        <v>179.3</v>
      </c>
      <c r="AH113" s="51"/>
      <c r="AI113" s="1823" t="s">
        <v>132</v>
      </c>
      <c r="AJ113" s="1824"/>
      <c r="AK113" s="372">
        <v>-1</v>
      </c>
      <c r="AL113" s="228">
        <v>-1</v>
      </c>
      <c r="AM113" s="398"/>
      <c r="AN113" s="228"/>
      <c r="AO113" s="398"/>
      <c r="AP113" s="228">
        <v>-1</v>
      </c>
      <c r="AQ113" s="398"/>
      <c r="AR113" s="228">
        <v>-1</v>
      </c>
      <c r="AS113" s="228"/>
      <c r="AT113" s="398"/>
      <c r="AU113" s="398"/>
      <c r="AV113" s="398">
        <v>-1</v>
      </c>
      <c r="AW113" s="228">
        <v>-1</v>
      </c>
      <c r="AX113" s="228">
        <v>-1</v>
      </c>
      <c r="AY113" s="228">
        <v>-1</v>
      </c>
      <c r="AZ113" s="355">
        <v>-1</v>
      </c>
      <c r="BA113" s="492">
        <f t="shared" si="22"/>
        <v>-1</v>
      </c>
      <c r="BB113" s="845">
        <f t="shared" si="24"/>
        <v>9</v>
      </c>
      <c r="BC113" s="979" t="s">
        <v>444</v>
      </c>
      <c r="BD113" s="499">
        <v>3.3</v>
      </c>
      <c r="BE113" s="1871" t="s">
        <v>984</v>
      </c>
      <c r="BF113" s="1872"/>
      <c r="BG113" s="228">
        <v>172</v>
      </c>
      <c r="BH113" s="228">
        <v>171</v>
      </c>
      <c r="BI113" s="398">
        <v>179</v>
      </c>
      <c r="BJ113" s="228">
        <v>176</v>
      </c>
      <c r="BK113" s="398">
        <v>170</v>
      </c>
      <c r="BL113" s="398"/>
      <c r="BM113" s="398">
        <v>175</v>
      </c>
      <c r="BN113" s="466"/>
      <c r="BO113" s="828">
        <f>ROUND(AVERAGE(BG113:BN113),1)</f>
        <v>173.8</v>
      </c>
      <c r="BP113" s="6"/>
      <c r="CX113" s="996" t="s">
        <v>279</v>
      </c>
      <c r="CY113" s="960"/>
      <c r="CZ113" s="960"/>
      <c r="DA113" s="960">
        <f>AVERAGE(C70,AK70)</f>
        <v>740</v>
      </c>
    </row>
    <row r="114" spans="1:105" ht="21.9" customHeight="1" x14ac:dyDescent="0.35">
      <c r="A114" s="1823" t="s">
        <v>988</v>
      </c>
      <c r="B114" s="1824"/>
      <c r="C114" s="372"/>
      <c r="D114" s="398"/>
      <c r="E114" s="398"/>
      <c r="F114" s="398"/>
      <c r="G114" s="398"/>
      <c r="H114" s="398"/>
      <c r="I114" s="398"/>
      <c r="J114" s="398"/>
      <c r="K114" s="398"/>
      <c r="L114" s="398"/>
      <c r="M114" s="398"/>
      <c r="N114" s="398"/>
      <c r="O114" s="398"/>
      <c r="P114" s="398"/>
      <c r="Q114" s="398"/>
      <c r="R114" s="355"/>
      <c r="S114" s="810" t="e">
        <f t="shared" si="21"/>
        <v>#DIV/0!</v>
      </c>
      <c r="T114" s="1548">
        <f>COUNT(C114:R114)</f>
        <v>0</v>
      </c>
      <c r="U114" s="2257" t="s">
        <v>443</v>
      </c>
      <c r="V114" s="497">
        <v>36</v>
      </c>
      <c r="W114" s="2198"/>
      <c r="X114" s="2199"/>
      <c r="Y114" s="467"/>
      <c r="Z114" s="365"/>
      <c r="AA114" s="468"/>
      <c r="AB114" s="365"/>
      <c r="AC114" s="365"/>
      <c r="AD114" s="365"/>
      <c r="AE114" s="365"/>
      <c r="AF114" s="469"/>
      <c r="AG114" s="829">
        <f>COUNT(Y113:AF113)</f>
        <v>6</v>
      </c>
      <c r="AH114" s="53"/>
      <c r="AI114" s="1823" t="s">
        <v>988</v>
      </c>
      <c r="AJ114" s="1824"/>
      <c r="AK114" s="372"/>
      <c r="AL114" s="398"/>
      <c r="AM114" s="398"/>
      <c r="AN114" s="398"/>
      <c r="AO114" s="398"/>
      <c r="AP114" s="398"/>
      <c r="AQ114" s="398"/>
      <c r="AR114" s="398"/>
      <c r="AS114" s="398"/>
      <c r="AT114" s="398"/>
      <c r="AU114" s="398"/>
      <c r="AV114" s="398"/>
      <c r="AW114" s="398"/>
      <c r="AX114" s="398"/>
      <c r="AY114" s="398"/>
      <c r="AZ114" s="355"/>
      <c r="BA114" s="492" t="e">
        <f t="shared" si="22"/>
        <v>#DIV/0!</v>
      </c>
      <c r="BB114" s="493">
        <f>COUNT(AK114:AZ114)</f>
        <v>0</v>
      </c>
      <c r="BC114" s="2257" t="s">
        <v>443</v>
      </c>
      <c r="BD114" s="498">
        <v>35</v>
      </c>
      <c r="BE114" s="2124"/>
      <c r="BF114" s="2125"/>
      <c r="BG114" s="467"/>
      <c r="BH114" s="365"/>
      <c r="BI114" s="468"/>
      <c r="BJ114" s="365"/>
      <c r="BK114" s="365"/>
      <c r="BL114" s="365"/>
      <c r="BM114" s="365"/>
      <c r="BN114" s="469"/>
      <c r="BO114" s="829">
        <f>COUNT(BG113:BN113)</f>
        <v>6</v>
      </c>
      <c r="BP114" s="6"/>
      <c r="CX114" s="996" t="s">
        <v>309</v>
      </c>
      <c r="CY114" s="960"/>
      <c r="CZ114" s="960"/>
      <c r="DA114" s="248">
        <f>BA113</f>
        <v>-1</v>
      </c>
    </row>
    <row r="115" spans="1:105" ht="21.9" customHeight="1" x14ac:dyDescent="0.35">
      <c r="A115" s="1823" t="s">
        <v>989</v>
      </c>
      <c r="B115" s="1824"/>
      <c r="C115" s="372">
        <v>394</v>
      </c>
      <c r="D115" s="398">
        <v>370</v>
      </c>
      <c r="E115" s="398"/>
      <c r="F115" s="398"/>
      <c r="G115" s="398"/>
      <c r="H115" s="398">
        <v>483</v>
      </c>
      <c r="I115" s="398"/>
      <c r="J115" s="398">
        <v>480</v>
      </c>
      <c r="K115" s="398"/>
      <c r="L115" s="398"/>
      <c r="M115" s="398"/>
      <c r="N115" s="398">
        <v>435</v>
      </c>
      <c r="O115" s="398">
        <v>479</v>
      </c>
      <c r="P115" s="398">
        <v>423</v>
      </c>
      <c r="Q115" s="398">
        <v>446</v>
      </c>
      <c r="R115" s="355"/>
      <c r="S115" s="810">
        <f t="shared" si="21"/>
        <v>438.8</v>
      </c>
      <c r="T115" s="1548">
        <f>COUNT(C115:R115)</f>
        <v>8</v>
      </c>
      <c r="U115" s="2258"/>
      <c r="V115" s="505"/>
      <c r="W115" s="2198"/>
      <c r="X115" s="2199"/>
      <c r="Y115" s="957"/>
      <c r="Z115" s="228"/>
      <c r="AA115" s="470"/>
      <c r="AB115" s="228"/>
      <c r="AC115" s="228"/>
      <c r="AD115" s="228"/>
      <c r="AE115" s="228"/>
      <c r="AF115" s="471"/>
      <c r="AG115" s="501"/>
      <c r="AH115" s="53"/>
      <c r="AI115" s="1823" t="s">
        <v>989</v>
      </c>
      <c r="AJ115" s="1824"/>
      <c r="AK115" s="372">
        <v>396</v>
      </c>
      <c r="AL115" s="398">
        <v>358</v>
      </c>
      <c r="AM115" s="398"/>
      <c r="AN115" s="398"/>
      <c r="AO115" s="398"/>
      <c r="AP115" s="398">
        <v>486</v>
      </c>
      <c r="AQ115" s="398"/>
      <c r="AR115" s="398">
        <v>376</v>
      </c>
      <c r="AS115" s="398"/>
      <c r="AT115" s="398"/>
      <c r="AU115" s="398"/>
      <c r="AV115" s="398">
        <v>441</v>
      </c>
      <c r="AW115" s="398">
        <v>499</v>
      </c>
      <c r="AX115" s="398">
        <v>425</v>
      </c>
      <c r="AY115" s="398">
        <v>433</v>
      </c>
      <c r="AZ115" s="355">
        <v>439</v>
      </c>
      <c r="BA115" s="492">
        <f t="shared" si="22"/>
        <v>428.1</v>
      </c>
      <c r="BB115" s="493">
        <f>COUNT(AK115:AZ115)</f>
        <v>9</v>
      </c>
      <c r="BC115" s="2258"/>
      <c r="BD115" s="500"/>
      <c r="BE115" s="2124"/>
      <c r="BF115" s="2125"/>
      <c r="BG115" s="957"/>
      <c r="BH115" s="228"/>
      <c r="BI115" s="470"/>
      <c r="BJ115" s="228"/>
      <c r="BK115" s="228"/>
      <c r="BL115" s="228"/>
      <c r="BM115" s="228"/>
      <c r="BN115" s="471"/>
      <c r="BO115" s="829"/>
      <c r="BP115" s="6"/>
      <c r="CX115" s="996"/>
      <c r="CY115" s="960"/>
      <c r="CZ115" s="960"/>
      <c r="DA115" s="960"/>
    </row>
    <row r="116" spans="1:105" ht="21.9" customHeight="1" thickBot="1" x14ac:dyDescent="0.4">
      <c r="A116" s="1823" t="s">
        <v>990</v>
      </c>
      <c r="B116" s="1824"/>
      <c r="C116" s="356">
        <v>9.4</v>
      </c>
      <c r="D116" s="362">
        <v>9</v>
      </c>
      <c r="E116" s="349"/>
      <c r="F116" s="362"/>
      <c r="G116" s="349"/>
      <c r="H116" s="362">
        <v>9.1999999999999993</v>
      </c>
      <c r="I116" s="349"/>
      <c r="J116" s="362">
        <v>9.1999999999999993</v>
      </c>
      <c r="K116" s="362"/>
      <c r="L116" s="349"/>
      <c r="M116" s="349"/>
      <c r="N116" s="349">
        <v>9.4</v>
      </c>
      <c r="O116" s="362">
        <v>9.4</v>
      </c>
      <c r="P116" s="362">
        <v>9.1999999999999993</v>
      </c>
      <c r="Q116" s="362">
        <v>9.4</v>
      </c>
      <c r="R116" s="401"/>
      <c r="S116" s="810">
        <f t="shared" si="21"/>
        <v>9.3000000000000007</v>
      </c>
      <c r="T116" s="1548">
        <f>COUNT(C116:R116)</f>
        <v>8</v>
      </c>
      <c r="U116" s="52"/>
      <c r="V116" s="506"/>
      <c r="W116" s="2287"/>
      <c r="X116" s="2288"/>
      <c r="Y116" s="472"/>
      <c r="Z116" s="228"/>
      <c r="AA116" s="228"/>
      <c r="AB116" s="228"/>
      <c r="AC116" s="228"/>
      <c r="AD116" s="228"/>
      <c r="AE116" s="228"/>
      <c r="AF116" s="471"/>
      <c r="AG116" s="501"/>
      <c r="AH116" s="51"/>
      <c r="AI116" s="1823" t="s">
        <v>990</v>
      </c>
      <c r="AJ116" s="1824"/>
      <c r="AK116" s="356"/>
      <c r="AL116" s="362"/>
      <c r="AM116" s="349"/>
      <c r="AN116" s="362"/>
      <c r="AO116" s="349"/>
      <c r="AP116" s="362"/>
      <c r="AQ116" s="349"/>
      <c r="AR116" s="362"/>
      <c r="AS116" s="362"/>
      <c r="AT116" s="349"/>
      <c r="AU116" s="349"/>
      <c r="AV116" s="349"/>
      <c r="AW116" s="362"/>
      <c r="AX116" s="362"/>
      <c r="AY116" s="362"/>
      <c r="AZ116" s="401"/>
      <c r="BA116" s="492" t="e">
        <f t="shared" si="22"/>
        <v>#DIV/0!</v>
      </c>
      <c r="BB116" s="493">
        <f>COUNT(AK116:AZ116)</f>
        <v>0</v>
      </c>
      <c r="BC116" s="803"/>
      <c r="BD116" s="972"/>
      <c r="BE116" s="2289"/>
      <c r="BF116" s="2290"/>
      <c r="BG116" s="472"/>
      <c r="BH116" s="228"/>
      <c r="BI116" s="228"/>
      <c r="BJ116" s="228"/>
      <c r="BK116" s="228"/>
      <c r="BL116" s="228"/>
      <c r="BM116" s="228"/>
      <c r="BN116" s="471"/>
      <c r="BO116" s="829"/>
      <c r="BP116" s="6"/>
      <c r="BZ116" s="4"/>
      <c r="CX116" s="996"/>
      <c r="CY116" s="960"/>
      <c r="CZ116" s="960"/>
      <c r="DA116" s="960"/>
    </row>
    <row r="117" spans="1:105" ht="21.9" customHeight="1" thickBot="1" x14ac:dyDescent="0.4">
      <c r="A117" s="1823" t="s">
        <v>991</v>
      </c>
      <c r="B117" s="1824"/>
      <c r="C117" s="1405">
        <v>169</v>
      </c>
      <c r="D117" s="359">
        <v>141</v>
      </c>
      <c r="E117" s="359"/>
      <c r="F117" s="359"/>
      <c r="G117" s="359"/>
      <c r="H117" s="359">
        <v>179</v>
      </c>
      <c r="I117" s="359"/>
      <c r="J117" s="359">
        <v>180</v>
      </c>
      <c r="K117" s="359"/>
      <c r="L117" s="359"/>
      <c r="M117" s="359"/>
      <c r="N117" s="359">
        <v>178</v>
      </c>
      <c r="O117" s="359">
        <v>169</v>
      </c>
      <c r="P117" s="359">
        <v>140</v>
      </c>
      <c r="Q117" s="359">
        <v>173</v>
      </c>
      <c r="R117" s="1406"/>
      <c r="S117" s="811">
        <f t="shared" si="21"/>
        <v>166.1</v>
      </c>
      <c r="T117" s="495"/>
      <c r="U117" s="54"/>
      <c r="V117" s="132"/>
      <c r="W117" s="2198"/>
      <c r="X117" s="2199"/>
      <c r="Y117" s="957"/>
      <c r="Z117" s="470"/>
      <c r="AA117" s="470"/>
      <c r="AB117" s="470"/>
      <c r="AC117" s="470"/>
      <c r="AD117" s="228"/>
      <c r="AE117" s="228"/>
      <c r="AF117" s="471"/>
      <c r="AG117" s="502"/>
      <c r="AH117" s="51"/>
      <c r="AI117" s="1823" t="s">
        <v>991</v>
      </c>
      <c r="AJ117" s="1824"/>
      <c r="AK117" s="1405">
        <v>170</v>
      </c>
      <c r="AL117" s="359">
        <v>140</v>
      </c>
      <c r="AM117" s="359"/>
      <c r="AN117" s="359"/>
      <c r="AO117" s="359"/>
      <c r="AP117" s="359">
        <v>181</v>
      </c>
      <c r="AQ117" s="359"/>
      <c r="AR117" s="359">
        <v>176</v>
      </c>
      <c r="AS117" s="359"/>
      <c r="AT117" s="359"/>
      <c r="AU117" s="359"/>
      <c r="AV117" s="359">
        <v>181</v>
      </c>
      <c r="AW117" s="359">
        <v>173</v>
      </c>
      <c r="AX117" s="359">
        <v>140</v>
      </c>
      <c r="AY117" s="359">
        <v>170</v>
      </c>
      <c r="AZ117" s="1406">
        <v>140</v>
      </c>
      <c r="BA117" s="494">
        <f t="shared" si="22"/>
        <v>163.4</v>
      </c>
      <c r="BB117" s="495"/>
      <c r="BC117" s="825"/>
      <c r="BD117" s="826"/>
      <c r="BE117" s="2124"/>
      <c r="BF117" s="2125"/>
      <c r="BG117" s="957"/>
      <c r="BH117" s="470"/>
      <c r="BI117" s="470"/>
      <c r="BJ117" s="470"/>
      <c r="BK117" s="470"/>
      <c r="BL117" s="228"/>
      <c r="BM117" s="228"/>
      <c r="BN117" s="471"/>
      <c r="BO117" s="830"/>
      <c r="BP117" s="6"/>
      <c r="BZ117" s="4"/>
      <c r="CX117" s="996"/>
      <c r="CY117" s="960"/>
      <c r="CZ117" s="960"/>
      <c r="DA117" s="960"/>
    </row>
    <row r="118" spans="1:105" ht="21.9" customHeight="1" thickBot="1" x14ac:dyDescent="0.4">
      <c r="A118" s="1823" t="s">
        <v>439</v>
      </c>
      <c r="B118" s="1824"/>
      <c r="C118" s="372"/>
      <c r="D118" s="228"/>
      <c r="E118" s="228"/>
      <c r="F118" s="460"/>
      <c r="G118" s="362"/>
      <c r="H118" s="362"/>
      <c r="I118" s="362"/>
      <c r="J118" s="362"/>
      <c r="K118" s="362"/>
      <c r="L118" s="362"/>
      <c r="M118" s="362"/>
      <c r="N118" s="362"/>
      <c r="O118" s="362"/>
      <c r="P118" s="362"/>
      <c r="Q118" s="362"/>
      <c r="R118" s="459"/>
      <c r="S118" s="811" t="e">
        <f>ROUND(AVERAGE(D118:R118),1)</f>
        <v>#DIV/0!</v>
      </c>
      <c r="T118" s="1548">
        <f>COUNT(C118:R118)</f>
        <v>0</v>
      </c>
      <c r="U118" s="54"/>
      <c r="V118" s="132"/>
      <c r="W118" s="55"/>
      <c r="X118" s="56"/>
      <c r="Y118" s="473"/>
      <c r="Z118" s="375"/>
      <c r="AA118" s="375"/>
      <c r="AB118" s="375"/>
      <c r="AC118" s="375"/>
      <c r="AD118" s="374"/>
      <c r="AE118" s="374"/>
      <c r="AF118" s="474"/>
      <c r="AG118" s="502"/>
      <c r="AH118" s="51"/>
      <c r="AI118" s="1823" t="s">
        <v>439</v>
      </c>
      <c r="AJ118" s="1824"/>
      <c r="AK118" s="1658"/>
      <c r="AL118" s="359"/>
      <c r="AM118" s="359"/>
      <c r="AN118" s="351"/>
      <c r="AO118" s="359"/>
      <c r="AP118" s="359"/>
      <c r="AQ118" s="359"/>
      <c r="AR118" s="359"/>
      <c r="AS118" s="359"/>
      <c r="AT118" s="359"/>
      <c r="AU118" s="359"/>
      <c r="AV118" s="359"/>
      <c r="AW118" s="359"/>
      <c r="AX118" s="359"/>
      <c r="AY118" s="359"/>
      <c r="AZ118" s="1406"/>
      <c r="BA118" s="494" t="e">
        <f>ROUND(AVERAGE(AL118:AZ118),1)</f>
        <v>#DIV/0!</v>
      </c>
      <c r="BB118" s="486">
        <f>COUNT(AL118:AZ118)</f>
        <v>0</v>
      </c>
      <c r="BC118" s="825"/>
      <c r="BD118" s="826"/>
      <c r="BE118" s="977"/>
      <c r="BF118" s="978"/>
      <c r="BG118" s="473"/>
      <c r="BH118" s="375"/>
      <c r="BI118" s="375"/>
      <c r="BJ118" s="375"/>
      <c r="BK118" s="375"/>
      <c r="BL118" s="374"/>
      <c r="BM118" s="374"/>
      <c r="BN118" s="474"/>
      <c r="BO118" s="830"/>
      <c r="BP118" s="6"/>
      <c r="BZ118" s="4"/>
      <c r="CX118" s="996"/>
      <c r="CY118" s="960"/>
      <c r="CZ118" s="960"/>
      <c r="DA118" s="960"/>
    </row>
    <row r="119" spans="1:105" ht="21.9" customHeight="1" thickBot="1" x14ac:dyDescent="0.4">
      <c r="A119" s="1823" t="s">
        <v>992</v>
      </c>
      <c r="B119" s="1824"/>
      <c r="C119" s="1405">
        <v>540</v>
      </c>
      <c r="D119" s="359">
        <v>540</v>
      </c>
      <c r="E119" s="359"/>
      <c r="F119" s="359"/>
      <c r="G119" s="359"/>
      <c r="H119" s="359">
        <v>540</v>
      </c>
      <c r="I119" s="359"/>
      <c r="J119" s="359">
        <v>540</v>
      </c>
      <c r="K119" s="359"/>
      <c r="L119" s="359"/>
      <c r="M119" s="359"/>
      <c r="N119" s="359">
        <v>540</v>
      </c>
      <c r="O119" s="359">
        <v>540</v>
      </c>
      <c r="P119" s="359">
        <v>540</v>
      </c>
      <c r="Q119" s="359">
        <v>540</v>
      </c>
      <c r="R119" s="359"/>
      <c r="S119" s="811">
        <f>ROUND(AVERAGE(C119:R119),1)</f>
        <v>540</v>
      </c>
      <c r="T119" s="1548">
        <f>COUNT(C119:R119)</f>
        <v>8</v>
      </c>
      <c r="U119" s="54"/>
      <c r="V119" s="132"/>
      <c r="W119" s="1742" t="s">
        <v>1651</v>
      </c>
      <c r="X119" s="1743"/>
      <c r="Y119" s="799">
        <v>1</v>
      </c>
      <c r="Z119" s="800">
        <v>2</v>
      </c>
      <c r="AA119" s="800">
        <v>3</v>
      </c>
      <c r="AB119" s="800">
        <v>4</v>
      </c>
      <c r="AC119" s="800">
        <v>5</v>
      </c>
      <c r="AD119" s="453" t="s">
        <v>784</v>
      </c>
      <c r="AE119" s="27"/>
      <c r="AF119" s="57"/>
      <c r="AG119" s="502"/>
      <c r="AH119" s="51"/>
      <c r="AI119" s="1823" t="s">
        <v>992</v>
      </c>
      <c r="AJ119" s="1824"/>
      <c r="AK119" s="1405">
        <v>540</v>
      </c>
      <c r="AL119" s="359">
        <v>540</v>
      </c>
      <c r="AM119" s="359"/>
      <c r="AN119" s="359"/>
      <c r="AO119" s="359"/>
      <c r="AP119" s="359">
        <v>540</v>
      </c>
      <c r="AQ119" s="359"/>
      <c r="AR119" s="359">
        <v>540</v>
      </c>
      <c r="AS119" s="359"/>
      <c r="AT119" s="359"/>
      <c r="AU119" s="359"/>
      <c r="AV119" s="359">
        <v>540</v>
      </c>
      <c r="AW119" s="359">
        <v>540</v>
      </c>
      <c r="AX119" s="359">
        <v>540</v>
      </c>
      <c r="AY119" s="359">
        <v>540</v>
      </c>
      <c r="AZ119" s="359">
        <v>540</v>
      </c>
      <c r="BA119" s="494">
        <f>ROUND(AVERAGE(AK119:AZ119),1)</f>
        <v>540</v>
      </c>
      <c r="BB119" s="486">
        <f>COUNT(AK119:AZ119)</f>
        <v>9</v>
      </c>
      <c r="BC119" s="825"/>
      <c r="BD119" s="826"/>
      <c r="BE119" s="1742" t="s">
        <v>1651</v>
      </c>
      <c r="BF119" s="1743"/>
      <c r="BG119" s="799">
        <v>1</v>
      </c>
      <c r="BH119" s="800">
        <v>2</v>
      </c>
      <c r="BI119" s="800">
        <v>3</v>
      </c>
      <c r="BJ119" s="800">
        <v>4</v>
      </c>
      <c r="BK119" s="800">
        <v>5</v>
      </c>
      <c r="BL119" s="453" t="s">
        <v>784</v>
      </c>
      <c r="BM119" s="453"/>
      <c r="BN119" s="455"/>
      <c r="BO119" s="502"/>
      <c r="BP119" s="6"/>
      <c r="BZ119" s="4"/>
      <c r="CX119" s="996"/>
      <c r="CY119" s="960"/>
      <c r="CZ119" s="960"/>
      <c r="DA119" s="960"/>
    </row>
    <row r="120" spans="1:105" ht="21.9" customHeight="1" thickBot="1" x14ac:dyDescent="0.4">
      <c r="A120" s="2259" t="s">
        <v>1412</v>
      </c>
      <c r="B120" s="2260"/>
      <c r="C120" s="461"/>
      <c r="D120" s="462"/>
      <c r="E120" s="374"/>
      <c r="F120" s="462"/>
      <c r="G120" s="463"/>
      <c r="H120" s="365"/>
      <c r="I120" s="463"/>
      <c r="J120" s="462"/>
      <c r="K120" s="462"/>
      <c r="L120" s="374"/>
      <c r="M120" s="374"/>
      <c r="N120" s="374"/>
      <c r="O120" s="462"/>
      <c r="P120" s="462"/>
      <c r="Q120" s="462"/>
      <c r="R120" s="464"/>
      <c r="S120" s="811" t="e">
        <f>ROUND(AVERAGE(C120:R120),1)</f>
        <v>#DIV/0!</v>
      </c>
      <c r="T120" s="465"/>
      <c r="U120" s="59"/>
      <c r="V120" s="60"/>
      <c r="W120" s="1744"/>
      <c r="X120" s="1745"/>
      <c r="Y120" s="1628">
        <v>38</v>
      </c>
      <c r="Z120" s="1629">
        <v>31</v>
      </c>
      <c r="AA120" s="1546">
        <v>44</v>
      </c>
      <c r="AB120" s="1629">
        <v>39</v>
      </c>
      <c r="AC120" s="1546">
        <v>46</v>
      </c>
      <c r="AD120" s="801">
        <v>0.875</v>
      </c>
      <c r="AE120" s="58"/>
      <c r="AF120" s="61"/>
      <c r="AG120" s="802">
        <f>ROUND(AVERAGE(Y120:AC121),1)</f>
        <v>40.9</v>
      </c>
      <c r="AH120" s="12"/>
      <c r="AI120" s="2259" t="s">
        <v>1413</v>
      </c>
      <c r="AJ120" s="2260"/>
      <c r="AK120" s="461">
        <v>-2</v>
      </c>
      <c r="AL120" s="462">
        <v>-5</v>
      </c>
      <c r="AM120" s="374"/>
      <c r="AN120" s="462"/>
      <c r="AO120" s="463"/>
      <c r="AP120" s="365">
        <v>-6</v>
      </c>
      <c r="AQ120" s="463"/>
      <c r="AR120" s="462">
        <v>-8</v>
      </c>
      <c r="AS120" s="462"/>
      <c r="AT120" s="374"/>
      <c r="AU120" s="374"/>
      <c r="AV120" s="374">
        <v>-2</v>
      </c>
      <c r="AW120" s="462">
        <v>-5</v>
      </c>
      <c r="AX120" s="462">
        <v>-2</v>
      </c>
      <c r="AY120" s="462">
        <v>-10</v>
      </c>
      <c r="AZ120" s="464">
        <v>-2</v>
      </c>
      <c r="BA120" s="494">
        <f>ROUND(AVERAGE(AK120:AZ120),1)</f>
        <v>-4.7</v>
      </c>
      <c r="BB120" s="496"/>
      <c r="BC120" s="827"/>
      <c r="BD120" s="977"/>
      <c r="BE120" s="1744"/>
      <c r="BF120" s="1745"/>
      <c r="BG120" s="422">
        <v>46</v>
      </c>
      <c r="BH120" s="374">
        <v>38</v>
      </c>
      <c r="BI120" s="374">
        <v>44</v>
      </c>
      <c r="BJ120" s="374">
        <v>39</v>
      </c>
      <c r="BK120" s="374">
        <v>46</v>
      </c>
      <c r="BL120" s="801">
        <v>0.375</v>
      </c>
      <c r="BM120" s="831"/>
      <c r="BN120" s="832"/>
      <c r="BO120" s="802">
        <f>ROUND(AVERAGE(BG120:BK121),1)</f>
        <v>43.1</v>
      </c>
      <c r="BP120" s="6"/>
      <c r="CX120" s="996"/>
      <c r="CY120" s="960"/>
      <c r="CZ120" s="960"/>
      <c r="DA120" s="960"/>
    </row>
    <row r="121" spans="1:105" ht="21.9" customHeight="1" thickBot="1" x14ac:dyDescent="0.4">
      <c r="A121" s="62"/>
      <c r="B121" s="1000"/>
      <c r="C121" s="1000"/>
      <c r="D121" s="821">
        <f>AVERAGE(D115,G115,H115,J115,M115,N115)</f>
        <v>442</v>
      </c>
      <c r="E121" s="822" t="e">
        <f>AVERAGE(E115)</f>
        <v>#DIV/0!</v>
      </c>
      <c r="F121" s="821">
        <f>AVERAGE(C115,F115,I115,K115,L115,O115,P115,Q115,R115)</f>
        <v>435.5</v>
      </c>
      <c r="G121" s="823">
        <f>COUNT(D115,G115,H115,J115,M115:N115)</f>
        <v>4</v>
      </c>
      <c r="H121" s="823">
        <f>COUNT(E115)</f>
        <v>0</v>
      </c>
      <c r="I121" s="823">
        <f>COUNT(C115,F115,I115,K115:L115,O115:R115)</f>
        <v>4</v>
      </c>
      <c r="J121" s="1000"/>
      <c r="K121" s="1000"/>
      <c r="L121" s="1000"/>
      <c r="M121" s="1000"/>
      <c r="N121" s="1000"/>
      <c r="O121" s="1000"/>
      <c r="P121" s="1000"/>
      <c r="Q121" s="1000"/>
      <c r="R121" s="63"/>
      <c r="S121" s="135"/>
      <c r="T121" s="64"/>
      <c r="U121" s="2234"/>
      <c r="V121" s="2234"/>
      <c r="W121" s="1746"/>
      <c r="X121" s="1747"/>
      <c r="Y121" s="1545">
        <v>41</v>
      </c>
      <c r="Z121" s="1546">
        <v>40</v>
      </c>
      <c r="AA121" s="1546">
        <v>46</v>
      </c>
      <c r="AB121" s="1629">
        <v>39</v>
      </c>
      <c r="AC121" s="1546">
        <v>45</v>
      </c>
      <c r="AD121" s="801">
        <v>0.20833333333333334</v>
      </c>
      <c r="AE121" s="1000"/>
      <c r="AF121" s="1000"/>
      <c r="AG121" s="64"/>
      <c r="AH121" s="16"/>
      <c r="AI121" s="968"/>
      <c r="AJ121" s="100"/>
      <c r="AK121" s="958"/>
      <c r="AL121" s="489">
        <f>AVERAGE(AL115,AO115,AP115,AR115,AU115,AV115)</f>
        <v>415.25</v>
      </c>
      <c r="AM121" s="490" t="e">
        <f>AVERAGE(AM115)</f>
        <v>#DIV/0!</v>
      </c>
      <c r="AN121" s="489">
        <f>AVERAGE(AK115,AN115,AQ115,AS115,AT115,AW115,AX115,AY115,AZ115)</f>
        <v>438.4</v>
      </c>
      <c r="AO121" s="430">
        <f>COUNT(AL115,AO115,AP115,AR115,AU115:AV115)</f>
        <v>4</v>
      </c>
      <c r="AP121" s="430">
        <f>COUNT(AM115)</f>
        <v>0</v>
      </c>
      <c r="AQ121" s="430">
        <f>COUNT(AK115,AN115,AQ115,AS115:AT115,AW115:AZ115)</f>
        <v>5</v>
      </c>
      <c r="AR121" s="958"/>
      <c r="AS121" s="958"/>
      <c r="AT121" s="958"/>
      <c r="AU121" s="958"/>
      <c r="AV121" s="958"/>
      <c r="AW121" s="958"/>
      <c r="AX121" s="958"/>
      <c r="AY121" s="958"/>
      <c r="AZ121" s="491"/>
      <c r="BA121" s="968"/>
      <c r="BB121" s="202"/>
      <c r="BC121" s="1858"/>
      <c r="BD121" s="1858"/>
      <c r="BE121" s="1746"/>
      <c r="BF121" s="1747"/>
      <c r="BG121" s="422">
        <v>45</v>
      </c>
      <c r="BH121" s="374">
        <v>43</v>
      </c>
      <c r="BI121" s="374">
        <v>46</v>
      </c>
      <c r="BJ121" s="374">
        <v>38</v>
      </c>
      <c r="BK121" s="374">
        <v>46</v>
      </c>
      <c r="BL121" s="801">
        <v>0.70833333333333337</v>
      </c>
      <c r="BM121" s="22"/>
      <c r="BN121" s="22"/>
      <c r="BO121" s="833"/>
      <c r="BP121" s="6"/>
      <c r="CX121" s="996"/>
      <c r="CY121" s="960"/>
      <c r="CZ121" s="960"/>
      <c r="DA121" s="960"/>
    </row>
    <row r="122" spans="1:105" ht="21.9" customHeight="1" thickBot="1" x14ac:dyDescent="0.4">
      <c r="A122" s="2280" t="s">
        <v>170</v>
      </c>
      <c r="B122" s="2280"/>
      <c r="C122" s="2280"/>
      <c r="D122" s="2280"/>
      <c r="E122" s="2280"/>
      <c r="F122" s="2280"/>
      <c r="G122" s="2280"/>
      <c r="H122" s="2280"/>
      <c r="I122" s="2280"/>
      <c r="J122" s="2280"/>
      <c r="K122" s="2280"/>
      <c r="L122" s="2280"/>
      <c r="M122" s="2280"/>
      <c r="N122" s="2280"/>
      <c r="O122" s="2280"/>
      <c r="P122" s="2280"/>
      <c r="Q122" s="2280"/>
      <c r="R122" s="2280"/>
      <c r="S122" s="2280"/>
      <c r="AH122" s="12"/>
      <c r="AI122" s="2280" t="s">
        <v>170</v>
      </c>
      <c r="AJ122" s="2280"/>
      <c r="AK122" s="2280"/>
      <c r="AL122" s="2280"/>
      <c r="AM122" s="2280"/>
      <c r="AN122" s="2280"/>
      <c r="AO122" s="2280"/>
      <c r="AP122" s="2280"/>
      <c r="AQ122" s="2280"/>
      <c r="AR122" s="2280"/>
      <c r="AS122" s="2280"/>
      <c r="AT122" s="2280"/>
      <c r="AU122" s="2280"/>
      <c r="AV122" s="2280"/>
      <c r="AW122" s="2280"/>
      <c r="AX122" s="2280"/>
      <c r="AY122" s="2280"/>
      <c r="AZ122" s="2280"/>
      <c r="BA122" s="2280"/>
      <c r="BB122" s="122"/>
      <c r="BC122" s="122"/>
      <c r="BD122" s="122"/>
      <c r="BE122" s="122"/>
      <c r="BF122" s="122"/>
      <c r="BG122" s="122"/>
      <c r="BH122" s="122"/>
      <c r="BI122" s="122"/>
      <c r="BJ122" s="122"/>
      <c r="BK122" s="122"/>
      <c r="BL122" s="122"/>
      <c r="BM122" s="122"/>
      <c r="BN122" s="122"/>
      <c r="BO122" s="122"/>
      <c r="BP122" s="6"/>
      <c r="CX122" s="996"/>
      <c r="CY122" s="960"/>
      <c r="CZ122" s="960"/>
      <c r="DA122" s="960"/>
    </row>
    <row r="123" spans="1:105" ht="21.9" customHeight="1" thickBot="1" x14ac:dyDescent="0.45">
      <c r="A123" s="2119" t="s">
        <v>63</v>
      </c>
      <c r="B123" s="2120"/>
      <c r="C123" s="2120"/>
      <c r="D123" s="2120"/>
      <c r="E123" s="2120"/>
      <c r="F123" s="2120"/>
      <c r="G123" s="2120"/>
      <c r="H123" s="2120"/>
      <c r="I123" s="2120"/>
      <c r="J123" s="2120"/>
      <c r="K123" s="2121"/>
      <c r="L123" s="2119" t="s">
        <v>434</v>
      </c>
      <c r="M123" s="2120"/>
      <c r="N123" s="2121"/>
      <c r="O123" s="2119" t="s">
        <v>993</v>
      </c>
      <c r="P123" s="2120"/>
      <c r="Q123" s="2121"/>
      <c r="R123" s="2192" t="s">
        <v>417</v>
      </c>
      <c r="S123" s="2193"/>
      <c r="T123" s="432"/>
      <c r="U123" s="2244" t="s">
        <v>39</v>
      </c>
      <c r="V123" s="2244"/>
      <c r="W123" s="2244"/>
      <c r="X123" s="2244"/>
      <c r="Y123" s="2244"/>
      <c r="Z123" s="2244"/>
      <c r="AA123" s="2244"/>
      <c r="AB123" s="2244"/>
      <c r="AC123" s="2244"/>
      <c r="AD123" s="2244"/>
      <c r="AE123" s="2244"/>
      <c r="AF123" s="2244"/>
      <c r="AG123" s="2245"/>
      <c r="AH123" s="12"/>
      <c r="AI123" s="2119" t="s">
        <v>63</v>
      </c>
      <c r="AJ123" s="2120"/>
      <c r="AK123" s="2120"/>
      <c r="AL123" s="2120"/>
      <c r="AM123" s="2120"/>
      <c r="AN123" s="2120"/>
      <c r="AO123" s="2120"/>
      <c r="AP123" s="2120"/>
      <c r="AQ123" s="2120"/>
      <c r="AR123" s="2120"/>
      <c r="AS123" s="2121"/>
      <c r="AT123" s="2119" t="s">
        <v>434</v>
      </c>
      <c r="AU123" s="2120"/>
      <c r="AV123" s="2121"/>
      <c r="AW123" s="2119" t="s">
        <v>993</v>
      </c>
      <c r="AX123" s="2120"/>
      <c r="AY123" s="2121"/>
      <c r="AZ123" s="2192" t="s">
        <v>417</v>
      </c>
      <c r="BA123" s="2193"/>
      <c r="BB123" s="201"/>
      <c r="BC123" s="2244" t="s">
        <v>39</v>
      </c>
      <c r="BD123" s="2244"/>
      <c r="BE123" s="2244"/>
      <c r="BF123" s="2244"/>
      <c r="BG123" s="2244"/>
      <c r="BH123" s="2244"/>
      <c r="BI123" s="2244"/>
      <c r="BJ123" s="2244"/>
      <c r="BK123" s="2244"/>
      <c r="BL123" s="2244"/>
      <c r="BM123" s="2244"/>
      <c r="BN123" s="2244"/>
      <c r="BO123" s="2245"/>
      <c r="BP123" s="6"/>
      <c r="CX123" s="996"/>
      <c r="CY123" s="960"/>
      <c r="CZ123" s="960"/>
      <c r="DA123" s="960"/>
    </row>
    <row r="124" spans="1:105" ht="21.9" customHeight="1" thickBot="1" x14ac:dyDescent="0.4">
      <c r="A124" s="1873" t="s">
        <v>42</v>
      </c>
      <c r="B124" s="1874"/>
      <c r="C124" s="970" t="s">
        <v>1021</v>
      </c>
      <c r="D124" s="970" t="s">
        <v>1022</v>
      </c>
      <c r="E124" s="970" t="s">
        <v>16</v>
      </c>
      <c r="F124" s="970" t="s">
        <v>44</v>
      </c>
      <c r="G124" s="970" t="s">
        <v>45</v>
      </c>
      <c r="H124" s="970" t="s">
        <v>955</v>
      </c>
      <c r="I124" s="970" t="s">
        <v>46</v>
      </c>
      <c r="J124" s="65"/>
      <c r="K124" s="66" t="s">
        <v>28</v>
      </c>
      <c r="L124" s="805" t="s">
        <v>51</v>
      </c>
      <c r="M124" s="806" t="s">
        <v>52</v>
      </c>
      <c r="N124" s="807" t="s">
        <v>53</v>
      </c>
      <c r="O124" s="805" t="s">
        <v>51</v>
      </c>
      <c r="P124" s="806" t="s">
        <v>52</v>
      </c>
      <c r="Q124" s="815" t="s">
        <v>53</v>
      </c>
      <c r="R124" s="2278"/>
      <c r="S124" s="2279"/>
      <c r="T124" s="1644" t="s">
        <v>1118</v>
      </c>
      <c r="U124" s="1577"/>
      <c r="V124" s="1577"/>
      <c r="W124" s="1577"/>
      <c r="X124" s="1577"/>
      <c r="Y124" s="1577"/>
      <c r="Z124" s="1577"/>
      <c r="AA124" s="1577"/>
      <c r="AB124" s="1577"/>
      <c r="AC124" s="1577"/>
      <c r="AD124" s="1577"/>
      <c r="AE124" s="1577"/>
      <c r="AF124" s="1577"/>
      <c r="AG124" s="1578"/>
      <c r="AH124" s="12"/>
      <c r="AI124" s="1873" t="s">
        <v>42</v>
      </c>
      <c r="AJ124" s="1874"/>
      <c r="AK124" s="818" t="s">
        <v>1021</v>
      </c>
      <c r="AL124" s="818" t="s">
        <v>1022</v>
      </c>
      <c r="AM124" s="818" t="s">
        <v>16</v>
      </c>
      <c r="AN124" s="818" t="s">
        <v>44</v>
      </c>
      <c r="AO124" s="818" t="s">
        <v>45</v>
      </c>
      <c r="AP124" s="818" t="s">
        <v>955</v>
      </c>
      <c r="AQ124" s="818" t="s">
        <v>46</v>
      </c>
      <c r="AR124" s="800"/>
      <c r="AS124" s="819" t="s">
        <v>28</v>
      </c>
      <c r="AT124" s="805" t="s">
        <v>51</v>
      </c>
      <c r="AU124" s="806" t="s">
        <v>52</v>
      </c>
      <c r="AV124" s="807" t="s">
        <v>53</v>
      </c>
      <c r="AW124" s="805" t="s">
        <v>51</v>
      </c>
      <c r="AX124" s="806" t="s">
        <v>52</v>
      </c>
      <c r="AY124" s="815" t="s">
        <v>53</v>
      </c>
      <c r="AZ124" s="2278"/>
      <c r="BA124" s="2279"/>
      <c r="BB124" s="1572"/>
      <c r="BC124" s="1572" t="s">
        <v>1118</v>
      </c>
      <c r="BD124" s="1572"/>
      <c r="BE124" s="1572"/>
      <c r="BF124" s="1572"/>
      <c r="BG124" s="1572"/>
      <c r="BH124" s="1572"/>
      <c r="BI124" s="1572"/>
      <c r="BJ124" s="1572"/>
      <c r="BK124" s="1572"/>
      <c r="BL124" s="1572"/>
      <c r="BM124" s="1654"/>
      <c r="BN124" s="1654">
        <v>0.41666666666666669</v>
      </c>
      <c r="BO124" s="1573" t="s">
        <v>176</v>
      </c>
      <c r="BP124" s="6"/>
      <c r="CX124" s="996"/>
      <c r="CY124" s="960"/>
      <c r="CZ124" s="960"/>
      <c r="DA124" s="960"/>
    </row>
    <row r="125" spans="1:105" ht="21.9" customHeight="1" thickBot="1" x14ac:dyDescent="0.4">
      <c r="A125" s="812" t="s">
        <v>47</v>
      </c>
      <c r="B125" s="813" t="s">
        <v>54</v>
      </c>
      <c r="C125" s="460"/>
      <c r="D125" s="398"/>
      <c r="E125" s="398"/>
      <c r="F125" s="398"/>
      <c r="G125" s="398"/>
      <c r="H125" s="398"/>
      <c r="I125" s="398"/>
      <c r="J125" s="398"/>
      <c r="K125" s="816"/>
      <c r="L125" s="477">
        <v>3.6</v>
      </c>
      <c r="M125" s="478">
        <v>3.1</v>
      </c>
      <c r="N125" s="401">
        <v>3.7</v>
      </c>
      <c r="O125" s="1007">
        <v>54</v>
      </c>
      <c r="P125" s="389">
        <v>62</v>
      </c>
      <c r="Q125" s="466">
        <v>50</v>
      </c>
      <c r="R125" s="2064">
        <v>395</v>
      </c>
      <c r="S125" s="2065"/>
      <c r="T125" s="1647" t="s">
        <v>1722</v>
      </c>
      <c r="U125" s="1507">
        <v>0.28472222222222221</v>
      </c>
      <c r="V125" s="1579"/>
      <c r="W125" s="1580"/>
      <c r="X125" s="1579"/>
      <c r="Y125" s="1579"/>
      <c r="Z125" s="1579"/>
      <c r="AA125" s="1579"/>
      <c r="AB125" s="1579"/>
      <c r="AC125" s="1579"/>
      <c r="AD125" s="1579"/>
      <c r="AE125" s="1579"/>
      <c r="AF125" s="1579"/>
      <c r="AG125" s="1581"/>
      <c r="AH125" s="12"/>
      <c r="AI125" s="820" t="s">
        <v>47</v>
      </c>
      <c r="AJ125" s="813" t="s">
        <v>54</v>
      </c>
      <c r="AK125" s="460">
        <v>50</v>
      </c>
      <c r="AL125" s="398">
        <v>53</v>
      </c>
      <c r="AM125" s="398">
        <v>62</v>
      </c>
      <c r="AN125" s="398"/>
      <c r="AO125" s="398">
        <v>64</v>
      </c>
      <c r="AP125" s="398"/>
      <c r="AQ125" s="398">
        <v>56</v>
      </c>
      <c r="AR125" s="398"/>
      <c r="AS125" s="482"/>
      <c r="AT125" s="483">
        <v>3.6</v>
      </c>
      <c r="AU125" s="337">
        <v>3.2</v>
      </c>
      <c r="AV125" s="342">
        <v>3.9</v>
      </c>
      <c r="AW125" s="1008">
        <v>56</v>
      </c>
      <c r="AX125" s="484">
        <v>60</v>
      </c>
      <c r="AY125" s="485">
        <v>59</v>
      </c>
      <c r="AZ125" s="2281">
        <v>368</v>
      </c>
      <c r="BA125" s="2282"/>
      <c r="BB125" s="1650" t="s">
        <v>1737</v>
      </c>
      <c r="BC125" s="1574"/>
      <c r="BD125" s="1574"/>
      <c r="BE125" s="1574"/>
      <c r="BF125" s="1574"/>
      <c r="BG125" s="1574"/>
      <c r="BH125" s="1574"/>
      <c r="BI125" s="1574"/>
      <c r="BJ125" s="1574"/>
      <c r="BK125" s="1574"/>
      <c r="BL125" s="1574"/>
      <c r="BM125" s="1574"/>
      <c r="BN125" s="1574" t="s">
        <v>651</v>
      </c>
      <c r="BO125" s="1575">
        <v>7.0000000000000007E-2</v>
      </c>
      <c r="BP125" s="6"/>
      <c r="CX125" s="996"/>
      <c r="CY125" s="960"/>
      <c r="CZ125" s="960"/>
      <c r="DA125" s="960"/>
    </row>
    <row r="126" spans="1:105" ht="21.9" customHeight="1" thickBot="1" x14ac:dyDescent="0.4">
      <c r="A126" s="814" t="s">
        <v>48</v>
      </c>
      <c r="B126" s="813" t="s">
        <v>55</v>
      </c>
      <c r="C126" s="472"/>
      <c r="D126" s="398"/>
      <c r="E126" s="398"/>
      <c r="F126" s="228"/>
      <c r="G126" s="228"/>
      <c r="H126" s="398"/>
      <c r="I126" s="398"/>
      <c r="J126" s="228"/>
      <c r="K126" s="817" t="e">
        <f>ROUND(AVERAGE(C125:J126),1)</f>
        <v>#DIV/0!</v>
      </c>
      <c r="L126" s="479"/>
      <c r="M126" s="227"/>
      <c r="N126" s="434"/>
      <c r="O126" s="479"/>
      <c r="P126" s="227"/>
      <c r="Q126" s="230"/>
      <c r="R126" s="2119" t="s">
        <v>69</v>
      </c>
      <c r="S126" s="2121"/>
      <c r="T126" s="1646" t="s">
        <v>1686</v>
      </c>
      <c r="U126" s="1582">
        <v>0.06</v>
      </c>
      <c r="V126" s="1579"/>
      <c r="W126" s="1579"/>
      <c r="X126" s="1579"/>
      <c r="Y126" s="1579"/>
      <c r="Z126" s="1579"/>
      <c r="AA126" s="1579"/>
      <c r="AB126" s="1579"/>
      <c r="AC126" s="1579"/>
      <c r="AD126" s="1579"/>
      <c r="AE126" s="1579"/>
      <c r="AF126" s="1579"/>
      <c r="AG126" s="1581"/>
      <c r="AH126" s="12"/>
      <c r="AI126" s="820" t="s">
        <v>48</v>
      </c>
      <c r="AJ126" s="813" t="s">
        <v>55</v>
      </c>
      <c r="AK126" s="472"/>
      <c r="AL126" s="398"/>
      <c r="AM126" s="398">
        <v>63</v>
      </c>
      <c r="AN126" s="228"/>
      <c r="AO126" s="228">
        <v>61</v>
      </c>
      <c r="AP126" s="398"/>
      <c r="AQ126" s="398"/>
      <c r="AR126" s="228"/>
      <c r="AS126" s="486">
        <f>ROUND(AVERAGE(AK125:AR126),1)</f>
        <v>58.4</v>
      </c>
      <c r="AT126" s="967"/>
      <c r="AU126" s="228"/>
      <c r="AV126" s="331"/>
      <c r="AW126" s="967"/>
      <c r="AX126" s="228"/>
      <c r="AY126" s="471"/>
      <c r="AZ126" s="2119" t="s">
        <v>69</v>
      </c>
      <c r="BA126" s="2121"/>
      <c r="BB126" s="1574" t="s">
        <v>1738</v>
      </c>
      <c r="BC126" s="1651">
        <v>0.35069444444444442</v>
      </c>
      <c r="BD126" s="1651">
        <v>0.41666666666666669</v>
      </c>
      <c r="BE126" s="1651">
        <v>0.47569444444444442</v>
      </c>
      <c r="BF126" s="1651">
        <v>0.64583333333333337</v>
      </c>
      <c r="BG126" s="1651">
        <v>0.71180555555555547</v>
      </c>
      <c r="BH126" s="1651">
        <v>0.76041666666666663</v>
      </c>
      <c r="BI126" s="1574"/>
      <c r="BJ126" s="1574"/>
      <c r="BK126" s="1574"/>
      <c r="BL126" s="1574"/>
      <c r="BM126" s="1574"/>
      <c r="BN126" s="1574" t="s">
        <v>647</v>
      </c>
      <c r="BO126" s="1575">
        <v>0.06</v>
      </c>
      <c r="BP126" s="6"/>
      <c r="CX126" s="996"/>
      <c r="CY126" s="960"/>
      <c r="CZ126" s="960"/>
      <c r="DA126" s="960"/>
    </row>
    <row r="127" spans="1:105" ht="21.9" customHeight="1" x14ac:dyDescent="0.35">
      <c r="A127" s="998" t="s">
        <v>50</v>
      </c>
      <c r="B127" s="999"/>
      <c r="C127" s="472"/>
      <c r="D127" s="228"/>
      <c r="E127" s="228"/>
      <c r="F127" s="228"/>
      <c r="G127" s="228"/>
      <c r="H127" s="228"/>
      <c r="I127" s="228"/>
      <c r="J127" s="228"/>
      <c r="K127" s="817" t="e">
        <f>ROUND(AVERAGE(C127:J127),1)</f>
        <v>#DIV/0!</v>
      </c>
      <c r="L127" s="479"/>
      <c r="M127" s="227"/>
      <c r="N127" s="434"/>
      <c r="O127" s="479"/>
      <c r="P127" s="227"/>
      <c r="Q127" s="230"/>
      <c r="R127" s="2308"/>
      <c r="S127" s="2309"/>
      <c r="T127" s="1646" t="s">
        <v>652</v>
      </c>
      <c r="U127" s="1645">
        <v>0.3</v>
      </c>
      <c r="V127" s="1579"/>
      <c r="W127" s="1579"/>
      <c r="X127" s="1579"/>
      <c r="Y127" s="1579"/>
      <c r="Z127" s="1579"/>
      <c r="AA127" s="1579"/>
      <c r="AB127" s="1579"/>
      <c r="AC127" s="1579"/>
      <c r="AD127" s="1579"/>
      <c r="AE127" s="1579"/>
      <c r="AF127" s="1579"/>
      <c r="AG127" s="1581"/>
      <c r="AH127" s="12"/>
      <c r="AI127" s="2124" t="s">
        <v>50</v>
      </c>
      <c r="AJ127" s="2125"/>
      <c r="AK127" s="472">
        <v>30</v>
      </c>
      <c r="AL127" s="228">
        <v>29</v>
      </c>
      <c r="AM127" s="228">
        <v>30</v>
      </c>
      <c r="AN127" s="228"/>
      <c r="AO127" s="228">
        <v>30</v>
      </c>
      <c r="AP127" s="228"/>
      <c r="AQ127" s="228">
        <v>30</v>
      </c>
      <c r="AR127" s="228"/>
      <c r="AS127" s="486">
        <f>ROUND(AVERAGE(AK127:AR127),1)</f>
        <v>29.8</v>
      </c>
      <c r="AT127" s="967"/>
      <c r="AU127" s="228"/>
      <c r="AV127" s="331"/>
      <c r="AW127" s="967"/>
      <c r="AX127" s="228"/>
      <c r="AY127" s="471"/>
      <c r="AZ127" s="2308"/>
      <c r="BA127" s="2309"/>
      <c r="BB127" s="1574" t="s">
        <v>1686</v>
      </c>
      <c r="BC127" s="1574">
        <v>7.0000000000000007E-2</v>
      </c>
      <c r="BD127" s="1574">
        <v>0.06</v>
      </c>
      <c r="BE127" s="1574">
        <v>7.0000000000000007E-2</v>
      </c>
      <c r="BF127" s="1574">
        <v>7.0000000000000007E-2</v>
      </c>
      <c r="BG127" s="1574">
        <v>0.06</v>
      </c>
      <c r="BH127" s="1574">
        <v>7.0000000000000007E-2</v>
      </c>
      <c r="BI127" s="1574"/>
      <c r="BJ127" s="1574"/>
      <c r="BK127" s="1574"/>
      <c r="BL127" s="1574"/>
      <c r="BM127" s="1574"/>
      <c r="BN127" s="1574" t="s">
        <v>652</v>
      </c>
      <c r="BO127" s="1575">
        <v>0.06</v>
      </c>
      <c r="BP127" s="6"/>
      <c r="CX127" s="996"/>
      <c r="CY127" s="960"/>
      <c r="CZ127" s="960"/>
      <c r="DA127" s="960"/>
    </row>
    <row r="128" spans="1:105" ht="21.9" customHeight="1" thickBot="1" x14ac:dyDescent="0.4">
      <c r="A128" s="2242" t="s">
        <v>49</v>
      </c>
      <c r="B128" s="2243"/>
      <c r="C128" s="472"/>
      <c r="D128" s="228"/>
      <c r="E128" s="228"/>
      <c r="F128" s="228"/>
      <c r="G128" s="228"/>
      <c r="H128" s="228"/>
      <c r="I128" s="228"/>
      <c r="J128" s="228"/>
      <c r="K128" s="817" t="e">
        <f>ROUND(AVERAGE(C128:J128),1)</f>
        <v>#DIV/0!</v>
      </c>
      <c r="L128" s="479"/>
      <c r="M128" s="435"/>
      <c r="N128" s="434"/>
      <c r="O128" s="479"/>
      <c r="P128" s="435"/>
      <c r="Q128" s="230"/>
      <c r="R128" s="480"/>
      <c r="S128" s="481"/>
      <c r="T128" s="1646" t="s">
        <v>1723</v>
      </c>
      <c r="U128" s="1582">
        <v>7.0000000000000007E-2</v>
      </c>
      <c r="V128" s="1579"/>
      <c r="W128" s="1579"/>
      <c r="X128" s="1579"/>
      <c r="Y128" s="1579"/>
      <c r="Z128" s="1579"/>
      <c r="AA128" s="1579"/>
      <c r="AB128" s="1579"/>
      <c r="AC128" s="1579"/>
      <c r="AD128" s="1579"/>
      <c r="AE128" s="1579"/>
      <c r="AF128" s="1579"/>
      <c r="AG128" s="1581"/>
      <c r="AH128" s="12"/>
      <c r="AI128" s="2124" t="s">
        <v>49</v>
      </c>
      <c r="AJ128" s="2125"/>
      <c r="AK128" s="472"/>
      <c r="AL128" s="228"/>
      <c r="AM128" s="228"/>
      <c r="AN128" s="228"/>
      <c r="AO128" s="228"/>
      <c r="AP128" s="228"/>
      <c r="AQ128" s="228"/>
      <c r="AR128" s="228"/>
      <c r="AS128" s="486" t="e">
        <f>ROUND(AVERAGE(AK128:AR128),1)</f>
        <v>#DIV/0!</v>
      </c>
      <c r="AT128" s="967"/>
      <c r="AU128" s="462"/>
      <c r="AV128" s="331"/>
      <c r="AW128" s="967"/>
      <c r="AX128" s="462"/>
      <c r="AY128" s="471"/>
      <c r="AZ128" s="390"/>
      <c r="BA128" s="391"/>
      <c r="BB128" s="1574" t="s">
        <v>652</v>
      </c>
      <c r="BC128" s="1574">
        <v>7.0000000000000007E-2</v>
      </c>
      <c r="BD128" s="1574">
        <v>0.06</v>
      </c>
      <c r="BE128" s="1574">
        <v>0.06</v>
      </c>
      <c r="BF128" s="1574">
        <v>7.0000000000000007E-2</v>
      </c>
      <c r="BG128" s="1574">
        <v>7.0000000000000007E-2</v>
      </c>
      <c r="BH128" s="1574">
        <v>0.08</v>
      </c>
      <c r="BI128" s="1574"/>
      <c r="BJ128" s="1574"/>
      <c r="BK128" s="1574"/>
      <c r="BL128" s="1574"/>
      <c r="BM128" s="1574"/>
      <c r="BN128" s="1574" t="s">
        <v>647</v>
      </c>
      <c r="BO128" s="1575">
        <v>0.06</v>
      </c>
      <c r="BP128" s="6"/>
      <c r="CX128" s="996"/>
      <c r="CY128" s="960"/>
      <c r="CZ128" s="960"/>
      <c r="DA128" s="960"/>
    </row>
    <row r="129" spans="1:105" ht="21.9" customHeight="1" thickBot="1" x14ac:dyDescent="0.4">
      <c r="A129" s="1927" t="s">
        <v>56</v>
      </c>
      <c r="B129" s="1928"/>
      <c r="C129" s="475">
        <v>16</v>
      </c>
      <c r="D129" s="476"/>
      <c r="E129" s="462"/>
      <c r="F129" s="462"/>
      <c r="G129" s="462"/>
      <c r="H129" s="462"/>
      <c r="I129" s="462"/>
      <c r="J129" s="462"/>
      <c r="K129" s="817">
        <f>ROUND(AVERAGE(C129:J129),1)</f>
        <v>16</v>
      </c>
      <c r="L129" s="488">
        <f t="shared" ref="L129:Q129" si="25">ROUND(AVERAGE(L125:L128),1)</f>
        <v>3.6</v>
      </c>
      <c r="M129" s="488">
        <f t="shared" si="25"/>
        <v>3.1</v>
      </c>
      <c r="N129" s="488">
        <f t="shared" si="25"/>
        <v>3.7</v>
      </c>
      <c r="O129" s="488">
        <f t="shared" si="25"/>
        <v>54</v>
      </c>
      <c r="P129" s="488">
        <f t="shared" si="25"/>
        <v>62</v>
      </c>
      <c r="Q129" s="488">
        <f t="shared" si="25"/>
        <v>50</v>
      </c>
      <c r="R129" s="2179">
        <f>R127</f>
        <v>0</v>
      </c>
      <c r="S129" s="2180"/>
      <c r="T129" s="1583"/>
      <c r="U129" s="1584"/>
      <c r="V129" s="1585"/>
      <c r="W129" s="1585"/>
      <c r="X129" s="1585"/>
      <c r="Y129" s="1585"/>
      <c r="Z129" s="1585"/>
      <c r="AA129" s="1585"/>
      <c r="AB129" s="1585"/>
      <c r="AC129" s="1585"/>
      <c r="AD129" s="1585"/>
      <c r="AE129" s="1585"/>
      <c r="AF129" s="1579"/>
      <c r="AG129" s="1586"/>
      <c r="AI129" s="2261" t="s">
        <v>56</v>
      </c>
      <c r="AJ129" s="2262"/>
      <c r="AK129" s="475">
        <v>16</v>
      </c>
      <c r="AL129" s="476"/>
      <c r="AM129" s="462"/>
      <c r="AN129" s="462"/>
      <c r="AO129" s="462"/>
      <c r="AP129" s="462"/>
      <c r="AQ129" s="462"/>
      <c r="AR129" s="462"/>
      <c r="AS129" s="487">
        <f>ROUND(AVERAGE(AK129:AR129),1)</f>
        <v>16</v>
      </c>
      <c r="AT129" s="488">
        <f t="shared" ref="AT129:AY129" si="26">ROUND(AVERAGE(AT125:AT127),1)</f>
        <v>3.6</v>
      </c>
      <c r="AU129" s="488">
        <f t="shared" si="26"/>
        <v>3.2</v>
      </c>
      <c r="AV129" s="488">
        <f t="shared" si="26"/>
        <v>3.9</v>
      </c>
      <c r="AW129" s="488">
        <f t="shared" si="26"/>
        <v>56</v>
      </c>
      <c r="AX129" s="488">
        <f t="shared" si="26"/>
        <v>60</v>
      </c>
      <c r="AY129" s="488">
        <f t="shared" si="26"/>
        <v>59</v>
      </c>
      <c r="AZ129" s="2179">
        <f>AZ127</f>
        <v>0</v>
      </c>
      <c r="BA129" s="2180"/>
      <c r="BB129" s="1576" t="s">
        <v>1723</v>
      </c>
      <c r="BC129" s="1652">
        <v>7.0000000000000007E-2</v>
      </c>
      <c r="BD129" s="1652">
        <v>0.06</v>
      </c>
      <c r="BE129" s="1652">
        <v>7.0000000000000007E-2</v>
      </c>
      <c r="BF129" s="1652">
        <v>7.0000000000000007E-2</v>
      </c>
      <c r="BG129" s="1652">
        <v>7.0000000000000007E-2</v>
      </c>
      <c r="BH129" s="1652">
        <v>0.08</v>
      </c>
      <c r="BI129" s="1576"/>
      <c r="BJ129" s="1576"/>
      <c r="BK129" s="1576"/>
      <c r="BL129" s="1576"/>
      <c r="BM129" s="1576"/>
      <c r="BN129" s="1652" t="s">
        <v>650</v>
      </c>
      <c r="BO129" s="1659">
        <v>7.0000000000000007E-2</v>
      </c>
      <c r="CX129" s="996"/>
      <c r="CY129" s="960"/>
      <c r="CZ129" s="960"/>
      <c r="DA129" s="960"/>
    </row>
    <row r="130" spans="1:105" s="104" customFormat="1" ht="18.75" customHeight="1" thickBot="1" x14ac:dyDescent="0.4">
      <c r="A130" s="552"/>
      <c r="B130" s="553"/>
      <c r="C130" s="554"/>
      <c r="D130" s="554"/>
      <c r="E130" s="554"/>
      <c r="F130" s="555" t="s">
        <v>153</v>
      </c>
      <c r="G130" s="555"/>
      <c r="H130" s="555"/>
      <c r="I130" s="555"/>
      <c r="J130" s="139"/>
      <c r="K130" s="139"/>
      <c r="L130" s="140"/>
      <c r="N130" s="136"/>
      <c r="O130" s="136"/>
      <c r="P130" s="136"/>
      <c r="Q130" s="136"/>
      <c r="R130" s="136"/>
      <c r="S130" s="136"/>
      <c r="T130" s="136"/>
      <c r="U130" s="136"/>
      <c r="V130" s="136"/>
      <c r="W130" s="136"/>
      <c r="X130" s="136"/>
      <c r="Y130" s="136"/>
      <c r="Z130" s="136"/>
      <c r="AA130" s="136"/>
      <c r="AB130" s="136"/>
      <c r="AC130" s="136"/>
      <c r="AD130" s="136"/>
      <c r="AE130" s="136"/>
      <c r="AF130" s="136"/>
      <c r="AG130" s="136"/>
      <c r="AI130" s="134"/>
      <c r="AJ130" s="135"/>
      <c r="AK130" s="136"/>
      <c r="AL130" s="136"/>
      <c r="AM130" s="136"/>
      <c r="AN130" s="204" t="s">
        <v>153</v>
      </c>
      <c r="AO130" s="204"/>
      <c r="AP130" s="204"/>
      <c r="AQ130" s="204"/>
      <c r="AR130" s="140"/>
      <c r="AS130" s="140"/>
      <c r="AT130" s="140"/>
      <c r="AV130" s="136"/>
      <c r="AW130" s="136"/>
      <c r="AX130" s="136"/>
      <c r="AY130" s="136"/>
      <c r="AZ130" s="136"/>
      <c r="BA130" s="136"/>
      <c r="BB130" s="136"/>
      <c r="BC130" s="136"/>
      <c r="BD130" s="136"/>
      <c r="BE130" s="136"/>
      <c r="BF130" s="136"/>
      <c r="BG130" s="136"/>
      <c r="BH130" s="136"/>
      <c r="BI130" s="136"/>
      <c r="BJ130" s="136"/>
      <c r="BK130" s="136"/>
      <c r="BL130" s="136"/>
      <c r="BM130" s="136"/>
      <c r="BN130" s="136"/>
      <c r="BO130" s="136"/>
      <c r="BP130" s="137"/>
      <c r="BQ130" s="138"/>
      <c r="BR130" s="139"/>
      <c r="BS130" s="139"/>
      <c r="BT130" s="139"/>
      <c r="BU130" s="139"/>
      <c r="BV130" s="139"/>
      <c r="BW130" s="139"/>
      <c r="BX130" s="139"/>
      <c r="BY130" s="139"/>
      <c r="BZ130" s="139"/>
      <c r="CA130" s="139"/>
      <c r="CX130" s="249"/>
      <c r="CY130" s="246"/>
      <c r="CZ130" s="246"/>
      <c r="DA130" s="246"/>
    </row>
    <row r="131" spans="1:105" s="104" customFormat="1" ht="31.5" customHeight="1" thickBot="1" x14ac:dyDescent="0.4">
      <c r="A131" s="1166" t="s">
        <v>1260</v>
      </c>
      <c r="B131" s="1333">
        <f>ROUND(3.56/(B133/100),3)</f>
        <v>5.7889999999999997</v>
      </c>
      <c r="C131" s="1166" t="s">
        <v>1263</v>
      </c>
      <c r="D131" s="1333">
        <f>ROUND(B131*106/T53,2)</f>
        <v>9.9499999999999993</v>
      </c>
      <c r="E131" s="139"/>
      <c r="F131" s="556"/>
      <c r="G131" s="557" t="s">
        <v>573</v>
      </c>
      <c r="H131" s="555"/>
      <c r="I131" s="555"/>
      <c r="J131" s="555"/>
      <c r="K131" s="555"/>
      <c r="L131" s="140"/>
      <c r="O131" s="2321"/>
      <c r="P131" s="1168"/>
      <c r="Q131" s="2246" t="s">
        <v>1266</v>
      </c>
      <c r="R131" s="2246"/>
      <c r="S131" s="2246"/>
      <c r="T131" s="2316"/>
      <c r="U131" s="2316"/>
      <c r="V131" s="2246" t="s">
        <v>1117</v>
      </c>
      <c r="W131" s="2246"/>
      <c r="X131" s="2246"/>
      <c r="Y131" s="2123" t="s">
        <v>1285</v>
      </c>
      <c r="Z131" s="2123"/>
      <c r="AA131" s="2123"/>
      <c r="AC131" s="1177" t="s">
        <v>1270</v>
      </c>
      <c r="AD131" s="1178" t="s">
        <v>1271</v>
      </c>
      <c r="AE131" s="2275" t="s">
        <v>398</v>
      </c>
      <c r="AF131" s="2276"/>
      <c r="AG131" s="2277"/>
      <c r="AI131" s="1166" t="s">
        <v>1260</v>
      </c>
      <c r="AJ131" s="1333">
        <f>ROUND(3.56/(AJ133/100),3)</f>
        <v>5.875</v>
      </c>
      <c r="AK131" s="1166" t="s">
        <v>1263</v>
      </c>
      <c r="AL131" s="1333">
        <f>ROUND(AJ131*106/BB53,2)</f>
        <v>9.7200000000000006</v>
      </c>
      <c r="AM131" s="139"/>
      <c r="AN131" s="556"/>
      <c r="AO131" s="557" t="s">
        <v>573</v>
      </c>
      <c r="AP131" s="555"/>
      <c r="AQ131" s="555"/>
      <c r="AR131" s="555"/>
      <c r="AS131" s="555"/>
      <c r="AT131" s="140"/>
      <c r="BQ131" s="138"/>
      <c r="BR131" s="139"/>
      <c r="BS131" s="139"/>
      <c r="BT131" s="139"/>
      <c r="BU131" s="139"/>
      <c r="BV131" s="139"/>
      <c r="BW131" s="139"/>
      <c r="BX131" s="139"/>
      <c r="BY131" s="139"/>
      <c r="BZ131" s="139"/>
      <c r="CA131" s="139"/>
      <c r="CX131" s="249"/>
      <c r="CY131" s="246"/>
      <c r="CZ131" s="246"/>
      <c r="DA131" s="246"/>
    </row>
    <row r="132" spans="1:105" s="104" customFormat="1" ht="31.5" customHeight="1" thickBot="1" x14ac:dyDescent="0.4">
      <c r="A132" s="1166" t="s">
        <v>1261</v>
      </c>
      <c r="B132" s="1358">
        <f>ROUND((528.3+D135+D133+D132)/0.85,3)</f>
        <v>730.87099999999998</v>
      </c>
      <c r="C132" s="1166" t="s">
        <v>1264</v>
      </c>
      <c r="D132" s="1333">
        <f>ROUND(B131*106/Y56*1.4*Y55,2)</f>
        <v>15.54</v>
      </c>
      <c r="E132" s="139"/>
      <c r="F132" s="558"/>
      <c r="G132" s="557" t="s">
        <v>154</v>
      </c>
      <c r="H132" s="555"/>
      <c r="I132" s="555"/>
      <c r="J132" s="555"/>
      <c r="K132" s="555"/>
      <c r="L132" s="205"/>
      <c r="O132" s="2321"/>
      <c r="P132" s="1169"/>
      <c r="Q132" s="897" t="s">
        <v>1267</v>
      </c>
      <c r="R132" s="897" t="s">
        <v>1268</v>
      </c>
      <c r="S132" s="897" t="s">
        <v>1269</v>
      </c>
      <c r="T132" s="1173"/>
      <c r="U132" s="142"/>
      <c r="V132" s="897" t="s">
        <v>1267</v>
      </c>
      <c r="W132" s="897" t="s">
        <v>1268</v>
      </c>
      <c r="X132" s="897" t="s">
        <v>1269</v>
      </c>
      <c r="Y132" s="897" t="s">
        <v>1267</v>
      </c>
      <c r="Z132" s="897" t="s">
        <v>1268</v>
      </c>
      <c r="AA132" s="897" t="s">
        <v>1269</v>
      </c>
      <c r="AC132" s="1175">
        <f>AVERAGE(AD78:AE89,BL78:BM89)</f>
        <v>54.75</v>
      </c>
      <c r="AD132" s="1176">
        <f>AVERAGE(AC78:AC89,BK78:BK89)</f>
        <v>84</v>
      </c>
      <c r="AE132" s="551">
        <f>AVERAGE(AG78:AG89,BO78:BO89)</f>
        <v>36.799999999999997</v>
      </c>
      <c r="AF132" s="551">
        <f>MIN(AG78:AG89,BO78:BO89)</f>
        <v>35.799999999999997</v>
      </c>
      <c r="AG132" s="551">
        <f>MAX(AG78:AG89,BO78:BO89)</f>
        <v>37.799999999999997</v>
      </c>
      <c r="AI132" s="1166" t="s">
        <v>1261</v>
      </c>
      <c r="AJ132" s="1358">
        <f>ROUND((528.3+AL135+AL133+AL132)/0.85,3)</f>
        <v>711.69399999999996</v>
      </c>
      <c r="AK132" s="1166" t="s">
        <v>1264</v>
      </c>
      <c r="AL132" s="1333">
        <f>ROUND(AJ131*106/BG56*1.4*BG55,2)</f>
        <v>5.62</v>
      </c>
      <c r="AM132" s="139"/>
      <c r="AN132" s="558"/>
      <c r="AO132" s="557" t="s">
        <v>154</v>
      </c>
      <c r="AP132" s="555"/>
      <c r="AQ132" s="555"/>
      <c r="AR132" s="555"/>
      <c r="AS132" s="555"/>
      <c r="AT132" s="205"/>
      <c r="AV132" s="141"/>
      <c r="AW132" s="141"/>
      <c r="AY132" s="143"/>
      <c r="AZ132" s="143"/>
      <c r="BQ132" s="138"/>
      <c r="BR132" s="139"/>
      <c r="BS132" s="139"/>
      <c r="BT132" s="139"/>
      <c r="BU132" s="139"/>
      <c r="BV132" s="139"/>
      <c r="BW132" s="139"/>
      <c r="BX132" s="139"/>
      <c r="BY132" s="139"/>
      <c r="BZ132" s="139"/>
      <c r="CA132" s="139"/>
      <c r="CX132" s="249"/>
      <c r="CY132" s="246"/>
      <c r="CZ132" s="246"/>
      <c r="DA132" s="246"/>
    </row>
    <row r="133" spans="1:105" s="104" customFormat="1" ht="31.5" customHeight="1" thickBot="1" x14ac:dyDescent="0.4">
      <c r="A133" s="1166" t="s">
        <v>1262</v>
      </c>
      <c r="B133" s="1359">
        <f>AD61</f>
        <v>61.5</v>
      </c>
      <c r="C133" s="1166" t="s">
        <v>1265</v>
      </c>
      <c r="D133" s="1333">
        <f>ROUND(D134*1.4*D131,2)</f>
        <v>40.4</v>
      </c>
      <c r="E133" s="139"/>
      <c r="F133" s="559"/>
      <c r="G133" s="557" t="s">
        <v>173</v>
      </c>
      <c r="H133" s="555"/>
      <c r="I133" s="555"/>
      <c r="J133" s="555"/>
      <c r="K133" s="555"/>
      <c r="L133" s="140"/>
      <c r="O133" s="2318"/>
      <c r="P133" s="1170"/>
      <c r="Q133" s="2253">
        <f>AVERAGE(T33,X33,AB33,BB33,BF33,BJ33)</f>
        <v>69.13333333333334</v>
      </c>
      <c r="R133" s="2122">
        <f>MIN(T9:T33,X9:X33,AB9:AB33,BB9:BB33,BF9:BF33,BJ9:BJ33)</f>
        <v>66.399999999999991</v>
      </c>
      <c r="S133" s="2122">
        <f>MAX(T9:T33,X9:X33,AB9:AB33,BB9:BB33,BF9:BF33,BJ9:BJ33)</f>
        <v>71.699999999999989</v>
      </c>
      <c r="T133" s="1174"/>
      <c r="U133" s="1165" t="s">
        <v>396</v>
      </c>
      <c r="V133" s="1171">
        <f>AVERAGE(E78:E89,AM78:AM89)</f>
        <v>15.81111111111111</v>
      </c>
      <c r="W133" s="241">
        <f>MIN(E78:E89,AM78:AM89)</f>
        <v>13.8</v>
      </c>
      <c r="X133" s="241">
        <f>MAX(E78:E89,AM78:AM89)</f>
        <v>17.899999999999999</v>
      </c>
      <c r="Y133" s="1172">
        <f>AVERAGE(K78:K89,AS78:AS89)</f>
        <v>6.2500000000000014E-2</v>
      </c>
      <c r="Z133" s="550">
        <f>MIN(K78:K89,AS78:AS89)</f>
        <v>0.06</v>
      </c>
      <c r="AA133" s="550">
        <f>MAX(K78:K89,AS78:AS89)</f>
        <v>7.0000000000000007E-2</v>
      </c>
      <c r="AI133" s="1166" t="s">
        <v>1262</v>
      </c>
      <c r="AJ133" s="1359">
        <f>BL61</f>
        <v>60.6</v>
      </c>
      <c r="AK133" s="1166" t="s">
        <v>1265</v>
      </c>
      <c r="AL133" s="1333">
        <f>ROUND(AL134*1.4*AL131,2)</f>
        <v>34.020000000000003</v>
      </c>
      <c r="AM133" s="139"/>
      <c r="AN133" s="559"/>
      <c r="AO133" s="557" t="s">
        <v>173</v>
      </c>
      <c r="AP133" s="555"/>
      <c r="AQ133" s="555"/>
      <c r="AR133" s="555"/>
      <c r="AS133" s="555"/>
      <c r="AT133" s="140"/>
      <c r="AY133" s="143"/>
      <c r="AZ133" s="143"/>
      <c r="BQ133" s="138"/>
      <c r="BR133" s="139"/>
      <c r="BS133" s="139"/>
      <c r="BT133" s="139"/>
      <c r="BU133" s="139"/>
      <c r="BV133" s="139"/>
      <c r="BW133" s="139"/>
      <c r="BX133" s="139"/>
      <c r="BY133" s="139"/>
      <c r="BZ133" s="139"/>
      <c r="CA133" s="139"/>
      <c r="CX133" s="249"/>
      <c r="CY133" s="246"/>
      <c r="CZ133" s="246"/>
      <c r="DA133" s="246"/>
    </row>
    <row r="134" spans="1:105" s="104" customFormat="1" ht="31.5" customHeight="1" thickBot="1" x14ac:dyDescent="0.4">
      <c r="A134" s="250"/>
      <c r="B134" s="250"/>
      <c r="C134" s="1166" t="s">
        <v>13</v>
      </c>
      <c r="D134" s="1359">
        <f>MAX(O55,R53)</f>
        <v>2.9</v>
      </c>
      <c r="E134" s="139"/>
      <c r="F134" s="881"/>
      <c r="G134" s="560" t="s">
        <v>408</v>
      </c>
      <c r="H134" s="555"/>
      <c r="I134" s="555"/>
      <c r="J134" s="555"/>
      <c r="K134" s="555"/>
      <c r="L134" s="140"/>
      <c r="O134" s="2318"/>
      <c r="P134" s="1170"/>
      <c r="Q134" s="2253"/>
      <c r="R134" s="2122"/>
      <c r="S134" s="2122"/>
      <c r="T134" s="1174"/>
      <c r="U134" s="1165" t="s">
        <v>397</v>
      </c>
      <c r="V134" s="1171">
        <f>AVERAGE(F78:F89,AN78:AN89)</f>
        <v>16.888888888888889</v>
      </c>
      <c r="W134" s="241">
        <f>MIN(F78:F89,AN78:AN89)</f>
        <v>12.9</v>
      </c>
      <c r="X134" s="241">
        <f>MAX(F78:F89,AN78:AN89)</f>
        <v>19.7</v>
      </c>
      <c r="Y134" s="1172">
        <f>AVERAGE(L78:L89,AT78:AT89)</f>
        <v>8.500000000000002E-2</v>
      </c>
      <c r="Z134" s="550">
        <f>MIN(L78:L89,AT78:AT89)</f>
        <v>0.06</v>
      </c>
      <c r="AA134" s="550">
        <f>MAX(L78:L89,AT78:AT89)</f>
        <v>0.27</v>
      </c>
      <c r="AD134" s="1179" t="s">
        <v>1272</v>
      </c>
      <c r="AE134" s="897" t="s">
        <v>185</v>
      </c>
      <c r="AF134" s="1183" t="s">
        <v>190</v>
      </c>
      <c r="AG134" s="1182" t="s">
        <v>1273</v>
      </c>
      <c r="AI134" s="103"/>
      <c r="AJ134" s="103"/>
      <c r="AK134" s="1166" t="s">
        <v>13</v>
      </c>
      <c r="AL134" s="1359">
        <f>MAX(AW55,AZ53)</f>
        <v>2.5</v>
      </c>
      <c r="AM134" s="139"/>
      <c r="AN134" s="881"/>
      <c r="AO134" s="560" t="s">
        <v>408</v>
      </c>
      <c r="AP134" s="555"/>
      <c r="AQ134" s="555"/>
      <c r="AR134" s="555"/>
      <c r="AS134" s="555"/>
      <c r="AT134" s="140"/>
      <c r="BQ134" s="138"/>
      <c r="BR134" s="139"/>
      <c r="BS134" s="139"/>
      <c r="BT134" s="139"/>
      <c r="BU134" s="139"/>
      <c r="BV134" s="139"/>
      <c r="BW134" s="139"/>
      <c r="BX134" s="139"/>
      <c r="BY134" s="139"/>
      <c r="BZ134" s="139"/>
      <c r="CA134" s="139"/>
      <c r="CX134" s="249"/>
      <c r="CY134" s="246"/>
      <c r="CZ134" s="246"/>
      <c r="DA134" s="246"/>
    </row>
    <row r="135" spans="1:105" s="104" customFormat="1" ht="31.5" customHeight="1" thickBot="1" x14ac:dyDescent="0.4">
      <c r="A135" s="250"/>
      <c r="B135" s="250"/>
      <c r="C135" s="1166" t="s">
        <v>82</v>
      </c>
      <c r="D135" s="1333">
        <v>37</v>
      </c>
      <c r="E135" s="139"/>
      <c r="F135" s="882"/>
      <c r="G135" s="561" t="s">
        <v>177</v>
      </c>
      <c r="H135" s="555"/>
      <c r="I135" s="555"/>
      <c r="J135" s="555"/>
      <c r="K135" s="555"/>
      <c r="L135" s="140"/>
      <c r="O135" s="2318"/>
      <c r="P135" s="1356">
        <f>AVERAGE(V133:V134)</f>
        <v>16.350000000000001</v>
      </c>
      <c r="Q135" s="2253"/>
      <c r="R135" s="2122"/>
      <c r="S135" s="2122"/>
      <c r="T135" s="1174"/>
      <c r="U135" s="1165" t="s">
        <v>81</v>
      </c>
      <c r="V135" s="1171">
        <f>AVERAGE(G78:G89,AO78:AO89)</f>
        <v>17.700000000000003</v>
      </c>
      <c r="W135" s="241">
        <f>MIN(G78:G89,AO78:AO89)</f>
        <v>15</v>
      </c>
      <c r="X135" s="241">
        <f>MAX(G78:G89,AO78:AO89)</f>
        <v>20.5</v>
      </c>
      <c r="Y135" s="1172">
        <f>AVERAGE(M78:T89,AU78:BB89)</f>
        <v>6.3928571428571473E-2</v>
      </c>
      <c r="Z135" s="550">
        <f>MIN(M78:T89,AU78:BB89)</f>
        <v>0.06</v>
      </c>
      <c r="AA135" s="550">
        <f>MAX(M78:T89,AU78:BB89)</f>
        <v>7.0000000000000007E-2</v>
      </c>
      <c r="AD135" s="1181">
        <f>B132</f>
        <v>730.87099999999998</v>
      </c>
      <c r="AE135" s="241">
        <f>P55</f>
        <v>5.0999999999999996</v>
      </c>
      <c r="AF135" s="241">
        <f>S53</f>
        <v>4.8</v>
      </c>
      <c r="AG135" s="241">
        <f>AA90</f>
        <v>70</v>
      </c>
      <c r="AI135" s="103"/>
      <c r="AJ135" s="103"/>
      <c r="AK135" s="1166" t="s">
        <v>82</v>
      </c>
      <c r="AL135" s="1333">
        <v>37</v>
      </c>
      <c r="AM135" s="139"/>
      <c r="AN135" s="882"/>
      <c r="AO135" s="561" t="s">
        <v>177</v>
      </c>
      <c r="AP135" s="555"/>
      <c r="AQ135" s="555"/>
      <c r="AR135" s="555"/>
      <c r="AS135" s="555"/>
      <c r="AT135" s="140"/>
      <c r="BQ135" s="138"/>
      <c r="BR135" s="139"/>
      <c r="BS135" s="139"/>
      <c r="BT135" s="139"/>
      <c r="BU135" s="139"/>
      <c r="BV135" s="139"/>
      <c r="BW135" s="139"/>
      <c r="BX135" s="139"/>
      <c r="BY135" s="139"/>
      <c r="BZ135" s="139"/>
      <c r="CA135" s="139"/>
      <c r="CX135" s="249"/>
      <c r="CY135" s="246"/>
      <c r="CZ135" s="246"/>
      <c r="DA135" s="246"/>
    </row>
    <row r="136" spans="1:105" s="104" customFormat="1" ht="27.75" customHeight="1" thickBot="1" x14ac:dyDescent="0.4">
      <c r="F136" s="1439"/>
      <c r="G136" s="139" t="s">
        <v>1443</v>
      </c>
      <c r="H136" s="883"/>
      <c r="I136" s="883"/>
      <c r="J136" s="883"/>
      <c r="K136" s="883"/>
      <c r="AD136" s="1181">
        <f>AJ132</f>
        <v>711.69399999999996</v>
      </c>
      <c r="AE136" s="241">
        <f>AX55</f>
        <v>4.9000000000000004</v>
      </c>
      <c r="AF136" s="241">
        <f>BA53</f>
        <v>5.2</v>
      </c>
      <c r="AG136" s="241">
        <f>BI90</f>
        <v>75</v>
      </c>
      <c r="AK136" s="1167"/>
      <c r="AL136" s="139"/>
      <c r="AM136" s="139"/>
      <c r="AN136" s="1439"/>
      <c r="AO136" s="139" t="s">
        <v>1443</v>
      </c>
      <c r="AP136" s="883"/>
      <c r="AQ136" s="883"/>
      <c r="AR136" s="883"/>
      <c r="AS136" s="883"/>
      <c r="AV136" s="1839" t="s">
        <v>1014</v>
      </c>
      <c r="AW136" s="1839"/>
      <c r="AX136" s="1839"/>
      <c r="AY136" s="1839"/>
      <c r="AZ136" s="1839"/>
      <c r="BA136" s="1839"/>
      <c r="BB136" s="1839"/>
      <c r="BC136" s="1839"/>
      <c r="BD136" s="1839"/>
      <c r="BE136" s="1839"/>
      <c r="BF136" s="1839"/>
      <c r="BG136" s="1839"/>
      <c r="BH136" s="1839"/>
      <c r="BI136" s="1839"/>
      <c r="BQ136" s="138"/>
      <c r="BR136" s="139"/>
      <c r="BS136" s="139"/>
      <c r="BT136" s="139"/>
      <c r="BU136" s="139"/>
      <c r="BV136" s="139"/>
      <c r="BW136" s="139"/>
      <c r="BX136" s="139"/>
      <c r="BY136" s="139"/>
      <c r="BZ136" s="139"/>
      <c r="CA136" s="139"/>
      <c r="CX136" s="249"/>
      <c r="CY136" s="246"/>
      <c r="CZ136" s="246"/>
      <c r="DA136" s="246"/>
    </row>
    <row r="137" spans="1:105" s="104" customFormat="1" ht="22.5" customHeight="1" x14ac:dyDescent="0.35">
      <c r="J137" s="883"/>
      <c r="K137" s="883"/>
      <c r="AU137" s="140"/>
      <c r="AV137" s="1753" t="s">
        <v>1339</v>
      </c>
      <c r="AW137" s="1753" t="s">
        <v>1340</v>
      </c>
      <c r="AX137" s="1753" t="s">
        <v>1209</v>
      </c>
      <c r="AY137" s="1753" t="s">
        <v>1341</v>
      </c>
      <c r="AZ137" s="1753" t="s">
        <v>1337</v>
      </c>
      <c r="BA137" s="1753" t="s">
        <v>1338</v>
      </c>
      <c r="BB137" s="1753" t="s">
        <v>1319</v>
      </c>
      <c r="BC137" s="1753" t="s">
        <v>1342</v>
      </c>
      <c r="BD137" s="1753" t="s">
        <v>1386</v>
      </c>
      <c r="BE137" s="1753" t="s">
        <v>1622</v>
      </c>
      <c r="BF137" s="1753" t="s">
        <v>1343</v>
      </c>
      <c r="BG137" s="1753" t="s">
        <v>1344</v>
      </c>
      <c r="BH137" s="1753" t="s">
        <v>1345</v>
      </c>
      <c r="BI137" s="1753" t="s">
        <v>1346</v>
      </c>
      <c r="BJ137" s="896"/>
      <c r="BM137" s="892"/>
      <c r="BN137" s="21"/>
      <c r="BO137" s="21"/>
      <c r="BP137" s="21"/>
      <c r="BQ137" s="21"/>
      <c r="BR137" s="21"/>
      <c r="BS137" s="21"/>
      <c r="BT137" s="21"/>
      <c r="BU137" s="21"/>
      <c r="BV137" s="21"/>
      <c r="BW137" s="139"/>
      <c r="BX137" s="139"/>
      <c r="BY137" s="139"/>
      <c r="BZ137" s="139"/>
      <c r="CA137" s="139"/>
      <c r="CX137" s="249"/>
      <c r="CY137" s="246"/>
      <c r="CZ137" s="246"/>
      <c r="DA137" s="246"/>
    </row>
    <row r="138" spans="1:105" s="104" customFormat="1" ht="39" customHeight="1" x14ac:dyDescent="0.35">
      <c r="AU138" s="1307"/>
      <c r="AV138" s="1753"/>
      <c r="AW138" s="1753"/>
      <c r="AX138" s="1753"/>
      <c r="AY138" s="1753"/>
      <c r="AZ138" s="1753"/>
      <c r="BA138" s="1753"/>
      <c r="BB138" s="1753"/>
      <c r="BC138" s="1753"/>
      <c r="BD138" s="1753"/>
      <c r="BE138" s="1753"/>
      <c r="BF138" s="1753"/>
      <c r="BG138" s="1753"/>
      <c r="BH138" s="1753"/>
      <c r="BI138" s="1753"/>
      <c r="BJ138" s="1311" t="s">
        <v>1347</v>
      </c>
      <c r="BM138" s="891"/>
      <c r="BN138" s="21"/>
      <c r="BO138" s="21"/>
      <c r="BP138" s="21"/>
      <c r="BQ138" s="21"/>
      <c r="BR138" s="21"/>
      <c r="BS138" s="21"/>
      <c r="BT138" s="21"/>
      <c r="BU138" s="21"/>
      <c r="BV138" s="21"/>
      <c r="BW138" s="139"/>
      <c r="BX138" s="139"/>
      <c r="BY138" s="139"/>
      <c r="BZ138" s="139"/>
      <c r="CA138" s="139"/>
      <c r="CX138" s="249"/>
      <c r="CY138" s="246"/>
      <c r="CZ138" s="246"/>
      <c r="DA138" s="246"/>
    </row>
    <row r="139" spans="1:105" s="104" customFormat="1" ht="28.5" customHeight="1" x14ac:dyDescent="0.35">
      <c r="I139" s="145"/>
      <c r="AD139" s="2273" t="s">
        <v>399</v>
      </c>
      <c r="AE139" s="2274"/>
      <c r="AF139" s="1196" t="s">
        <v>165</v>
      </c>
      <c r="AG139" s="1196" t="s">
        <v>166</v>
      </c>
      <c r="AQ139" s="145"/>
      <c r="AU139" s="897" t="s">
        <v>1348</v>
      </c>
      <c r="AV139" s="1334">
        <f>COUNT(I9:I35,Q9:Q33,U9:U33,Y9:Y33,B40:B41,B44,G40:I51,J40:J53,Q40:Q46,Q48:Q54,T40:T53,Y56,AQ9:AQ35,AY9:AY33,BC9:BC33,BG9:BG33,AJ40:AJ41,AJ44,AO40:AQ51,AR40:AR53,AY40:AY46,AY48:AY54,BB40:BB53,BG56,AS35,AV35,'Декадные анализы'!H3:H9,'Декадные анализы'!O3:O9)</f>
        <v>74</v>
      </c>
      <c r="AW139" s="1200">
        <f>COUNT(V40:V53,C78:C89,AK78:AK89,AI54,BD40:BD53,BF40:BF53,X40:X53)</f>
        <v>17</v>
      </c>
      <c r="AX139" s="1200">
        <f>COUNT(J9:J34,R9:R33,V9:V33,Z9:Z33,C40:C41,C44,K40:K53,B78:B89,AJ78:AJ89,AR9:AR34,AZ9:AZ33,BD9:BD33,BH9:BH33,AK40:AK41,AK44,AS40:AS53,AJ54,AT35,AW35,BL95:BL101,BM95:BM101,'Декадные анализы'!J3:J9,'Декадные анализы'!Q3:Q9)</f>
        <v>60</v>
      </c>
      <c r="AY139" s="1200">
        <f>COUNT(S9:S33,W9:W33,AA9:AA33,D40:D41,D44,L40:L53,BA9:BA33,BE9:BE33,BI9:BI33,AU35,AX35,AL40:AL41,AL44,AT40:AT53,AK54,'Декадные анализы'!L3:L9,'Декадные анализы'!S3:S9)</f>
        <v>34</v>
      </c>
      <c r="AZ139" s="1200">
        <f>COUNT(BC78:BD89,U78:V89)</f>
        <v>8</v>
      </c>
      <c r="BA139" s="1200">
        <f>COUNT(E78:G89,AM78:AO89)</f>
        <v>27</v>
      </c>
      <c r="BB139" s="1200">
        <f>COUNT(K78:T89,AS78:BB89)</f>
        <v>52</v>
      </c>
      <c r="BC139" s="1200">
        <f>COUNT(H35,K9:P28,T34,X34,AB34,F40:F41,F44,L54,U54,D90,AP35,AS9:AX28,BB34,BF34,BJ34,AN40:AN41,AN44,BC54,AL54,BG40:BG54,Y40:Y54,AL90,AT54,W54,BE54)</f>
        <v>49</v>
      </c>
      <c r="BD139" s="1200">
        <f>COUNT(O40:O46,O48:O54,R40:R53,AW40:AW46,AW48:AW54,AZ40:AZ53)</f>
        <v>27</v>
      </c>
      <c r="BE139" s="1200">
        <f>COUNT(P40:P46,P48:P54,S40:S53,U40:U53,AX40:AX46,AX48:AX54,BA40:BA53,BC40:BC53,W40:W53,BE40:BE53)</f>
        <v>35</v>
      </c>
      <c r="BF139" s="1200">
        <f>COUNT(C9:C20,E9:E22,AK9:AK20,AM9:AM22)</f>
        <v>13</v>
      </c>
      <c r="BG139" s="1200">
        <f>COUNT(G9:G34,AO9:AO34)</f>
        <v>4</v>
      </c>
      <c r="BH139" s="1200">
        <f>COUNT(B57:G58,J57:L58,AJ57:AO58,AR57:AT58)</f>
        <v>31</v>
      </c>
      <c r="BI139" s="1200">
        <f>COUNT(F9:F34,AC78:AE89,BK78:BM89,AN9:AN22)</f>
        <v>9</v>
      </c>
      <c r="BJ139" s="1312">
        <f>SUM(AV139:BI139)</f>
        <v>440</v>
      </c>
      <c r="BN139" s="21"/>
      <c r="BO139" s="21"/>
      <c r="BP139" s="21"/>
      <c r="BQ139" s="21"/>
      <c r="BR139" s="21"/>
      <c r="BS139" s="21"/>
      <c r="BT139" s="21"/>
      <c r="BU139" s="21"/>
      <c r="BV139" s="21"/>
      <c r="BW139" s="139"/>
      <c r="BX139" s="139"/>
      <c r="BY139" s="139"/>
      <c r="BZ139" s="139"/>
      <c r="CA139" s="139"/>
      <c r="CX139" s="249"/>
      <c r="CY139" s="246"/>
      <c r="CZ139" s="246"/>
      <c r="DA139" s="246"/>
    </row>
    <row r="140" spans="1:105" s="104" customFormat="1" ht="29.25" customHeight="1" x14ac:dyDescent="0.35">
      <c r="A140" s="146" t="s">
        <v>145</v>
      </c>
      <c r="B140" s="146"/>
      <c r="C140" s="146"/>
      <c r="D140" s="146"/>
      <c r="N140" s="105"/>
      <c r="AD140" s="1196" t="s">
        <v>411</v>
      </c>
      <c r="AE140" s="1197">
        <f>AVERAGE(AD78:AE89,BL78:BM89)</f>
        <v>54.75</v>
      </c>
      <c r="AF140" s="1197">
        <f>MIN(AD78:AE89,BL78:BM89)</f>
        <v>50</v>
      </c>
      <c r="AG140" s="1197">
        <f>MAX(AD78:AE89,BL78:BM89)</f>
        <v>59</v>
      </c>
      <c r="AJ140" s="143"/>
      <c r="AM140" s="147"/>
      <c r="AQ140" s="145"/>
      <c r="AU140" s="897" t="s">
        <v>4</v>
      </c>
      <c r="AV140" s="1200">
        <f>AV139*4</f>
        <v>296</v>
      </c>
      <c r="AW140" s="1200">
        <f>AW139*4</f>
        <v>68</v>
      </c>
      <c r="AX140" s="1200">
        <f>AX139*3</f>
        <v>180</v>
      </c>
      <c r="AY140" s="1200">
        <f>AY139*2</f>
        <v>68</v>
      </c>
      <c r="AZ140" s="1200">
        <f>AZ139*4</f>
        <v>32</v>
      </c>
      <c r="BA140" s="1200">
        <f>BA139*3</f>
        <v>81</v>
      </c>
      <c r="BB140" s="1200">
        <f>BB139*4</f>
        <v>208</v>
      </c>
      <c r="BC140" s="1200">
        <f>BC139*3</f>
        <v>147</v>
      </c>
      <c r="BD140" s="1200">
        <f>BD139*4</f>
        <v>108</v>
      </c>
      <c r="BE140" s="1200">
        <f>BE139*5</f>
        <v>175</v>
      </c>
      <c r="BF140" s="1200">
        <f>BF139*10</f>
        <v>130</v>
      </c>
      <c r="BG140" s="1200">
        <f>BG139*3</f>
        <v>12</v>
      </c>
      <c r="BH140" s="1200">
        <f>BH139*2</f>
        <v>62</v>
      </c>
      <c r="BI140" s="1335">
        <f>BI139*6</f>
        <v>54</v>
      </c>
      <c r="BJ140" s="1313">
        <f>SUM(AV140:BI140)</f>
        <v>1621</v>
      </c>
      <c r="BN140" s="21"/>
      <c r="BO140" s="21"/>
      <c r="BP140" s="21"/>
      <c r="BQ140" s="21"/>
      <c r="BR140" s="21"/>
      <c r="BS140" s="21"/>
      <c r="BT140" s="21"/>
      <c r="BU140" s="21"/>
      <c r="BV140" s="21"/>
      <c r="BW140" s="139"/>
      <c r="BX140" s="139"/>
      <c r="BY140" s="139"/>
      <c r="BZ140" s="139"/>
      <c r="CA140" s="139"/>
      <c r="CX140" s="249"/>
      <c r="CY140" s="246"/>
      <c r="CZ140" s="246"/>
      <c r="DA140" s="246"/>
    </row>
    <row r="141" spans="1:105" s="104" customFormat="1" ht="22.5" customHeight="1" x14ac:dyDescent="0.35">
      <c r="A141" s="146" t="s">
        <v>751</v>
      </c>
      <c r="B141" s="146"/>
      <c r="C141" s="146"/>
      <c r="D141" s="146"/>
      <c r="F141" s="146" t="s">
        <v>152</v>
      </c>
      <c r="G141" s="146"/>
      <c r="H141" s="146"/>
      <c r="I141" s="146"/>
      <c r="M141" s="148"/>
      <c r="T141" s="104" t="s">
        <v>458</v>
      </c>
      <c r="AD141" s="1196" t="s">
        <v>412</v>
      </c>
      <c r="AE141" s="1197">
        <f>AVERAGE(AG78:AG89,BO78:BO89)</f>
        <v>36.799999999999997</v>
      </c>
      <c r="AF141" s="1197">
        <f>MIN(AG78:AG89,BO78:BO89)</f>
        <v>35.799999999999997</v>
      </c>
      <c r="AG141" s="1197">
        <f>MAX(AG78:AG89,BO78:BO89)</f>
        <v>37.799999999999997</v>
      </c>
      <c r="AJ141" s="143"/>
      <c r="AM141" s="147"/>
      <c r="AQ141" s="145"/>
      <c r="BM141" s="891"/>
      <c r="BN141" s="21"/>
      <c r="BO141" s="21"/>
      <c r="BP141" s="21"/>
      <c r="BQ141" s="21"/>
      <c r="BR141" s="21"/>
      <c r="BS141" s="21"/>
      <c r="BT141" s="21"/>
      <c r="BU141" s="21"/>
      <c r="BV141" s="21"/>
      <c r="BW141" s="139"/>
      <c r="BX141" s="139"/>
      <c r="BY141" s="139"/>
      <c r="BZ141" s="139"/>
      <c r="CA141" s="139"/>
      <c r="CX141" s="249"/>
      <c r="CY141" s="246"/>
      <c r="CZ141" s="246"/>
      <c r="DA141" s="246"/>
    </row>
    <row r="142" spans="1:105" s="104" customFormat="1" ht="22.5" customHeight="1" x14ac:dyDescent="0.35">
      <c r="A142" s="149"/>
      <c r="B142" s="149"/>
      <c r="C142" s="149"/>
      <c r="D142" s="149"/>
      <c r="F142" s="149"/>
      <c r="G142" s="149"/>
      <c r="H142" s="149"/>
      <c r="I142" s="149"/>
      <c r="K142" s="2283" t="s">
        <v>148</v>
      </c>
      <c r="L142" s="2284"/>
      <c r="M142" s="2285"/>
      <c r="N142" s="150"/>
      <c r="T142" s="2317"/>
      <c r="U142" s="2317"/>
      <c r="V142" s="2296" t="s">
        <v>1260</v>
      </c>
      <c r="AM142" s="147"/>
      <c r="AO142" s="147"/>
      <c r="AQ142" s="145"/>
      <c r="AZ142" s="892"/>
      <c r="BA142" s="892"/>
      <c r="BB142" s="892"/>
      <c r="BC142" s="892"/>
      <c r="BD142" s="892"/>
      <c r="BE142" s="892"/>
      <c r="BF142" s="892"/>
      <c r="BG142" s="892"/>
      <c r="BH142" s="892"/>
      <c r="BI142" s="892"/>
      <c r="BJ142" s="892"/>
      <c r="BK142" s="892"/>
      <c r="BL142" s="892"/>
      <c r="BM142" s="891"/>
      <c r="BN142" s="21"/>
      <c r="BO142" s="21"/>
      <c r="BP142" s="21"/>
      <c r="BQ142" s="21"/>
      <c r="BR142" s="21"/>
      <c r="BS142" s="21"/>
      <c r="BT142" s="21"/>
      <c r="BU142" s="21"/>
      <c r="BV142" s="21"/>
      <c r="BW142" s="139"/>
      <c r="BX142" s="139"/>
      <c r="BY142" s="139"/>
      <c r="BZ142" s="139"/>
      <c r="CA142" s="139"/>
      <c r="CX142" s="249"/>
      <c r="CY142" s="246"/>
      <c r="CZ142" s="246"/>
      <c r="DA142" s="246"/>
    </row>
    <row r="143" spans="1:105" s="104" customFormat="1" ht="22.5" customHeight="1" x14ac:dyDescent="0.35">
      <c r="A143" s="1184"/>
      <c r="B143" s="1185" t="s">
        <v>146</v>
      </c>
      <c r="C143" s="1185" t="s">
        <v>147</v>
      </c>
      <c r="D143" s="1185" t="s">
        <v>148</v>
      </c>
      <c r="E143" s="103"/>
      <c r="F143" s="1184"/>
      <c r="G143" s="1185" t="s">
        <v>146</v>
      </c>
      <c r="H143" s="1185" t="s">
        <v>147</v>
      </c>
      <c r="I143" s="1185" t="s">
        <v>148</v>
      </c>
      <c r="J143" s="1186"/>
      <c r="K143" s="1180" t="s">
        <v>175</v>
      </c>
      <c r="L143" s="1180" t="s">
        <v>176</v>
      </c>
      <c r="M143" s="1187" t="s">
        <v>81</v>
      </c>
      <c r="N143" s="895" t="s">
        <v>178</v>
      </c>
      <c r="O143" s="895" t="s">
        <v>12</v>
      </c>
      <c r="P143" s="895" t="s">
        <v>179</v>
      </c>
      <c r="Q143" s="895" t="s">
        <v>40</v>
      </c>
      <c r="T143" s="1296" t="s">
        <v>391</v>
      </c>
      <c r="U143" s="1306" t="s">
        <v>1336</v>
      </c>
      <c r="V143" s="2296"/>
      <c r="AQ143" s="145"/>
      <c r="AU143" s="1307"/>
      <c r="AV143" s="1839" t="s">
        <v>1015</v>
      </c>
      <c r="AW143" s="1839"/>
      <c r="AX143" s="1839"/>
      <c r="AY143" s="1839"/>
      <c r="AZ143" s="1839"/>
      <c r="BA143" s="1839"/>
      <c r="BB143" s="1839"/>
      <c r="BC143" s="1839"/>
      <c r="BD143" s="1839"/>
      <c r="BE143" s="1839"/>
      <c r="BF143" s="1839"/>
      <c r="BG143" s="1839"/>
      <c r="BH143" s="1839"/>
      <c r="BI143" s="1839"/>
      <c r="BJ143" s="1839"/>
      <c r="BK143" s="1162"/>
      <c r="BL143" s="898"/>
      <c r="BM143" s="898"/>
      <c r="BN143" s="21"/>
      <c r="BO143" s="21"/>
      <c r="BP143" s="21"/>
      <c r="BQ143" s="21"/>
      <c r="BR143" s="21"/>
      <c r="BS143" s="21"/>
      <c r="BT143" s="21"/>
      <c r="BU143" s="21"/>
      <c r="BV143" s="21"/>
      <c r="BW143" s="139"/>
      <c r="BX143" s="139"/>
      <c r="BY143" s="139"/>
      <c r="BZ143" s="139"/>
      <c r="CA143" s="139"/>
      <c r="CX143" s="249"/>
      <c r="CY143" s="246"/>
      <c r="CZ143" s="246"/>
      <c r="DA143" s="246"/>
    </row>
    <row r="144" spans="1:105" s="104" customFormat="1" ht="28.5" customHeight="1" x14ac:dyDescent="0.35">
      <c r="A144" s="1184" t="s">
        <v>149</v>
      </c>
      <c r="B144" s="1188">
        <f>MAX(C95:C106,G95:G106,K95:K106,O95:O106,S95:S106,AK95:AK106,AO95:AO106,AS95:AS106,AW95:AW106,BA95:BA106)</f>
        <v>99.33</v>
      </c>
      <c r="C144" s="1188">
        <f>MAX(D95:D106,H95:H106,L95:L106,P95:P106,T95:T106,AL95:AL106,AP95:AP106,AT95:AT106,AX95:AX106,BB95:BB106)</f>
        <v>0.2</v>
      </c>
      <c r="D144" s="1189">
        <f>MAX(E95:E106,I95:I106,M95:M106,Q95:Q106,U95:U106,AM95:AM106,AQ95:AQ106,AU95:AU106,AY95:AY106,BC95:BC106)</f>
        <v>2.8999999999999998E-3</v>
      </c>
      <c r="E144" s="103"/>
      <c r="F144" s="1184" t="s">
        <v>149</v>
      </c>
      <c r="G144" s="1188">
        <f>MAX(W95:W106,AA95:AA106,BE95:BE106,BI95:BI106)</f>
        <v>99.33</v>
      </c>
      <c r="H144" s="1188">
        <f>MAX(X95:X106,AB95:AB106,BF95:BF106,BJ95:BJ106)</f>
        <v>0.19</v>
      </c>
      <c r="I144" s="1189">
        <f>MAX(Y95:Y106,AC95:AC106,BG95:BG106,BK95:BK106)</f>
        <v>2.3E-3</v>
      </c>
      <c r="J144" s="1184" t="s">
        <v>149</v>
      </c>
      <c r="K144" s="2264">
        <f>MAX(T78:U89,BB78:BC89)</f>
        <v>7.0000000000000007E-2</v>
      </c>
      <c r="L144" s="2265"/>
      <c r="M144" s="1190">
        <f>MAX(V78:V89,BD78:BD89)</f>
        <v>8.0000000000000004E-4</v>
      </c>
      <c r="N144" s="133">
        <f>MAX(W78:Y89,BE78:BG89)</f>
        <v>0</v>
      </c>
      <c r="O144" s="133">
        <f>MAX(AB78:AB89,BJ78:BJ89)</f>
        <v>81</v>
      </c>
      <c r="P144" s="133">
        <f>MAX(AA78:AA89,BI78:BI89)</f>
        <v>75</v>
      </c>
      <c r="Q144" s="133">
        <f>MAX(AG78:AG89,BO78:BO89)</f>
        <v>37.799999999999997</v>
      </c>
      <c r="T144" s="1192">
        <f>MAX(P55,S53)</f>
        <v>5.0999999999999996</v>
      </c>
      <c r="U144" s="1193">
        <f>T53</f>
        <v>61.7</v>
      </c>
      <c r="V144" s="1194">
        <f>BT30</f>
        <v>5.7889999999999997</v>
      </c>
      <c r="AQ144" s="145"/>
      <c r="AU144" s="1307"/>
      <c r="AV144" s="1753" t="s">
        <v>26</v>
      </c>
      <c r="AW144" s="1753"/>
      <c r="AX144" s="1753"/>
      <c r="AY144" s="1753"/>
      <c r="AZ144" s="1753"/>
      <c r="BA144" s="1338" t="s">
        <v>32</v>
      </c>
      <c r="BB144" s="1339" t="s">
        <v>1011</v>
      </c>
      <c r="BC144" s="1339" t="s">
        <v>8</v>
      </c>
      <c r="BD144" s="1339" t="s">
        <v>1012</v>
      </c>
      <c r="BE144" s="1753" t="s">
        <v>26</v>
      </c>
      <c r="BF144" s="1753"/>
      <c r="BG144" s="1753"/>
      <c r="BH144" s="1753"/>
      <c r="BI144" s="1338" t="s">
        <v>76</v>
      </c>
      <c r="BJ144" s="1338" t="s">
        <v>78</v>
      </c>
      <c r="BK144" s="103"/>
      <c r="BW144" s="139"/>
      <c r="BX144" s="139"/>
      <c r="BY144" s="139"/>
      <c r="BZ144" s="139"/>
      <c r="CA144" s="139"/>
      <c r="CX144" s="249"/>
      <c r="CY144" s="246"/>
      <c r="CZ144" s="246"/>
      <c r="DA144" s="246"/>
    </row>
    <row r="145" spans="1:105" s="104" customFormat="1" ht="22.5" customHeight="1" x14ac:dyDescent="0.35">
      <c r="A145" s="1184" t="s">
        <v>150</v>
      </c>
      <c r="B145" s="1188">
        <f>MIN(C95:C106,G95:G106,K95:K106,O95:O106,S95:S106,AK95:AK106,AO95:AO106,AS95:AS106,AW95:AW106,BA95:BA106)</f>
        <v>99.33</v>
      </c>
      <c r="C145" s="1188">
        <f>MIN(D95:D106,H95:H106,L95:L106,P95:P106,T95:T106,AL95:AL106,AP95:AP106,AT95:AT106,AX95:AX106,BB95:BB106)</f>
        <v>0.14000000000000001</v>
      </c>
      <c r="D145" s="1189">
        <f>MIN(E95:E106,I95:I106,M95:M106,Q95:Q106,U95:U106,AM95:AM106,AQ95:AQ106,AU95:AU106,AY95:AY106,BC95:BC106)</f>
        <v>1.1999999999999999E-3</v>
      </c>
      <c r="E145" s="103"/>
      <c r="F145" s="1184" t="s">
        <v>150</v>
      </c>
      <c r="G145" s="1188">
        <f>MIN(W95:W106,AA95:AA106,BE95:BE106,BI95:BI106)</f>
        <v>99.33</v>
      </c>
      <c r="H145" s="1188">
        <f>MIN(X95:X106,AB95:AB106,BF95:BF106,BJ95:BJ106)</f>
        <v>0.14000000000000001</v>
      </c>
      <c r="I145" s="1189">
        <f>MIN(Y95:Y106,AC95:AC106,BG95:BG106,BK95:BK106)</f>
        <v>1.4E-3</v>
      </c>
      <c r="J145" s="1184" t="s">
        <v>150</v>
      </c>
      <c r="K145" s="2264">
        <f>MIN(T78:U89,BB78:BC89)</f>
        <v>5.0000000000000001E-4</v>
      </c>
      <c r="L145" s="2265"/>
      <c r="M145" s="1190">
        <f>MIN(V78:V89,BD78:BD89)</f>
        <v>5.0000000000000001E-4</v>
      </c>
      <c r="N145" s="133">
        <f>MIN(W78:Y89,BE78:BG89)</f>
        <v>0</v>
      </c>
      <c r="O145" s="133">
        <f>MIN(AB78:AB89,BJ78:BJ89)</f>
        <v>80</v>
      </c>
      <c r="P145" s="133">
        <f>MIN(AA78:AA89,BI78:BI89)</f>
        <v>70</v>
      </c>
      <c r="Q145" s="133">
        <f>MIN(AG78:AG89,BO78:BO89)</f>
        <v>35.799999999999997</v>
      </c>
      <c r="T145" s="1195">
        <f>MAX(AX55,BA53)</f>
        <v>5.2</v>
      </c>
      <c r="U145" s="1193">
        <f>BB53</f>
        <v>64.099999999999994</v>
      </c>
      <c r="V145" s="1194">
        <f>BV30</f>
        <v>5.875</v>
      </c>
      <c r="AQ145" s="145"/>
      <c r="AU145" s="1307"/>
      <c r="AV145" s="1336" t="s">
        <v>0</v>
      </c>
      <c r="AW145" s="1336" t="s">
        <v>185</v>
      </c>
      <c r="AX145" s="1336" t="s">
        <v>30</v>
      </c>
      <c r="AY145" s="1336" t="s">
        <v>29</v>
      </c>
      <c r="AZ145" s="1336" t="s">
        <v>1325</v>
      </c>
      <c r="BA145" s="1336" t="s">
        <v>189</v>
      </c>
      <c r="BB145" s="1336" t="s">
        <v>617</v>
      </c>
      <c r="BC145" s="1336" t="s">
        <v>438</v>
      </c>
      <c r="BD145" s="1336" t="s">
        <v>438</v>
      </c>
      <c r="BE145" s="1336" t="s">
        <v>1016</v>
      </c>
      <c r="BF145" s="1336" t="s">
        <v>1349</v>
      </c>
      <c r="BG145" s="1336" t="s">
        <v>1303</v>
      </c>
      <c r="BH145" s="1336" t="s">
        <v>1013</v>
      </c>
      <c r="BI145" s="1336" t="s">
        <v>77</v>
      </c>
      <c r="BJ145" s="1336" t="s">
        <v>77</v>
      </c>
      <c r="BK145" s="103"/>
      <c r="BW145" s="139"/>
      <c r="BX145" s="139"/>
      <c r="BY145" s="139"/>
      <c r="BZ145" s="139"/>
      <c r="CA145" s="139"/>
      <c r="CX145" s="249"/>
      <c r="CY145" s="246"/>
      <c r="CZ145" s="246"/>
      <c r="DA145" s="246"/>
    </row>
    <row r="146" spans="1:105" s="104" customFormat="1" ht="22.5" customHeight="1" x14ac:dyDescent="0.35">
      <c r="A146" s="1184" t="s">
        <v>151</v>
      </c>
      <c r="B146" s="1188">
        <f>AVERAGE(C95:C106,G95:G106,K95:K106,O95:O106,S95:S106,AK95:AK106,AO95:AO106,AS95:AS106,AW95:AW106,BA95:BA106)</f>
        <v>99.329999999999941</v>
      </c>
      <c r="C146" s="1188">
        <f>AVERAGE(D95:D106,H95:H106,L95:L106,P95:P106,T95:T106,AL95:AL106,AP95:AP106,AT95:AT106,AX95:AX106,BB95:BB106)</f>
        <v>0.15214285714285716</v>
      </c>
      <c r="D146" s="1189">
        <f>AVERAGE(E95:E106,I95:I106,M95:M106,Q95:Q106,U95:U106,AM95:AM106,AQ95:AQ106,AU95:AU106,AY95:AY106,BC95:BC106)</f>
        <v>1.9222222222222221E-3</v>
      </c>
      <c r="E146" s="103"/>
      <c r="F146" s="1184" t="s">
        <v>151</v>
      </c>
      <c r="G146" s="1188">
        <f>AVERAGE(W95:W106,AA95:AA106,BE95:BE106,BI95:BI106)</f>
        <v>99.32999999999997</v>
      </c>
      <c r="H146" s="1188">
        <f>AVERAGE(X95:X106,AB95:AB106,BF95:BF106,BJ95:BJ106)</f>
        <v>0.15291666666666667</v>
      </c>
      <c r="I146" s="1189">
        <f>AVERAGE(Y95:Y106,AC95:AC106,BG95:BG106,BK95:BK106)</f>
        <v>1.922727272727273E-3</v>
      </c>
      <c r="J146" s="1184" t="s">
        <v>151</v>
      </c>
      <c r="K146" s="1190">
        <f>AVERAGE(T77:T89,BB78:BB89)</f>
        <v>6.3000000000000014E-2</v>
      </c>
      <c r="L146" s="1190">
        <f>AVERAGE(U78:U89,BC78:BC89)</f>
        <v>9.5E-4</v>
      </c>
      <c r="M146" s="1191">
        <f>AVERAGE(V78:V89,BD78:BD89)</f>
        <v>6.9999999999999999E-4</v>
      </c>
      <c r="N146" s="133" t="e">
        <f>AVERAGE(W78:Y89,BE78:BG89)</f>
        <v>#DIV/0!</v>
      </c>
      <c r="O146" s="133">
        <f>AVERAGE(AB78:AB89,BJ78:BJ89)</f>
        <v>80.5</v>
      </c>
      <c r="P146" s="133">
        <f>AVERAGE(AA78:AA89,BI78:BI89)</f>
        <v>72.5</v>
      </c>
      <c r="Q146" s="133">
        <f>AVERAGE(AG78:AG89,BO78:BO89)</f>
        <v>36.799999999999997</v>
      </c>
      <c r="AQ146" s="145"/>
      <c r="AU146" s="897" t="s">
        <v>1348</v>
      </c>
      <c r="AV146" s="1324">
        <f>COUNT(F73,AN73)</f>
        <v>2</v>
      </c>
      <c r="AW146" s="1324">
        <f>SUM(AY158)</f>
        <v>14</v>
      </c>
      <c r="AX146" s="1324">
        <f>COUNT(AB40:AB46,AB48:AB54,BJ40:BJ46,BJ48:BJ54)</f>
        <v>14</v>
      </c>
      <c r="AY146" s="1324">
        <f>COUNT(BK40:BK46,BK48:BK54,AC40:AC46,AC48:AC54)</f>
        <v>16</v>
      </c>
      <c r="AZ146" s="1324">
        <f>COUNT(AD40:AD46,AD48:AD54,BL40:BL46,BL48:BL54)</f>
        <v>16</v>
      </c>
      <c r="BA146" s="1324">
        <f>COUNT(AE40:AE46,AE48:AE54,BM40:BM46,BM48:BM54)</f>
        <v>14</v>
      </c>
      <c r="BB146" s="1324">
        <f>COUNT(AF40:AF46,AF48:AF54,BN40:BN46,BN48:BN54)</f>
        <v>14</v>
      </c>
      <c r="BC146" s="1324">
        <f>COUNT(H78:H89,AP78:AP89)</f>
        <v>24</v>
      </c>
      <c r="BD146" s="1324">
        <f>COUNT(J78:J89,AR78:AR89)</f>
        <v>24</v>
      </c>
      <c r="BE146" s="1324">
        <f>COUNT(AD4:AD33,BL4:BL33)</f>
        <v>40</v>
      </c>
      <c r="BF146" s="1324">
        <f t="shared" ref="BF146:BH146" si="27">COUNT(AE4:AE33,BM4:BM33)</f>
        <v>40</v>
      </c>
      <c r="BG146" s="1324">
        <f t="shared" si="27"/>
        <v>40</v>
      </c>
      <c r="BH146" s="1324">
        <f t="shared" si="27"/>
        <v>52</v>
      </c>
      <c r="BI146" s="1324">
        <f>COUNT(AD63:AD66,BL63:BL66)</f>
        <v>8</v>
      </c>
      <c r="BJ146" s="1324">
        <f>COUNT(AG63:AG66,BO63:BO66)</f>
        <v>4</v>
      </c>
      <c r="BK146" s="103"/>
      <c r="BW146" s="139"/>
      <c r="BX146" s="139"/>
      <c r="BY146" s="139"/>
      <c r="BZ146" s="139"/>
      <c r="CA146" s="139"/>
      <c r="CX146" s="249"/>
      <c r="CY146" s="246"/>
      <c r="CZ146" s="246"/>
      <c r="DA146" s="246"/>
    </row>
    <row r="147" spans="1:105" s="104" customFormat="1" ht="22.5" customHeight="1" x14ac:dyDescent="0.35">
      <c r="I147" s="145"/>
      <c r="S147" s="1690" t="s">
        <v>1290</v>
      </c>
      <c r="T147" s="2286"/>
      <c r="U147" s="2286"/>
      <c r="V147" s="2286"/>
      <c r="W147" s="2286"/>
      <c r="X147" s="1691"/>
      <c r="AQ147" s="145"/>
      <c r="AU147" s="897" t="s">
        <v>4</v>
      </c>
      <c r="AV147" s="1343">
        <f t="shared" ref="AV147" si="28">AV146*1</f>
        <v>2</v>
      </c>
      <c r="AW147" s="1343">
        <f>COUNT(AA40:AA46,AA48:AA54,BI40:BI46,BI48:BI54)</f>
        <v>14</v>
      </c>
      <c r="AX147" s="1343">
        <f t="shared" ref="AX147:BJ147" si="29">AX146*1</f>
        <v>14</v>
      </c>
      <c r="AY147" s="1343">
        <f t="shared" si="29"/>
        <v>16</v>
      </c>
      <c r="AZ147" s="1343">
        <f t="shared" si="29"/>
        <v>16</v>
      </c>
      <c r="BA147" s="1343">
        <f t="shared" si="29"/>
        <v>14</v>
      </c>
      <c r="BB147" s="1343">
        <f t="shared" si="29"/>
        <v>14</v>
      </c>
      <c r="BC147" s="1343">
        <f t="shared" si="29"/>
        <v>24</v>
      </c>
      <c r="BD147" s="1343">
        <f t="shared" si="29"/>
        <v>24</v>
      </c>
      <c r="BE147" s="1343">
        <f t="shared" si="29"/>
        <v>40</v>
      </c>
      <c r="BF147" s="1343">
        <f t="shared" si="29"/>
        <v>40</v>
      </c>
      <c r="BG147" s="1343">
        <f t="shared" si="29"/>
        <v>40</v>
      </c>
      <c r="BH147" s="1343">
        <f t="shared" si="29"/>
        <v>52</v>
      </c>
      <c r="BI147" s="1343">
        <f t="shared" si="29"/>
        <v>8</v>
      </c>
      <c r="BJ147" s="1343">
        <f t="shared" si="29"/>
        <v>4</v>
      </c>
      <c r="BK147" s="103"/>
      <c r="BQ147" s="138"/>
      <c r="BR147" s="139"/>
      <c r="BS147" s="139"/>
      <c r="BT147" s="139"/>
      <c r="BU147" s="139"/>
      <c r="BV147" s="139"/>
      <c r="BW147" s="139"/>
      <c r="BX147" s="139"/>
      <c r="BY147" s="139"/>
      <c r="BZ147" s="139"/>
      <c r="CA147" s="139"/>
      <c r="CX147" s="249"/>
      <c r="CY147" s="246"/>
      <c r="CZ147" s="246"/>
      <c r="DA147" s="246"/>
    </row>
    <row r="148" spans="1:105" s="103" customFormat="1" ht="22.5" customHeight="1" x14ac:dyDescent="0.3">
      <c r="A148" s="2247"/>
      <c r="B148" s="1357" t="s">
        <v>19</v>
      </c>
      <c r="C148" s="2333" t="s">
        <v>21</v>
      </c>
      <c r="D148" s="2334"/>
      <c r="E148" s="2335"/>
      <c r="F148" s="2333" t="s">
        <v>182</v>
      </c>
      <c r="G148" s="2335"/>
      <c r="H148" s="1357" t="s">
        <v>29</v>
      </c>
      <c r="I148" s="1703" t="s">
        <v>416</v>
      </c>
      <c r="J148" s="1703"/>
      <c r="K148" s="1703"/>
      <c r="L148" s="1703"/>
      <c r="M148" s="1357" t="s">
        <v>30</v>
      </c>
      <c r="N148" s="1357" t="s">
        <v>24</v>
      </c>
      <c r="O148" s="1703" t="s">
        <v>1278</v>
      </c>
      <c r="P148" s="1703"/>
      <c r="Q148" s="1703"/>
      <c r="R148" s="1357" t="s">
        <v>34</v>
      </c>
      <c r="S148" s="1360" t="s">
        <v>133</v>
      </c>
      <c r="T148" s="1360" t="s">
        <v>134</v>
      </c>
      <c r="U148" s="1360" t="s">
        <v>81</v>
      </c>
      <c r="V148" s="1360" t="s">
        <v>133</v>
      </c>
      <c r="W148" s="1360" t="s">
        <v>134</v>
      </c>
      <c r="X148" s="1360" t="s">
        <v>81</v>
      </c>
      <c r="Y148" s="1357" t="s">
        <v>1281</v>
      </c>
      <c r="Z148" s="1357" t="s">
        <v>1282</v>
      </c>
      <c r="AA148" s="1357" t="s">
        <v>392</v>
      </c>
      <c r="AB148" s="1703" t="s">
        <v>1283</v>
      </c>
      <c r="AC148" s="1703"/>
      <c r="AD148" s="1703"/>
      <c r="AE148" s="1703" t="s">
        <v>1284</v>
      </c>
      <c r="AF148" s="1703"/>
      <c r="AG148" s="1703"/>
      <c r="AH148" s="1703" t="s">
        <v>1287</v>
      </c>
      <c r="AI148" s="1703"/>
      <c r="AJ148" s="1703"/>
      <c r="AK148" s="1703" t="s">
        <v>1288</v>
      </c>
      <c r="AL148" s="1850"/>
      <c r="AM148" s="1850"/>
      <c r="AN148" s="1703" t="s">
        <v>38</v>
      </c>
      <c r="AO148" s="1703"/>
      <c r="AP148" s="1703"/>
      <c r="AQ148" s="1357" t="s">
        <v>8</v>
      </c>
      <c r="AV148" s="1700" t="s">
        <v>26</v>
      </c>
      <c r="AW148" s="1701"/>
      <c r="AX148" s="1702"/>
      <c r="AY148" s="1672" t="s">
        <v>1011</v>
      </c>
      <c r="AZ148" s="1673"/>
      <c r="BA148" s="1673"/>
      <c r="BB148" s="1674"/>
      <c r="BC148" s="1672" t="s">
        <v>26</v>
      </c>
      <c r="BD148" s="1673"/>
      <c r="BE148" s="1673"/>
      <c r="BF148" s="1673"/>
      <c r="BG148" s="1340" t="s">
        <v>106</v>
      </c>
      <c r="BH148" s="1754" t="s">
        <v>1347</v>
      </c>
      <c r="BI148" s="2297" t="s">
        <v>1017</v>
      </c>
      <c r="BJ148" s="2298"/>
      <c r="BK148" s="1310"/>
      <c r="BL148" s="893"/>
      <c r="BM148" s="1779" t="s">
        <v>1019</v>
      </c>
      <c r="BN148" s="1780"/>
      <c r="BO148" s="104"/>
      <c r="BP148" s="104"/>
      <c r="BQ148" s="129"/>
      <c r="CX148" s="250"/>
      <c r="CY148" s="250"/>
      <c r="CZ148" s="250"/>
      <c r="DA148" s="250"/>
    </row>
    <row r="149" spans="1:105" s="103" customFormat="1" ht="22.5" customHeight="1" x14ac:dyDescent="0.3">
      <c r="A149" s="2247"/>
      <c r="B149" s="1360" t="s">
        <v>1275</v>
      </c>
      <c r="C149" s="1360" t="s">
        <v>1209</v>
      </c>
      <c r="D149" s="1360" t="s">
        <v>1275</v>
      </c>
      <c r="E149" s="1360" t="s">
        <v>1276</v>
      </c>
      <c r="F149" s="1360" t="s">
        <v>1276</v>
      </c>
      <c r="G149" s="1360" t="s">
        <v>1209</v>
      </c>
      <c r="H149" s="1360" t="s">
        <v>1277</v>
      </c>
      <c r="I149" s="1360" t="s">
        <v>1209</v>
      </c>
      <c r="J149" s="1361" t="s">
        <v>1279</v>
      </c>
      <c r="K149" s="1360" t="s">
        <v>1321</v>
      </c>
      <c r="L149" s="1360" t="s">
        <v>1277</v>
      </c>
      <c r="M149" s="1360" t="s">
        <v>1277</v>
      </c>
      <c r="N149" s="1360" t="s">
        <v>1275</v>
      </c>
      <c r="O149" s="1360" t="s">
        <v>13</v>
      </c>
      <c r="P149" s="1360" t="s">
        <v>391</v>
      </c>
      <c r="Q149" s="1361" t="s">
        <v>1279</v>
      </c>
      <c r="R149" s="1362" t="s">
        <v>1309</v>
      </c>
      <c r="S149" s="1708" t="s">
        <v>1280</v>
      </c>
      <c r="T149" s="1704"/>
      <c r="U149" s="1705"/>
      <c r="V149" s="1675" t="s">
        <v>1289</v>
      </c>
      <c r="W149" s="1676"/>
      <c r="X149" s="1677"/>
      <c r="Y149" s="1708" t="s">
        <v>1277</v>
      </c>
      <c r="Z149" s="1705"/>
      <c r="AA149" s="1360" t="s">
        <v>129</v>
      </c>
      <c r="AB149" s="1360" t="s">
        <v>133</v>
      </c>
      <c r="AC149" s="1360" t="s">
        <v>134</v>
      </c>
      <c r="AD149" s="1360" t="s">
        <v>81</v>
      </c>
      <c r="AE149" s="1360" t="s">
        <v>133</v>
      </c>
      <c r="AF149" s="1360" t="s">
        <v>134</v>
      </c>
      <c r="AG149" s="1360" t="s">
        <v>81</v>
      </c>
      <c r="AH149" s="1360" t="s">
        <v>133</v>
      </c>
      <c r="AI149" s="1360" t="s">
        <v>134</v>
      </c>
      <c r="AJ149" s="1360" t="s">
        <v>81</v>
      </c>
      <c r="AK149" s="1360" t="s">
        <v>133</v>
      </c>
      <c r="AL149" s="1360" t="s">
        <v>134</v>
      </c>
      <c r="AM149" s="1360" t="s">
        <v>81</v>
      </c>
      <c r="AN149" s="1360" t="s">
        <v>1209</v>
      </c>
      <c r="AO149" s="1361" t="s">
        <v>1279</v>
      </c>
      <c r="AP149" s="1360" t="s">
        <v>1277</v>
      </c>
      <c r="AQ149" s="1360" t="s">
        <v>62</v>
      </c>
      <c r="AV149" s="1337" t="s">
        <v>158</v>
      </c>
      <c r="AW149" s="1337" t="s">
        <v>1350</v>
      </c>
      <c r="AX149" s="1337" t="s">
        <v>127</v>
      </c>
      <c r="AY149" s="1341" t="s">
        <v>617</v>
      </c>
      <c r="AZ149" s="1336" t="s">
        <v>1351</v>
      </c>
      <c r="BA149" s="1342" t="s">
        <v>1299</v>
      </c>
      <c r="BB149" s="1342" t="s">
        <v>1300</v>
      </c>
      <c r="BC149" s="1336" t="s">
        <v>1352</v>
      </c>
      <c r="BD149" s="1336" t="s">
        <v>1353</v>
      </c>
      <c r="BE149" s="1336" t="s">
        <v>1354</v>
      </c>
      <c r="BF149" s="1336" t="s">
        <v>38</v>
      </c>
      <c r="BG149" s="1336" t="s">
        <v>1354</v>
      </c>
      <c r="BH149" s="1755"/>
      <c r="BI149" s="2299"/>
      <c r="BJ149" s="2300"/>
      <c r="BK149" s="1310"/>
      <c r="BL149" s="893"/>
      <c r="BM149" s="1781"/>
      <c r="BN149" s="1782"/>
      <c r="BO149" s="104"/>
      <c r="BP149" s="104"/>
      <c r="BQ149" s="129"/>
      <c r="CX149" s="250"/>
      <c r="CY149" s="250"/>
      <c r="CZ149" s="250"/>
      <c r="DA149" s="250"/>
    </row>
    <row r="150" spans="1:105" s="103" customFormat="1" ht="22.5" customHeight="1" x14ac:dyDescent="0.3">
      <c r="A150" s="2247"/>
      <c r="B150" s="1363">
        <f>C35</f>
        <v>0.06</v>
      </c>
      <c r="C150" s="1363" t="e">
        <f>BL102</f>
        <v>#DIV/0!</v>
      </c>
      <c r="D150" s="1363">
        <f>E35</f>
        <v>0.06</v>
      </c>
      <c r="E150" s="1363" t="e">
        <f>F35</f>
        <v>#DIV/0!</v>
      </c>
      <c r="F150" s="1364">
        <f>AC90</f>
        <v>86</v>
      </c>
      <c r="G150" s="1364" t="e">
        <f>BM102</f>
        <v>#DIV/0!</v>
      </c>
      <c r="H150" s="1364">
        <f>AC55</f>
        <v>65</v>
      </c>
      <c r="I150" s="1364">
        <f>J35</f>
        <v>102.7</v>
      </c>
      <c r="J150" s="1364">
        <f>I35</f>
        <v>88.1</v>
      </c>
      <c r="K150" s="1365">
        <f>G35</f>
        <v>0.43</v>
      </c>
      <c r="L150" s="1366">
        <f>F73</f>
        <v>64</v>
      </c>
      <c r="M150" s="1366">
        <f>AB55</f>
        <v>72</v>
      </c>
      <c r="N150" s="1364">
        <f>MAX(U53,W53)</f>
        <v>5.6</v>
      </c>
      <c r="O150" s="1364">
        <f>MAX(O55,R53)</f>
        <v>2.9</v>
      </c>
      <c r="P150" s="1364">
        <f>MAX(P55,S53)</f>
        <v>5.0999999999999996</v>
      </c>
      <c r="Q150" s="1364">
        <f>Q55</f>
        <v>61.7</v>
      </c>
      <c r="R150" s="1363">
        <f>Y55</f>
        <v>1.29</v>
      </c>
      <c r="S150" s="1364">
        <f>T33</f>
        <v>67.599999999999994</v>
      </c>
      <c r="T150" s="1364">
        <f>X33</f>
        <v>68</v>
      </c>
      <c r="U150" s="1364">
        <f>AB33</f>
        <v>68.400000000000006</v>
      </c>
      <c r="V150" s="1364">
        <f>Q33</f>
        <v>95.8</v>
      </c>
      <c r="W150" s="1364">
        <f>U33</f>
        <v>96.6</v>
      </c>
      <c r="X150" s="1364">
        <f>Y33</f>
        <v>95.8</v>
      </c>
      <c r="Y150" s="1366">
        <f>AD34</f>
        <v>30</v>
      </c>
      <c r="Z150" s="1366">
        <f>AE34</f>
        <v>49</v>
      </c>
      <c r="AA150" s="1364">
        <f>L29</f>
        <v>67</v>
      </c>
      <c r="AB150" s="1364">
        <f>E90</f>
        <v>16.100000000000001</v>
      </c>
      <c r="AC150" s="1364">
        <f>F90</f>
        <v>17.100000000000001</v>
      </c>
      <c r="AD150" s="1364">
        <f>G90</f>
        <v>16.399999999999999</v>
      </c>
      <c r="AE150" s="1363">
        <f>AVERAGE(K78:K89)</f>
        <v>6.3333333333333339E-2</v>
      </c>
      <c r="AF150" s="1363">
        <f>AVERAGE(L78:L89)</f>
        <v>9.5000000000000015E-2</v>
      </c>
      <c r="AG150" s="1363">
        <f>N90</f>
        <v>0.06</v>
      </c>
      <c r="AH150" s="1364">
        <f>D47</f>
        <v>6.8</v>
      </c>
      <c r="AI150" s="1364">
        <f>D48</f>
        <v>7.2</v>
      </c>
      <c r="AJ150" s="1364">
        <f>AF60</f>
        <v>14.6</v>
      </c>
      <c r="AK150" s="1364">
        <f>B40</f>
        <v>85.7</v>
      </c>
      <c r="AL150" s="1364">
        <f>B41</f>
        <v>85.7</v>
      </c>
      <c r="AM150" s="1364">
        <f>B44</f>
        <v>75.3</v>
      </c>
      <c r="AN150" s="1364">
        <f>B90</f>
        <v>13.7</v>
      </c>
      <c r="AO150" s="1363">
        <f>C90</f>
        <v>0.06</v>
      </c>
      <c r="AP150" s="1366">
        <f>F72</f>
        <v>29</v>
      </c>
      <c r="AQ150" s="1366">
        <f>H90</f>
        <v>305</v>
      </c>
      <c r="AV150" s="1325">
        <f>COUNT(K31:M32,AS31:AU32)</f>
        <v>6</v>
      </c>
      <c r="AW150" s="1325">
        <f>COUNT(N31:P32,AV31:AX32)</f>
        <v>6</v>
      </c>
      <c r="AX150" s="1325">
        <f>COUNT(Y120:AC121)</f>
        <v>10</v>
      </c>
      <c r="AY150" s="1684">
        <f>COUNT(F2:G5,AN2:AO5)</f>
        <v>10</v>
      </c>
      <c r="AZ150" s="1685"/>
      <c r="BA150" s="1685"/>
      <c r="BB150" s="1686"/>
      <c r="BC150" s="1324">
        <f>COUNT(C72,AK72)</f>
        <v>2</v>
      </c>
      <c r="BD150" s="1324">
        <f>COUNT(C73,AK73)</f>
        <v>2</v>
      </c>
      <c r="BE150" s="1324">
        <f>COUNT(C71,AK71)</f>
        <v>2</v>
      </c>
      <c r="BF150" s="1324">
        <f>COUNT(F72,AN72)</f>
        <v>2</v>
      </c>
      <c r="BG150" s="1324">
        <f>COUNT(AK70,C70)</f>
        <v>2</v>
      </c>
      <c r="BH150" s="1312">
        <f>SUM(AV146:BJ146,AV150:BG150)</f>
        <v>364</v>
      </c>
      <c r="BI150" s="1756">
        <f>BJ139+BH150</f>
        <v>804</v>
      </c>
      <c r="BJ150" s="1757"/>
      <c r="BK150" s="1308" t="s">
        <v>1010</v>
      </c>
      <c r="BL150" s="893"/>
      <c r="BM150" s="1302" t="s">
        <v>1334</v>
      </c>
      <c r="BN150" s="1304">
        <v>3</v>
      </c>
      <c r="BO150" s="104"/>
      <c r="BP150" s="104"/>
      <c r="BQ150" s="129"/>
      <c r="CX150" s="250"/>
      <c r="CY150" s="250"/>
      <c r="CZ150" s="250"/>
      <c r="DA150" s="250"/>
    </row>
    <row r="151" spans="1:105" s="103" customFormat="1" ht="22.5" customHeight="1" x14ac:dyDescent="0.3">
      <c r="A151" s="2247"/>
      <c r="B151" s="1363">
        <f>AK35</f>
        <v>0.16</v>
      </c>
      <c r="C151" s="1360"/>
      <c r="D151" s="1363">
        <f>AM35</f>
        <v>0.2</v>
      </c>
      <c r="E151" s="1363" t="e">
        <f>AN35</f>
        <v>#DIV/0!</v>
      </c>
      <c r="F151" s="1364">
        <f>BK90</f>
        <v>82</v>
      </c>
      <c r="G151" s="1364"/>
      <c r="H151" s="1364">
        <f>BK55</f>
        <v>62</v>
      </c>
      <c r="I151" s="1364">
        <f>AR35</f>
        <v>102.7</v>
      </c>
      <c r="J151" s="1364">
        <f>AQ35</f>
        <v>88.5</v>
      </c>
      <c r="K151" s="1367">
        <f>AO35</f>
        <v>0.49</v>
      </c>
      <c r="L151" s="1366">
        <f>AN73</f>
        <v>62</v>
      </c>
      <c r="M151" s="1366">
        <f>BJ55</f>
        <v>79</v>
      </c>
      <c r="N151" s="1364">
        <f>MAX(BE53,BC53)</f>
        <v>6</v>
      </c>
      <c r="O151" s="1364">
        <f>MAX(AW55,AZ53)</f>
        <v>2.5</v>
      </c>
      <c r="P151" s="1364">
        <f>MAX(AX55,BA53)</f>
        <v>5.2</v>
      </c>
      <c r="Q151" s="1364">
        <f>AY55</f>
        <v>64.5</v>
      </c>
      <c r="R151" s="1363">
        <f>BG55</f>
        <v>0.47</v>
      </c>
      <c r="S151" s="1364">
        <f>BB33</f>
        <v>70</v>
      </c>
      <c r="T151" s="1364">
        <f>BF33</f>
        <v>70</v>
      </c>
      <c r="U151" s="1364">
        <f>BJ33</f>
        <v>70.8</v>
      </c>
      <c r="V151" s="1364">
        <f>AY33</f>
        <v>97.8</v>
      </c>
      <c r="W151" s="1364">
        <f>BC33</f>
        <v>98.6</v>
      </c>
      <c r="X151" s="1364">
        <f>BG33</f>
        <v>98.6</v>
      </c>
      <c r="Y151" s="1366">
        <f>BL34</f>
        <v>30</v>
      </c>
      <c r="Z151" s="1366">
        <f>BM34</f>
        <v>47</v>
      </c>
      <c r="AA151" s="1364">
        <f>AT29</f>
        <v>57.5</v>
      </c>
      <c r="AB151" s="1364">
        <f>AM90</f>
        <v>15.3</v>
      </c>
      <c r="AC151" s="1364">
        <f>AN90</f>
        <v>16.5</v>
      </c>
      <c r="AD151" s="1364">
        <f>AO90</f>
        <v>20.3</v>
      </c>
      <c r="AE151" s="1363">
        <f>AVERAGE(AS78:AS89)</f>
        <v>6.1666666666666668E-2</v>
      </c>
      <c r="AF151" s="1363">
        <f>AVERAGE(AT78:AT89)</f>
        <v>7.4999999999999997E-2</v>
      </c>
      <c r="AG151" s="1363">
        <f>AV90</f>
        <v>7.0000000000000007E-2</v>
      </c>
      <c r="AH151" s="1364">
        <f>AL47</f>
        <v>10.3</v>
      </c>
      <c r="AI151" s="1364">
        <f>AL48</f>
        <v>6.2</v>
      </c>
      <c r="AJ151" s="1364">
        <f>BN60</f>
        <v>15.7</v>
      </c>
      <c r="AK151" s="1364">
        <f>AJ40</f>
        <v>89.7</v>
      </c>
      <c r="AL151" s="1364">
        <f>AJ41</f>
        <v>88.9</v>
      </c>
      <c r="AM151" s="1364">
        <f>AJ44</f>
        <v>82.5</v>
      </c>
      <c r="AN151" s="1364">
        <f>AJ90</f>
        <v>12.9</v>
      </c>
      <c r="AO151" s="1363">
        <f>AK90</f>
        <v>0.06</v>
      </c>
      <c r="AP151" s="1366">
        <f>AN72</f>
        <v>33</v>
      </c>
      <c r="AQ151" s="1366">
        <f>AP90</f>
        <v>307</v>
      </c>
      <c r="AV151" s="1343">
        <f t="shared" ref="AV151:AX151" si="30">AV150*1</f>
        <v>6</v>
      </c>
      <c r="AW151" s="1343">
        <f t="shared" si="30"/>
        <v>6</v>
      </c>
      <c r="AX151" s="1343">
        <f t="shared" si="30"/>
        <v>10</v>
      </c>
      <c r="AY151" s="1687">
        <f>AY150*1</f>
        <v>10</v>
      </c>
      <c r="AZ151" s="1688"/>
      <c r="BA151" s="1688"/>
      <c r="BB151" s="1689"/>
      <c r="BC151" s="1343">
        <f t="shared" ref="BC151:BG151" si="31">BC150*1</f>
        <v>2</v>
      </c>
      <c r="BD151" s="1343">
        <f t="shared" si="31"/>
        <v>2</v>
      </c>
      <c r="BE151" s="1343">
        <f t="shared" si="31"/>
        <v>2</v>
      </c>
      <c r="BF151" s="1343">
        <f t="shared" si="31"/>
        <v>2</v>
      </c>
      <c r="BG151" s="1343">
        <f t="shared" si="31"/>
        <v>2</v>
      </c>
      <c r="BH151" s="1314">
        <f>SUM(AV147:BJ147,AV151:BG151)</f>
        <v>364</v>
      </c>
      <c r="BI151" s="2306">
        <f>BJ140+BH151</f>
        <v>1985</v>
      </c>
      <c r="BJ151" s="2307"/>
      <c r="BK151" s="1309">
        <f>ROUND(BI151/60,1)</f>
        <v>33.1</v>
      </c>
      <c r="BL151" s="140"/>
      <c r="BM151" s="1303" t="s">
        <v>1335</v>
      </c>
      <c r="BN151" s="1305">
        <v>25</v>
      </c>
      <c r="BO151" s="104"/>
      <c r="BP151" s="104"/>
      <c r="BQ151" s="129"/>
      <c r="CX151" s="250"/>
      <c r="CY151" s="250"/>
      <c r="CZ151" s="250"/>
      <c r="DA151" s="250"/>
    </row>
    <row r="152" spans="1:105" s="104" customFormat="1" ht="22.5" customHeight="1" x14ac:dyDescent="0.35">
      <c r="B152" s="1200">
        <f>COUNT(C9:C30,AK9:AK30)</f>
        <v>8</v>
      </c>
      <c r="C152" s="1200">
        <f>COUNT(BL95:BL101)</f>
        <v>0</v>
      </c>
      <c r="D152" s="1200">
        <f>COUNT(E9:E22,AM9:AM22)</f>
        <v>7</v>
      </c>
      <c r="E152" s="1200">
        <f>COUNT(F9:F22,AN9:AN22)</f>
        <v>1</v>
      </c>
      <c r="F152" s="1200">
        <f>COUNT(AC78:AC89,BK78:BK89)</f>
        <v>4</v>
      </c>
      <c r="G152" s="1200">
        <f>COUNT(BM95:BM101)</f>
        <v>0</v>
      </c>
      <c r="H152" s="1200">
        <f>COUNT(AC40:AC46,AC48:AC54,BK40:BK46,BK48:BK54)</f>
        <v>16</v>
      </c>
      <c r="I152" s="1200">
        <f>COUNT(J9:J34,AR9:AR34)</f>
        <v>22</v>
      </c>
      <c r="J152" s="1200">
        <f>COUNT(I9:I35,AQ9:AQ35)</f>
        <v>6</v>
      </c>
      <c r="K152" s="1200">
        <f>COUNT(G9:G34,AO9:AO34)</f>
        <v>4</v>
      </c>
      <c r="L152" s="1200">
        <f>COUNT(F73,AN73)</f>
        <v>2</v>
      </c>
      <c r="M152" s="1200">
        <f>COUNT(AB40:AB46,AB48:AB54,BJ40:BJ46,BJ48:BJ54)</f>
        <v>14</v>
      </c>
      <c r="N152" s="1201">
        <f>COUNT(V40:V53,BD40:BD53)</f>
        <v>6</v>
      </c>
      <c r="O152" s="1200">
        <f>COUNT(O40:O54,AW40:AW54,R40:R53,AZ40:AZ53)</f>
        <v>27</v>
      </c>
      <c r="P152" s="1200">
        <f>COUNT(P40:P54,AX40:AX54,S40:S53,BA40:BA53)</f>
        <v>27</v>
      </c>
      <c r="Q152" s="1200">
        <f>COUNT(Q40:Q54,AY40:AY54,T40:T53,BB40:BB53)</f>
        <v>21</v>
      </c>
      <c r="R152" s="1200">
        <f>COUNT(Y40:Y54,BG40:BG54)</f>
        <v>7</v>
      </c>
      <c r="S152" s="1200">
        <f>COUNT(T9:T33,BB9:BB33)</f>
        <v>6</v>
      </c>
      <c r="T152" s="1200">
        <f>COUNT(X9:X33,BF9:BF33)</f>
        <v>6</v>
      </c>
      <c r="U152" s="1200">
        <f>COUNT(AB9:AB33,BJ9:BJ33)</f>
        <v>6</v>
      </c>
      <c r="V152" s="1200">
        <f>COUNT(Q9:Q33,AY9:AY33)</f>
        <v>5</v>
      </c>
      <c r="W152" s="1200">
        <f>COUNT(U9:U33,BC9:BC33)</f>
        <v>5</v>
      </c>
      <c r="X152" s="1200">
        <f>COUNT(Y9:Y33,BG9:BG33)</f>
        <v>5</v>
      </c>
      <c r="Y152" s="1200">
        <f>COUNT(AD4:AD33,BL4:BL33)</f>
        <v>40</v>
      </c>
      <c r="Z152" s="1200">
        <f>COUNT(AE4:AE33,BM4:BM33)</f>
        <v>40</v>
      </c>
      <c r="AA152" s="1200">
        <f>COUNT(K9:M28,AS9:AU28)</f>
        <v>10</v>
      </c>
      <c r="AB152" s="1200">
        <f>COUNT(E78:E89,AM78:AM89)</f>
        <v>9</v>
      </c>
      <c r="AC152" s="1200">
        <f>COUNT(F78:F89,AN78:AN89)</f>
        <v>9</v>
      </c>
      <c r="AD152" s="1200">
        <f>COUNT(G78:G89,AO78:AO89)</f>
        <v>9</v>
      </c>
      <c r="AE152" s="1200">
        <f>COUNT(K78:K89,AS78:AS89)</f>
        <v>12</v>
      </c>
      <c r="AF152" s="1200">
        <f>COUNT(L78:L89,AT78:AT89)</f>
        <v>12</v>
      </c>
      <c r="AG152" s="1200">
        <f>COUNT(M78:T89,AU78:BB89)</f>
        <v>28</v>
      </c>
      <c r="AH152" s="1200">
        <f>COUNT(D47,AL47)</f>
        <v>2</v>
      </c>
      <c r="AI152" s="1200">
        <f>COUNT(D48,AL48)</f>
        <v>2</v>
      </c>
      <c r="AJ152" s="1200">
        <f>COUNT(AF60,BN60)</f>
        <v>2</v>
      </c>
      <c r="AK152" s="1200">
        <f>COUNT(B40,AJ40,G40:G51,AO40:AO51)</f>
        <v>7</v>
      </c>
      <c r="AL152" s="1200">
        <f>COUNT(B41,AJ41,H40:H51,AP40:AP51)</f>
        <v>7</v>
      </c>
      <c r="AM152" s="1200">
        <f>COUNT(B44,AJ44,I40:I51,AQ40:AQ51)</f>
        <v>7</v>
      </c>
      <c r="AN152" s="1200">
        <f>COUNT(B78:B89,AJ78:AJ89)</f>
        <v>4</v>
      </c>
      <c r="AO152" s="1200">
        <f>COUNT(C78:C89,AK78:AK89)</f>
        <v>4</v>
      </c>
      <c r="AP152" s="1200">
        <f>COUNT(F72,AN72)</f>
        <v>2</v>
      </c>
      <c r="AQ152" s="1200">
        <f>COUNT(H78:H89,AP78:AP89)</f>
        <v>24</v>
      </c>
      <c r="BM152" s="900" t="s">
        <v>1020</v>
      </c>
      <c r="BN152" s="1302">
        <f>SUM(BN150:BN151)</f>
        <v>28</v>
      </c>
      <c r="BQ152" s="138"/>
      <c r="BR152" s="139"/>
      <c r="BS152" s="139"/>
      <c r="BT152" s="139"/>
      <c r="BU152" s="139"/>
      <c r="BV152" s="139"/>
      <c r="BW152" s="139"/>
      <c r="BX152" s="139"/>
      <c r="BY152" s="139"/>
      <c r="BZ152" s="139"/>
      <c r="CA152" s="139"/>
      <c r="CX152" s="249"/>
      <c r="CY152" s="246"/>
      <c r="CZ152" s="246"/>
      <c r="DA152" s="246"/>
    </row>
    <row r="153" spans="1:105" s="104" customFormat="1" ht="22.5" customHeight="1" x14ac:dyDescent="0.35">
      <c r="A153" s="139" t="s">
        <v>1310</v>
      </c>
      <c r="E153" s="894"/>
      <c r="H153" s="894"/>
      <c r="I153" s="884"/>
      <c r="J153" s="894"/>
      <c r="O153" s="157"/>
      <c r="P153" s="157"/>
      <c r="Q153" s="157"/>
      <c r="BP153" s="2330" t="s">
        <v>1416</v>
      </c>
      <c r="BQ153" s="2331"/>
      <c r="BR153" s="2331"/>
      <c r="BS153" s="2331"/>
      <c r="BT153" s="2331"/>
      <c r="BU153" s="2331"/>
      <c r="BV153" s="2331"/>
      <c r="BW153" s="2331"/>
      <c r="BX153" s="2331"/>
      <c r="BY153" s="139"/>
      <c r="BZ153" s="139"/>
      <c r="CA153" s="139"/>
      <c r="CX153" s="249"/>
      <c r="CY153" s="246"/>
      <c r="CZ153" s="246"/>
      <c r="DA153" s="246"/>
    </row>
    <row r="154" spans="1:105" s="103" customFormat="1" ht="22.5" customHeight="1" x14ac:dyDescent="0.25">
      <c r="A154" s="1277"/>
      <c r="B154" s="1368" t="s">
        <v>0</v>
      </c>
      <c r="C154" s="1369" t="s">
        <v>158</v>
      </c>
      <c r="D154" s="1681" t="s">
        <v>1322</v>
      </c>
      <c r="E154" s="1682"/>
      <c r="F154" s="1682"/>
      <c r="G154" s="1682"/>
      <c r="H154" s="1683"/>
      <c r="I154" s="1681" t="s">
        <v>1290</v>
      </c>
      <c r="J154" s="1682"/>
      <c r="K154" s="1682"/>
      <c r="L154" s="1682"/>
      <c r="M154" s="1683"/>
      <c r="N154" s="1368" t="s">
        <v>1323</v>
      </c>
      <c r="O154" s="1681" t="s">
        <v>1550</v>
      </c>
      <c r="P154" s="1682"/>
      <c r="Q154" s="1682"/>
      <c r="R154" s="1682"/>
      <c r="S154" s="1683"/>
      <c r="T154" s="1692" t="s">
        <v>1314</v>
      </c>
      <c r="U154" s="1692"/>
      <c r="V154" s="1692"/>
      <c r="W154" s="1692"/>
      <c r="X154" s="1692"/>
      <c r="Y154" s="1681" t="s">
        <v>1620</v>
      </c>
      <c r="Z154" s="1683"/>
      <c r="AA154" s="1370" t="s">
        <v>411</v>
      </c>
      <c r="AB154" s="1371" t="s">
        <v>38</v>
      </c>
      <c r="AC154" s="1368" t="s">
        <v>1330</v>
      </c>
      <c r="AD154" s="1368" t="s">
        <v>127</v>
      </c>
      <c r="AE154" s="1681" t="s">
        <v>1332</v>
      </c>
      <c r="AF154" s="1683"/>
      <c r="AG154" s="1681" t="s">
        <v>460</v>
      </c>
      <c r="AH154" s="1682"/>
      <c r="AI154" s="1683"/>
      <c r="AJ154" s="1681" t="s">
        <v>1329</v>
      </c>
      <c r="AK154" s="1682"/>
      <c r="AL154" s="1682"/>
      <c r="AM154" s="1682"/>
      <c r="AN154" s="1682"/>
      <c r="AO154" s="1681" t="s">
        <v>1318</v>
      </c>
      <c r="AP154" s="1682"/>
      <c r="AQ154" s="1682"/>
      <c r="AR154" s="1683"/>
      <c r="AS154" s="1681" t="s">
        <v>1324</v>
      </c>
      <c r="AT154" s="1704"/>
      <c r="AU154" s="1704"/>
      <c r="AV154" s="1705"/>
      <c r="AW154" s="1372" t="s">
        <v>1325</v>
      </c>
      <c r="AX154" s="1710" t="s">
        <v>189</v>
      </c>
      <c r="AY154" s="1711"/>
      <c r="AZ154" s="1368" t="s">
        <v>412</v>
      </c>
      <c r="BA154" s="1373" t="s">
        <v>34</v>
      </c>
      <c r="BB154" s="1374" t="s">
        <v>1327</v>
      </c>
      <c r="BC154" s="1690" t="s">
        <v>1333</v>
      </c>
      <c r="BD154" s="1691"/>
      <c r="BE154" s="1681" t="s">
        <v>1621</v>
      </c>
      <c r="BF154" s="1682"/>
      <c r="BG154" s="1683"/>
      <c r="BH154" s="1821" t="s">
        <v>1283</v>
      </c>
      <c r="BI154" s="1822"/>
      <c r="BJ154" s="1819" t="s">
        <v>1319</v>
      </c>
      <c r="BK154" s="1820"/>
      <c r="BL154" s="1690" t="s">
        <v>1099</v>
      </c>
      <c r="BM154" s="1691"/>
      <c r="BN154" s="1690" t="s">
        <v>1287</v>
      </c>
      <c r="BO154" s="1691"/>
      <c r="BP154" s="2332" t="s">
        <v>1072</v>
      </c>
      <c r="BQ154" s="2332"/>
      <c r="BR154" s="2332"/>
      <c r="BS154" s="2332" t="s">
        <v>1073</v>
      </c>
      <c r="BT154" s="2332"/>
      <c r="BU154" s="2332"/>
      <c r="BV154" s="2332" t="s">
        <v>1074</v>
      </c>
      <c r="BW154" s="2332"/>
      <c r="BX154" s="2332"/>
      <c r="CX154" s="250"/>
      <c r="CY154" s="250"/>
      <c r="CZ154" s="250"/>
      <c r="DA154" s="250"/>
    </row>
    <row r="155" spans="1:105" s="103" customFormat="1" ht="22.5" customHeight="1" x14ac:dyDescent="0.25">
      <c r="A155" s="1277"/>
      <c r="B155" s="1362" t="s">
        <v>1309</v>
      </c>
      <c r="C155" s="1360" t="s">
        <v>1277</v>
      </c>
      <c r="D155" s="1361" t="s">
        <v>1279</v>
      </c>
      <c r="E155" s="1360" t="s">
        <v>1209</v>
      </c>
      <c r="F155" s="1362" t="s">
        <v>128</v>
      </c>
      <c r="G155" s="1362" t="s">
        <v>1309</v>
      </c>
      <c r="H155" s="1360" t="s">
        <v>1277</v>
      </c>
      <c r="I155" s="1361" t="s">
        <v>1279</v>
      </c>
      <c r="J155" s="1360" t="s">
        <v>1209</v>
      </c>
      <c r="K155" s="1362" t="s">
        <v>128</v>
      </c>
      <c r="L155" s="1362" t="s">
        <v>395</v>
      </c>
      <c r="M155" s="1362" t="s">
        <v>1309</v>
      </c>
      <c r="N155" s="1360" t="s">
        <v>1277</v>
      </c>
      <c r="O155" s="1361" t="s">
        <v>1279</v>
      </c>
      <c r="P155" s="1360" t="s">
        <v>1209</v>
      </c>
      <c r="Q155" s="1375" t="s">
        <v>128</v>
      </c>
      <c r="R155" s="1375" t="s">
        <v>395</v>
      </c>
      <c r="S155" s="1362" t="s">
        <v>1309</v>
      </c>
      <c r="T155" s="1361" t="s">
        <v>1279</v>
      </c>
      <c r="U155" s="1360" t="s">
        <v>1209</v>
      </c>
      <c r="V155" s="1375" t="s">
        <v>128</v>
      </c>
      <c r="W155" s="1375" t="s">
        <v>395</v>
      </c>
      <c r="X155" s="1362" t="s">
        <v>1309</v>
      </c>
      <c r="Y155" s="1361" t="s">
        <v>1279</v>
      </c>
      <c r="Z155" s="1362" t="s">
        <v>1309</v>
      </c>
      <c r="AA155" s="1362" t="s">
        <v>1309</v>
      </c>
      <c r="AB155" s="1362" t="s">
        <v>1309</v>
      </c>
      <c r="AC155" s="1679" t="s">
        <v>1331</v>
      </c>
      <c r="AD155" s="1680"/>
      <c r="AE155" s="1360" t="s">
        <v>13</v>
      </c>
      <c r="AF155" s="1360" t="s">
        <v>391</v>
      </c>
      <c r="AG155" s="1360" t="s">
        <v>13</v>
      </c>
      <c r="AH155" s="1360" t="s">
        <v>391</v>
      </c>
      <c r="AI155" s="1361" t="s">
        <v>1279</v>
      </c>
      <c r="AJ155" s="1361" t="s">
        <v>1279</v>
      </c>
      <c r="AK155" s="1360" t="s">
        <v>1209</v>
      </c>
      <c r="AL155" s="1375" t="s">
        <v>128</v>
      </c>
      <c r="AM155" s="1375" t="s">
        <v>395</v>
      </c>
      <c r="AN155" s="1362" t="s">
        <v>1309</v>
      </c>
      <c r="AO155" s="1361" t="s">
        <v>1279</v>
      </c>
      <c r="AP155" s="1360" t="s">
        <v>1209</v>
      </c>
      <c r="AQ155" s="1375" t="s">
        <v>128</v>
      </c>
      <c r="AR155" s="1376" t="s">
        <v>1309</v>
      </c>
      <c r="AS155" s="1361" t="s">
        <v>1279</v>
      </c>
      <c r="AT155" s="1360" t="s">
        <v>1209</v>
      </c>
      <c r="AU155" s="1362" t="s">
        <v>128</v>
      </c>
      <c r="AV155" s="1376" t="s">
        <v>1309</v>
      </c>
      <c r="AW155" s="1360" t="s">
        <v>1277</v>
      </c>
      <c r="AX155" s="1377" t="s">
        <v>32</v>
      </c>
      <c r="AY155" s="1360" t="s">
        <v>1277</v>
      </c>
      <c r="AZ155" s="1376" t="s">
        <v>1309</v>
      </c>
      <c r="BA155" s="1361" t="s">
        <v>1279</v>
      </c>
      <c r="BB155" s="1378" t="s">
        <v>1328</v>
      </c>
      <c r="BC155" s="1360" t="s">
        <v>1275</v>
      </c>
      <c r="BD155" s="1360" t="s">
        <v>188</v>
      </c>
      <c r="BE155" s="1379" t="s">
        <v>1326</v>
      </c>
      <c r="BF155" s="1380" t="s">
        <v>1275</v>
      </c>
      <c r="BG155" s="1381" t="s">
        <v>1</v>
      </c>
      <c r="BH155" s="1360" t="s">
        <v>133</v>
      </c>
      <c r="BI155" s="1360" t="s">
        <v>134</v>
      </c>
      <c r="BJ155" s="1360" t="s">
        <v>133</v>
      </c>
      <c r="BK155" s="1360" t="s">
        <v>134</v>
      </c>
      <c r="BL155" s="1360" t="s">
        <v>133</v>
      </c>
      <c r="BM155" s="1360" t="s">
        <v>134</v>
      </c>
      <c r="BN155" s="1360" t="s">
        <v>133</v>
      </c>
      <c r="BO155" s="1360" t="s">
        <v>134</v>
      </c>
      <c r="BP155" s="1399" t="s">
        <v>1417</v>
      </c>
      <c r="BQ155" s="1399" t="s">
        <v>1418</v>
      </c>
      <c r="BR155" s="1399" t="s">
        <v>1419</v>
      </c>
      <c r="BS155" s="1399" t="s">
        <v>1417</v>
      </c>
      <c r="BT155" s="1399" t="s">
        <v>1418</v>
      </c>
      <c r="BU155" s="1399" t="s">
        <v>1419</v>
      </c>
      <c r="BV155" s="1399" t="s">
        <v>1417</v>
      </c>
      <c r="BW155" s="1399" t="s">
        <v>1418</v>
      </c>
      <c r="BX155" s="1399" t="s">
        <v>1419</v>
      </c>
      <c r="CX155" s="250"/>
      <c r="CY155" s="250"/>
      <c r="CZ155" s="250"/>
      <c r="DA155" s="250"/>
    </row>
    <row r="156" spans="1:105" s="129" customFormat="1" ht="22.5" customHeight="1" x14ac:dyDescent="0.25">
      <c r="A156" s="1274">
        <v>1</v>
      </c>
      <c r="B156" s="1382">
        <f>H35</f>
        <v>45.2</v>
      </c>
      <c r="C156" s="1383">
        <f>L33</f>
        <v>65</v>
      </c>
      <c r="D156" s="1384"/>
      <c r="E156" s="1384"/>
      <c r="F156" s="1384"/>
      <c r="G156" s="1384">
        <f>O29</f>
        <v>67.3</v>
      </c>
      <c r="H156" s="1383">
        <f>O33</f>
        <v>37</v>
      </c>
      <c r="I156" s="1384">
        <f>U35</f>
        <v>96.1</v>
      </c>
      <c r="J156" s="1384">
        <f>V35</f>
        <v>29.8</v>
      </c>
      <c r="K156" s="1384">
        <f>W35</f>
        <v>97.8</v>
      </c>
      <c r="L156" s="1384">
        <f>X35</f>
        <v>68</v>
      </c>
      <c r="M156" s="1384">
        <f>Y35</f>
        <v>42.7</v>
      </c>
      <c r="N156" s="1383">
        <f>AF34</f>
        <v>50</v>
      </c>
      <c r="O156" s="1384">
        <f>J53</f>
        <v>81.7</v>
      </c>
      <c r="P156" s="1384">
        <f>K53</f>
        <v>32.6</v>
      </c>
      <c r="Q156" s="1384">
        <f>L53</f>
        <v>83.7</v>
      </c>
      <c r="R156" s="1384">
        <f>M53</f>
        <v>51.1</v>
      </c>
      <c r="S156" s="1384">
        <f>L54</f>
        <v>44.8</v>
      </c>
      <c r="T156" s="1384">
        <f>B44</f>
        <v>75.3</v>
      </c>
      <c r="U156" s="1384">
        <f>C44</f>
        <v>33</v>
      </c>
      <c r="V156" s="1384">
        <f>D44</f>
        <v>78.900000000000006</v>
      </c>
      <c r="W156" s="1384">
        <f>E44</f>
        <v>45.900000000000006</v>
      </c>
      <c r="X156" s="1384">
        <f>F44</f>
        <v>47.1</v>
      </c>
      <c r="Y156" s="1377">
        <f>V53</f>
        <v>0.04</v>
      </c>
      <c r="Z156" s="1377">
        <f>U54</f>
        <v>8.1</v>
      </c>
      <c r="AA156" s="1384">
        <f>AD90</f>
        <v>55</v>
      </c>
      <c r="AB156" s="1384">
        <f>D90</f>
        <v>18.3</v>
      </c>
      <c r="AC156" s="1384"/>
      <c r="AD156" s="1383">
        <f>AG120</f>
        <v>40.9</v>
      </c>
      <c r="AE156" s="1384">
        <f>O55</f>
        <v>2.9</v>
      </c>
      <c r="AF156" s="1384">
        <f>P55</f>
        <v>5.0999999999999996</v>
      </c>
      <c r="AG156" s="1385">
        <f>R53</f>
        <v>2.6</v>
      </c>
      <c r="AH156" s="1385">
        <f>S53</f>
        <v>4.8</v>
      </c>
      <c r="AI156" s="1385">
        <f>T53</f>
        <v>61.7</v>
      </c>
      <c r="AJ156" s="1385">
        <f>B42</f>
        <v>85.7</v>
      </c>
      <c r="AK156" s="1385">
        <f>C42</f>
        <v>32.400000000000006</v>
      </c>
      <c r="AL156" s="1385">
        <f>D42</f>
        <v>88.6</v>
      </c>
      <c r="AM156" s="1385">
        <f>E42</f>
        <v>56.199999999999989</v>
      </c>
      <c r="AN156" s="1385">
        <f>F42</f>
        <v>43.75</v>
      </c>
      <c r="AO156" s="1377"/>
      <c r="AP156" s="1384"/>
      <c r="AQ156" s="1384"/>
      <c r="AR156" s="1384"/>
      <c r="AS156" s="1384"/>
      <c r="AT156" s="1384"/>
      <c r="AU156" s="1384"/>
      <c r="AV156" s="1384">
        <f>L29</f>
        <v>67</v>
      </c>
      <c r="AW156" s="1386">
        <f>AD55</f>
        <v>57</v>
      </c>
      <c r="AX156" s="1387">
        <f>AE55</f>
        <v>0.26</v>
      </c>
      <c r="AY156" s="1383">
        <f>AA55</f>
        <v>95</v>
      </c>
      <c r="AZ156" s="1384">
        <f>AG90</f>
        <v>37.799999999999997</v>
      </c>
      <c r="BA156" s="1364">
        <f>Y56</f>
        <v>71.3</v>
      </c>
      <c r="BB156" s="1367">
        <f>U90</f>
        <v>1E-3</v>
      </c>
      <c r="BC156" s="1364">
        <f>ROUND(AVERAGE(B59:G59,J59:K59),3)</f>
        <v>0.36299999999999999</v>
      </c>
      <c r="BD156" s="1360">
        <f>COUNT(B57:G58,J57:K58)</f>
        <v>15</v>
      </c>
      <c r="BE156" s="1385">
        <f>W54</f>
        <v>1.25</v>
      </c>
      <c r="BF156" s="1385">
        <f>W53</f>
        <v>5.6</v>
      </c>
      <c r="BG156" s="1385">
        <f>X53</f>
        <v>0.08</v>
      </c>
      <c r="BH156" s="1388">
        <f>E90</f>
        <v>16.100000000000001</v>
      </c>
      <c r="BI156" s="1388">
        <f>F90</f>
        <v>17.100000000000001</v>
      </c>
      <c r="BJ156" s="1389">
        <f>AVERAGE(K78:K89)</f>
        <v>6.3333333333333339E-2</v>
      </c>
      <c r="BK156" s="1389">
        <f>AVERAGE(L78:L89)</f>
        <v>9.5000000000000015E-2</v>
      </c>
      <c r="BL156" s="1364">
        <f>B40</f>
        <v>85.7</v>
      </c>
      <c r="BM156" s="1364">
        <f>B41</f>
        <v>85.7</v>
      </c>
      <c r="BN156" s="1364">
        <f>D47</f>
        <v>6.8</v>
      </c>
      <c r="BO156" s="1364">
        <f>D48</f>
        <v>7.2</v>
      </c>
      <c r="BP156" s="1400"/>
      <c r="BQ156" s="1400"/>
      <c r="BR156" s="1400"/>
      <c r="BS156" s="1400"/>
      <c r="BT156" s="1400"/>
      <c r="BU156" s="1400"/>
      <c r="BV156" s="1400"/>
      <c r="BW156" s="1400"/>
      <c r="BX156" s="1400"/>
      <c r="CX156" s="251"/>
      <c r="CY156" s="251"/>
      <c r="CZ156" s="251"/>
      <c r="DA156" s="251"/>
    </row>
    <row r="157" spans="1:105" s="129" customFormat="1" ht="22.5" customHeight="1" x14ac:dyDescent="0.25">
      <c r="A157" s="1274">
        <v>2</v>
      </c>
      <c r="B157" s="1382">
        <f>AP35</f>
        <v>40.700000000000003</v>
      </c>
      <c r="C157" s="1383">
        <f>AT33</f>
        <v>65</v>
      </c>
      <c r="D157" s="1384">
        <f>AV35</f>
        <v>87.3</v>
      </c>
      <c r="E157" s="1384">
        <f>AW35</f>
        <v>97.9</v>
      </c>
      <c r="F157" s="1384">
        <f>AX35</f>
        <v>98.2</v>
      </c>
      <c r="G157" s="1384">
        <f>AW29</f>
        <v>60.1</v>
      </c>
      <c r="H157" s="1383">
        <f>AW33</f>
        <v>40</v>
      </c>
      <c r="I157" s="1384">
        <f>BC35</f>
        <v>98.3</v>
      </c>
      <c r="J157" s="1384">
        <f>BD35</f>
        <v>27.8</v>
      </c>
      <c r="K157" s="1384">
        <f>BE35</f>
        <v>98.1</v>
      </c>
      <c r="L157" s="1384">
        <f>BF35</f>
        <v>70.3</v>
      </c>
      <c r="M157" s="1384">
        <f>BG35</f>
        <v>36.5</v>
      </c>
      <c r="N157" s="1383">
        <f>BN34</f>
        <v>55</v>
      </c>
      <c r="O157" s="1384">
        <f>AR53</f>
        <v>84.9</v>
      </c>
      <c r="P157" s="1384">
        <f>AS53</f>
        <v>32.200000000000003</v>
      </c>
      <c r="Q157" s="1384">
        <f>AT53</f>
        <v>84.5</v>
      </c>
      <c r="R157" s="1384">
        <f>AU53</f>
        <v>52.3</v>
      </c>
      <c r="S157" s="1384">
        <f>AT54</f>
        <v>42.8</v>
      </c>
      <c r="T157" s="1384">
        <f>AJ44</f>
        <v>82.5</v>
      </c>
      <c r="U157" s="1384">
        <f>AK44</f>
        <v>33</v>
      </c>
      <c r="V157" s="1384">
        <f>AL44</f>
        <v>82.9</v>
      </c>
      <c r="W157" s="1384">
        <f>AM44</f>
        <v>49.900000000000006</v>
      </c>
      <c r="X157" s="1384">
        <f>AN44</f>
        <v>40.9</v>
      </c>
      <c r="Y157" s="1377">
        <f>BD53</f>
        <v>0.08</v>
      </c>
      <c r="Z157" s="1377">
        <f>BC54</f>
        <v>7.3</v>
      </c>
      <c r="AA157" s="1384">
        <f>BL90</f>
        <v>54.5</v>
      </c>
      <c r="AB157" s="1384">
        <f>AL90</f>
        <v>16.100000000000001</v>
      </c>
      <c r="AC157" s="1384"/>
      <c r="AD157" s="1383">
        <f>BO120</f>
        <v>43.1</v>
      </c>
      <c r="AE157" s="1384">
        <f>AW55</f>
        <v>2.5</v>
      </c>
      <c r="AF157" s="1384">
        <f>AX55</f>
        <v>4.9000000000000004</v>
      </c>
      <c r="AG157" s="1384">
        <f>AZ53</f>
        <v>1.8</v>
      </c>
      <c r="AH157" s="1384">
        <f>BA53</f>
        <v>5.2</v>
      </c>
      <c r="AI157" s="1384">
        <f>BB53</f>
        <v>64.099999999999994</v>
      </c>
      <c r="AJ157" s="1384">
        <f>AJ42</f>
        <v>89.300000000000011</v>
      </c>
      <c r="AK157" s="1384">
        <f>AK42</f>
        <v>30.6</v>
      </c>
      <c r="AL157" s="1384">
        <f>AL42</f>
        <v>89</v>
      </c>
      <c r="AM157" s="1384">
        <f>AM42</f>
        <v>58.4</v>
      </c>
      <c r="AN157" s="1384">
        <f>AN42</f>
        <v>39.900000000000006</v>
      </c>
      <c r="AO157" s="1377">
        <f>AI54</f>
        <v>0.04</v>
      </c>
      <c r="AP157" s="1377">
        <f>AJ54</f>
        <v>40.700000000000003</v>
      </c>
      <c r="AQ157" s="1377">
        <f>AK54</f>
        <v>33</v>
      </c>
      <c r="AR157" s="1377">
        <f>AL54</f>
        <v>37.5</v>
      </c>
      <c r="AS157" s="1384">
        <f>AS35</f>
        <v>87.3</v>
      </c>
      <c r="AT157" s="1384">
        <f>AT35</f>
        <v>96.3</v>
      </c>
      <c r="AU157" s="1384">
        <f>AU35</f>
        <v>95.8</v>
      </c>
      <c r="AV157" s="1384">
        <f>AT29</f>
        <v>57.5</v>
      </c>
      <c r="AW157" s="1383">
        <f>BL55</f>
        <v>60</v>
      </c>
      <c r="AX157" s="1377">
        <f>BM55</f>
        <v>0.2</v>
      </c>
      <c r="AY157" s="1383">
        <f>BI55</f>
        <v>97</v>
      </c>
      <c r="AZ157" s="1384">
        <f>BO90</f>
        <v>35.799999999999997</v>
      </c>
      <c r="BA157" s="1364">
        <f>BG56</f>
        <v>72.900000000000006</v>
      </c>
      <c r="BB157" s="1367">
        <f>BC90</f>
        <v>5.9999999999999995E-4</v>
      </c>
      <c r="BC157" s="1364">
        <f>ROUND(AVERAGE(AJ59:AO59,AR59:AS59),3)</f>
        <v>0.35</v>
      </c>
      <c r="BD157" s="1360">
        <f>COUNT(AJ57:AO58,AR57:AS58)</f>
        <v>16</v>
      </c>
      <c r="BE157" s="1384">
        <f>BE54</f>
        <v>0.78</v>
      </c>
      <c r="BF157" s="1384">
        <f>BE53</f>
        <v>6</v>
      </c>
      <c r="BG157" s="1384">
        <f>BF53</f>
        <v>0.12</v>
      </c>
      <c r="BH157" s="1388">
        <f>AM90</f>
        <v>15.3</v>
      </c>
      <c r="BI157" s="1388">
        <f>AN90</f>
        <v>16.5</v>
      </c>
      <c r="BJ157" s="1389">
        <f>AVERAGE(AS78:AS89)</f>
        <v>6.1666666666666668E-2</v>
      </c>
      <c r="BK157" s="1389">
        <f>AVERAGE(AT78:AT89)</f>
        <v>7.4999999999999997E-2</v>
      </c>
      <c r="BL157" s="1364">
        <f>AJ40</f>
        <v>89.7</v>
      </c>
      <c r="BM157" s="1364">
        <f>AJ41</f>
        <v>88.9</v>
      </c>
      <c r="BN157" s="1364">
        <f>AL47</f>
        <v>10.3</v>
      </c>
      <c r="BO157" s="1364">
        <f>AL48</f>
        <v>6.2</v>
      </c>
      <c r="BP157" s="1400">
        <f>'Анализ возд.среды '!B4</f>
        <v>71</v>
      </c>
      <c r="BQ157" s="1400">
        <f>'Анализ возд.среды '!C4</f>
        <v>0.4</v>
      </c>
      <c r="BR157" s="1400">
        <f>'Анализ возд.среды '!D4</f>
        <v>4</v>
      </c>
      <c r="BS157" s="1400">
        <f>'Анализ возд.среды '!E4</f>
        <v>80</v>
      </c>
      <c r="BT157" s="1400">
        <f>'Анализ возд.среды '!F4</f>
        <v>0.6</v>
      </c>
      <c r="BU157" s="1400">
        <f>'Анализ возд.среды '!G4</f>
        <v>9</v>
      </c>
      <c r="BV157" s="1400">
        <f>'Анализ возд.среды '!H4</f>
        <v>82</v>
      </c>
      <c r="BW157" s="1400">
        <f>'Анализ возд.среды '!I4</f>
        <v>0.8</v>
      </c>
      <c r="BX157" s="1400">
        <f>'Анализ возд.среды '!J4</f>
        <v>11</v>
      </c>
      <c r="CX157" s="251"/>
      <c r="CY157" s="251"/>
      <c r="CZ157" s="251"/>
      <c r="DA157" s="251"/>
    </row>
    <row r="158" spans="1:105" s="129" customFormat="1" ht="22.5" customHeight="1" x14ac:dyDescent="0.35">
      <c r="A158" s="152"/>
      <c r="B158" s="1200">
        <f>COUNT(H9:H35,AP9:AP35)</f>
        <v>2</v>
      </c>
      <c r="C158" s="1200">
        <f>COUNT(K31:M32,AS31:AU32)</f>
        <v>6</v>
      </c>
      <c r="D158" s="1200">
        <f>COUNT(N35,AV35)</f>
        <v>1</v>
      </c>
      <c r="E158" s="1200">
        <f>COUNT(O35,AW35)</f>
        <v>1</v>
      </c>
      <c r="F158" s="1200">
        <f>COUNT(P35,AX35)</f>
        <v>1</v>
      </c>
      <c r="G158" s="1200">
        <f>COUNT(N9:P28,AV9:AX28)</f>
        <v>9</v>
      </c>
      <c r="H158" s="1200">
        <f>COUNT(N31:P32,AV31:AX32)</f>
        <v>6</v>
      </c>
      <c r="I158" s="1200">
        <f>COUNT(Q9:Q33,U9:U33,Y9:Y33,AY9:AY33,BC9:BC33,BG9:BG33)</f>
        <v>15</v>
      </c>
      <c r="J158" s="1200">
        <f t="shared" ref="J158:L158" si="32">COUNT(R9:R33,V9:V33,Z9:Z33,AZ9:AZ33,BD9:BD33,BH9:BH33)</f>
        <v>18</v>
      </c>
      <c r="K158" s="1200">
        <f t="shared" si="32"/>
        <v>18</v>
      </c>
      <c r="L158" s="1200">
        <f t="shared" si="32"/>
        <v>18</v>
      </c>
      <c r="M158" s="1200">
        <f>COUNT(T34,X34,AB34,BB34,BF34,BJ34)</f>
        <v>6</v>
      </c>
      <c r="N158" s="1200">
        <f>COUNT(AF4:AF33,BN4:BN33)</f>
        <v>40</v>
      </c>
      <c r="O158" s="1200">
        <f>COUNT(J40:J53,AR40:AR53)</f>
        <v>7</v>
      </c>
      <c r="P158" s="1200">
        <f>COUNT(K40:K53,AS40:AS53)</f>
        <v>7</v>
      </c>
      <c r="Q158" s="1200">
        <f>COUNT(L40:L53,AT40:AT53)</f>
        <v>7</v>
      </c>
      <c r="R158" s="1200">
        <f>COUNT(M40:M53,AU40:AU53)</f>
        <v>7</v>
      </c>
      <c r="S158" s="1200">
        <f>COUNT(AT54,L54)</f>
        <v>2</v>
      </c>
      <c r="T158" s="1291">
        <f>COUNT(B44,AJ44,I40:I51,AQ40:AQ51)</f>
        <v>7</v>
      </c>
      <c r="U158" s="1200">
        <f>COUNT(C44,AK44)</f>
        <v>2</v>
      </c>
      <c r="V158" s="1200">
        <f>COUNT(D44,AL44)</f>
        <v>2</v>
      </c>
      <c r="W158" s="1200">
        <f>COUNT(E44,AM44)</f>
        <v>2</v>
      </c>
      <c r="X158" s="1200">
        <f>COUNT(F44,AN44)</f>
        <v>2</v>
      </c>
      <c r="Y158" s="1201">
        <f>COUNT(W40:W53,BE40:BE53)</f>
        <v>4</v>
      </c>
      <c r="Z158" s="1201">
        <f>COUNT(U54,BC54)</f>
        <v>2</v>
      </c>
      <c r="AA158" s="1200">
        <f>COUNT(AD78:AE89,BL78:BM89)</f>
        <v>4</v>
      </c>
      <c r="AB158" s="1200">
        <f>COUNT(D90,AL90)</f>
        <v>2</v>
      </c>
      <c r="AC158" s="1291">
        <f>COUNT(AG4:AG33,BO4:BO33)</f>
        <v>52</v>
      </c>
      <c r="AD158" s="1291">
        <f>COUNT(Y120:AC121,BG120:BK121)</f>
        <v>20</v>
      </c>
      <c r="AE158" s="1291">
        <f>COUNT(O40:O54,AW40:AW54)</f>
        <v>14</v>
      </c>
      <c r="AF158" s="1291">
        <f>COUNT(P40:P54,AX40:AX54)</f>
        <v>14</v>
      </c>
      <c r="AG158" s="1200">
        <f>COUNT(R40:R53,AZ40:AZ53)</f>
        <v>13</v>
      </c>
      <c r="AH158" s="1200">
        <f>COUNT(S40:S53,BA40:BA53)</f>
        <v>13</v>
      </c>
      <c r="AI158" s="1200">
        <f>COUNT(T40:T53,BB40:BB53)</f>
        <v>7</v>
      </c>
      <c r="AJ158" s="1200">
        <f>COUNT(G40:H51,B40:B41,AO40:AP51,AJ40:AJ41)</f>
        <v>14</v>
      </c>
      <c r="AK158" s="1200">
        <f>COUNT(C40:C41,AK40:AK41)</f>
        <v>4</v>
      </c>
      <c r="AL158" s="1200">
        <f t="shared" ref="AL158:AM158" si="33">COUNT(D40:D41,AL40:AL41)</f>
        <v>4</v>
      </c>
      <c r="AM158" s="1200">
        <f t="shared" si="33"/>
        <v>4</v>
      </c>
      <c r="AN158" s="1200">
        <f>COUNT(F40:F41,AN40:AN41)</f>
        <v>4</v>
      </c>
      <c r="AO158" s="1200">
        <f>COUNT(AI54)</f>
        <v>1</v>
      </c>
      <c r="AP158" s="1200">
        <f>COUNT(AJ54)</f>
        <v>1</v>
      </c>
      <c r="AQ158" s="1200">
        <f>COUNT(AK54)</f>
        <v>1</v>
      </c>
      <c r="AR158" s="1200">
        <f>COUNT(AL54)</f>
        <v>1</v>
      </c>
      <c r="AS158" s="1200">
        <f>COUNT(K35,AS35)</f>
        <v>1</v>
      </c>
      <c r="AT158" s="1200">
        <f>COUNT(L35,AT35)</f>
        <v>1</v>
      </c>
      <c r="AU158" s="1200">
        <f>COUNT(M35,AU35)</f>
        <v>1</v>
      </c>
      <c r="AV158" s="1293">
        <f>COUNT(K9:M28,AS9:AU28)</f>
        <v>10</v>
      </c>
      <c r="AW158" s="1293">
        <f>COUNT(AD40:AD46,AD48:AD54,BL40:BL46,BL48:BL54)</f>
        <v>16</v>
      </c>
      <c r="AX158" s="1293">
        <f>COUNT(AE40:AE46,AE48:AE54,BM40:BM46,BM48:BM54)</f>
        <v>14</v>
      </c>
      <c r="AY158" s="1293">
        <f>COUNT(AA40:AA46,AA48:AA54,BI40:BI46,BI48:BI54)</f>
        <v>14</v>
      </c>
      <c r="AZ158" s="1293"/>
      <c r="BA158" s="1200">
        <f>COUNT(Y56,BG56,CN61)</f>
        <v>2</v>
      </c>
      <c r="BB158" s="1200">
        <f>COUNT(U78:V89,BC78:BD89)</f>
        <v>8</v>
      </c>
      <c r="BC158" s="1200">
        <f>COUNT(B57:G59,J57:K59,AJ57:AO59,AR57:AS59)</f>
        <v>47</v>
      </c>
      <c r="BD158" s="1200">
        <f>COUNT(B57:G59,J57:L59,AJ57:AO59,AR57:AT59)</f>
        <v>47</v>
      </c>
      <c r="BE158" s="1200">
        <f>COUNT(BE54,W54)</f>
        <v>2</v>
      </c>
      <c r="BF158" s="1200">
        <f>COUNT(W40:W53,BE40:BE53)</f>
        <v>4</v>
      </c>
      <c r="BG158" s="1200">
        <f>COUNT(X40:X53,BF40:BF53)</f>
        <v>6</v>
      </c>
      <c r="BH158" s="1294"/>
      <c r="BI158" s="1293"/>
      <c r="BJ158" s="1295"/>
      <c r="BK158" s="1292"/>
      <c r="BL158" s="1292"/>
      <c r="BM158" s="1292"/>
      <c r="BN158" s="1292"/>
      <c r="BO158" s="1292"/>
      <c r="BP158" s="1401"/>
      <c r="BQ158" s="1402"/>
      <c r="BR158" s="1403"/>
      <c r="BS158" s="1403"/>
      <c r="BT158" s="1403"/>
      <c r="BU158" s="1403"/>
      <c r="BV158" s="1404"/>
      <c r="BW158" s="1404"/>
      <c r="BX158" s="1404"/>
      <c r="CX158" s="251"/>
      <c r="CY158" s="251"/>
      <c r="CZ158" s="251"/>
      <c r="DA158" s="251"/>
    </row>
    <row r="159" spans="1:105" s="104" customFormat="1" ht="22.5" customHeight="1" x14ac:dyDescent="0.35">
      <c r="A159" s="139" t="s">
        <v>1291</v>
      </c>
      <c r="AL159" s="156"/>
      <c r="AM159" s="156"/>
      <c r="AN159" s="156"/>
      <c r="AO159" s="152"/>
      <c r="AP159" s="152"/>
      <c r="AQ159" s="152"/>
      <c r="AR159" s="1712"/>
      <c r="AS159" s="1712"/>
      <c r="AT159" s="1712"/>
      <c r="AU159" s="156"/>
      <c r="AV159" s="156"/>
      <c r="AW159" s="156"/>
      <c r="AX159" s="152"/>
      <c r="AY159" s="152"/>
      <c r="AZ159" s="152"/>
      <c r="BA159" s="152"/>
      <c r="BB159" s="152"/>
      <c r="BC159" s="152"/>
      <c r="BD159" s="156"/>
      <c r="BE159" s="156"/>
      <c r="BF159" s="156"/>
      <c r="BG159" s="156"/>
      <c r="BN159" s="885"/>
      <c r="BO159" s="885"/>
      <c r="BP159" s="885"/>
      <c r="BQ159" s="138"/>
      <c r="BR159" s="139"/>
      <c r="BS159" s="139"/>
      <c r="BT159" s="139"/>
      <c r="BU159" s="139"/>
      <c r="BV159" s="139"/>
      <c r="BW159" s="139"/>
      <c r="BX159" s="139"/>
      <c r="BY159" s="139"/>
      <c r="BZ159" s="139"/>
      <c r="CA159" s="139"/>
      <c r="CX159" s="249"/>
      <c r="CY159" s="246"/>
      <c r="CZ159" s="246"/>
      <c r="DA159" s="246"/>
    </row>
    <row r="160" spans="1:105" ht="22.5" customHeight="1" x14ac:dyDescent="0.35">
      <c r="A160" s="7"/>
      <c r="B160" s="2319" t="s">
        <v>1306</v>
      </c>
      <c r="C160" s="2320"/>
      <c r="D160" s="2263" t="s">
        <v>416</v>
      </c>
      <c r="E160" s="2263"/>
      <c r="F160" s="2263"/>
      <c r="G160" s="2263"/>
      <c r="H160" s="1678" t="s">
        <v>1311</v>
      </c>
      <c r="I160" s="1678"/>
      <c r="J160" s="1678"/>
      <c r="K160" s="1678"/>
      <c r="L160" s="1678"/>
      <c r="M160" s="1678" t="s">
        <v>1312</v>
      </c>
      <c r="N160" s="1678"/>
      <c r="O160" s="1678"/>
      <c r="P160" s="1678"/>
      <c r="Q160" s="1678"/>
      <c r="R160" s="1678" t="s">
        <v>1313</v>
      </c>
      <c r="S160" s="1678"/>
      <c r="T160" s="1678"/>
      <c r="U160" s="1678"/>
      <c r="V160" s="1678"/>
      <c r="W160" s="1678" t="s">
        <v>1314</v>
      </c>
      <c r="X160" s="1678"/>
      <c r="Y160" s="1678"/>
      <c r="Z160" s="1678"/>
      <c r="AA160" s="1678"/>
      <c r="AB160" s="1678" t="s">
        <v>1315</v>
      </c>
      <c r="AC160" s="1678"/>
      <c r="AD160" s="1678"/>
      <c r="AE160" s="1678"/>
      <c r="AF160" s="1678"/>
      <c r="AG160" s="1678" t="s">
        <v>1316</v>
      </c>
      <c r="AH160" s="1678"/>
      <c r="AI160" s="1678"/>
      <c r="AJ160" s="1678"/>
      <c r="AK160" s="1678"/>
      <c r="AL160" s="1678" t="s">
        <v>1317</v>
      </c>
      <c r="AM160" s="1678"/>
      <c r="AN160" s="1678"/>
      <c r="AO160" s="1678"/>
      <c r="AP160" s="1678"/>
      <c r="AQ160" s="1678" t="s">
        <v>435</v>
      </c>
      <c r="AR160" s="1678"/>
      <c r="AS160" s="1678"/>
      <c r="AT160" s="1278"/>
      <c r="AU160" s="1278" t="s">
        <v>460</v>
      </c>
      <c r="AV160" s="1278"/>
      <c r="AW160" s="1678" t="s">
        <v>1620</v>
      </c>
      <c r="AX160" s="1678"/>
      <c r="AY160" s="1678"/>
      <c r="AZ160" s="1678" t="s">
        <v>1318</v>
      </c>
      <c r="BA160" s="1678"/>
      <c r="BB160" s="1678"/>
      <c r="BC160" s="1678"/>
      <c r="BD160" s="1678" t="s">
        <v>38</v>
      </c>
      <c r="BE160" s="1678"/>
      <c r="BF160" s="1678"/>
      <c r="BG160" s="1678"/>
      <c r="BH160" s="1750" t="s">
        <v>1283</v>
      </c>
      <c r="BI160" s="1751"/>
      <c r="BJ160" s="1752"/>
      <c r="BK160" s="1750" t="s">
        <v>1319</v>
      </c>
      <c r="BL160" s="1751"/>
      <c r="BM160" s="1752"/>
      <c r="BP160" s="886"/>
    </row>
    <row r="161" spans="1:72" ht="22.5" customHeight="1" x14ac:dyDescent="0.35">
      <c r="A161" s="1271"/>
      <c r="B161" s="1269" t="s">
        <v>19</v>
      </c>
      <c r="C161" s="1269" t="s">
        <v>1307</v>
      </c>
      <c r="D161" s="1270" t="s">
        <v>1308</v>
      </c>
      <c r="E161" s="1269" t="s">
        <v>1309</v>
      </c>
      <c r="F161" s="1270" t="s">
        <v>1</v>
      </c>
      <c r="G161" s="1269" t="s">
        <v>1209</v>
      </c>
      <c r="H161" s="1270" t="s">
        <v>1</v>
      </c>
      <c r="I161" s="1269" t="s">
        <v>1209</v>
      </c>
      <c r="J161" s="1269" t="s">
        <v>2</v>
      </c>
      <c r="K161" s="1269" t="s">
        <v>3</v>
      </c>
      <c r="L161" s="1269" t="s">
        <v>1309</v>
      </c>
      <c r="M161" s="1270" t="s">
        <v>1</v>
      </c>
      <c r="N161" s="1269" t="s">
        <v>1209</v>
      </c>
      <c r="O161" s="1269" t="s">
        <v>2</v>
      </c>
      <c r="P161" s="1269" t="s">
        <v>3</v>
      </c>
      <c r="Q161" s="1269" t="s">
        <v>1309</v>
      </c>
      <c r="R161" s="1270" t="s">
        <v>1</v>
      </c>
      <c r="S161" s="1269" t="s">
        <v>1209</v>
      </c>
      <c r="T161" s="1269" t="s">
        <v>2</v>
      </c>
      <c r="U161" s="1269" t="s">
        <v>3</v>
      </c>
      <c r="V161" s="1269" t="s">
        <v>1309</v>
      </c>
      <c r="W161" s="1270" t="s">
        <v>1</v>
      </c>
      <c r="X161" s="1269" t="s">
        <v>1209</v>
      </c>
      <c r="Y161" s="1269" t="s">
        <v>2</v>
      </c>
      <c r="Z161" s="1269" t="s">
        <v>3</v>
      </c>
      <c r="AA161" s="1269" t="s">
        <v>1309</v>
      </c>
      <c r="AB161" s="1270" t="s">
        <v>1</v>
      </c>
      <c r="AC161" s="1269" t="s">
        <v>1209</v>
      </c>
      <c r="AD161" s="1269" t="s">
        <v>2</v>
      </c>
      <c r="AE161" s="1269" t="s">
        <v>3</v>
      </c>
      <c r="AF161" s="1269" t="s">
        <v>1309</v>
      </c>
      <c r="AG161" s="1270" t="s">
        <v>1</v>
      </c>
      <c r="AH161" s="1269" t="s">
        <v>1209</v>
      </c>
      <c r="AI161" s="1269" t="s">
        <v>2</v>
      </c>
      <c r="AJ161" s="1269" t="s">
        <v>3</v>
      </c>
      <c r="AK161" s="1269" t="s">
        <v>1309</v>
      </c>
      <c r="AL161" s="1270" t="s">
        <v>1</v>
      </c>
      <c r="AM161" s="1269" t="s">
        <v>1209</v>
      </c>
      <c r="AN161" s="1269" t="s">
        <v>2</v>
      </c>
      <c r="AO161" s="1269" t="s">
        <v>3</v>
      </c>
      <c r="AP161" s="1269" t="s">
        <v>1309</v>
      </c>
      <c r="AQ161" s="1275" t="s">
        <v>13</v>
      </c>
      <c r="AR161" s="1275" t="s">
        <v>1275</v>
      </c>
      <c r="AS161" s="1270" t="s">
        <v>1</v>
      </c>
      <c r="AT161" s="1270" t="s">
        <v>1</v>
      </c>
      <c r="AU161" s="1275" t="s">
        <v>13</v>
      </c>
      <c r="AV161" s="1275" t="s">
        <v>1275</v>
      </c>
      <c r="AW161" s="1275" t="s">
        <v>1320</v>
      </c>
      <c r="AX161" s="1270" t="s">
        <v>1</v>
      </c>
      <c r="AY161" s="1269" t="s">
        <v>1309</v>
      </c>
      <c r="AZ161" s="1270" t="s">
        <v>1</v>
      </c>
      <c r="BA161" s="1269" t="s">
        <v>1209</v>
      </c>
      <c r="BB161" s="1269" t="s">
        <v>2</v>
      </c>
      <c r="BC161" s="1269" t="s">
        <v>1309</v>
      </c>
      <c r="BD161" s="1269" t="s">
        <v>1209</v>
      </c>
      <c r="BE161" s="1270" t="s">
        <v>1</v>
      </c>
      <c r="BF161" s="1269" t="s">
        <v>2</v>
      </c>
      <c r="BG161" s="1269" t="s">
        <v>1309</v>
      </c>
      <c r="BH161" s="1276" t="s">
        <v>133</v>
      </c>
      <c r="BI161" s="1276" t="s">
        <v>134</v>
      </c>
      <c r="BJ161" s="1276" t="s">
        <v>81</v>
      </c>
      <c r="BK161" s="1276" t="s">
        <v>133</v>
      </c>
      <c r="BL161" s="1276" t="s">
        <v>134</v>
      </c>
      <c r="BM161" s="1276" t="s">
        <v>81</v>
      </c>
      <c r="BN161" s="21"/>
      <c r="BP161" s="886"/>
    </row>
    <row r="162" spans="1:72" ht="22.5" customHeight="1" x14ac:dyDescent="0.35">
      <c r="A162" s="1224">
        <v>1</v>
      </c>
      <c r="B162" s="1225">
        <f>C35</f>
        <v>0.06</v>
      </c>
      <c r="C162" s="1225">
        <f>E35</f>
        <v>0.06</v>
      </c>
      <c r="D162" s="1225">
        <f>G35</f>
        <v>0.43</v>
      </c>
      <c r="E162" s="1225">
        <f t="shared" ref="E162" si="34">H35</f>
        <v>45.2</v>
      </c>
      <c r="F162" s="1225">
        <f>I35</f>
        <v>88.1</v>
      </c>
      <c r="G162" s="1225">
        <f>J35</f>
        <v>102.7</v>
      </c>
      <c r="H162" s="1226">
        <f>Y33</f>
        <v>95.8</v>
      </c>
      <c r="I162" s="1226">
        <f t="shared" ref="I162:K162" si="35">Z33</f>
        <v>29.8</v>
      </c>
      <c r="J162" s="1226">
        <f t="shared" si="35"/>
        <v>98.2</v>
      </c>
      <c r="K162" s="1226">
        <f t="shared" si="35"/>
        <v>68.400000000000006</v>
      </c>
      <c r="L162" s="1226">
        <f>AB34</f>
        <v>42.1</v>
      </c>
      <c r="M162" s="1226">
        <f t="shared" ref="M162:P162" si="36">Q33</f>
        <v>95.8</v>
      </c>
      <c r="N162" s="1226">
        <f t="shared" si="36"/>
        <v>29.8</v>
      </c>
      <c r="O162" s="1226">
        <f t="shared" si="36"/>
        <v>97.4</v>
      </c>
      <c r="P162" s="1226">
        <f t="shared" si="36"/>
        <v>67.599999999999994</v>
      </c>
      <c r="Q162" s="1226">
        <f>T34</f>
        <v>43.7</v>
      </c>
      <c r="R162" s="1226">
        <f>U33</f>
        <v>96.6</v>
      </c>
      <c r="S162" s="1226">
        <f t="shared" ref="S162:U162" si="37">V33</f>
        <v>29.8</v>
      </c>
      <c r="T162" s="1226">
        <f t="shared" si="37"/>
        <v>97.8</v>
      </c>
      <c r="U162" s="1226">
        <f t="shared" si="37"/>
        <v>68</v>
      </c>
      <c r="V162" s="1226">
        <f>X34</f>
        <v>42.3</v>
      </c>
      <c r="W162" s="1226">
        <f>B44</f>
        <v>75.3</v>
      </c>
      <c r="X162" s="1226">
        <f>C44</f>
        <v>33</v>
      </c>
      <c r="Y162" s="1226">
        <f>D44</f>
        <v>78.900000000000006</v>
      </c>
      <c r="Z162" s="1226">
        <f>E44</f>
        <v>45.900000000000006</v>
      </c>
      <c r="AA162" s="1226">
        <f>F44</f>
        <v>47.1</v>
      </c>
      <c r="AB162" s="1226">
        <f>B40</f>
        <v>85.7</v>
      </c>
      <c r="AC162" s="1226">
        <f>C40</f>
        <v>32.6</v>
      </c>
      <c r="AD162" s="1226">
        <f>D40</f>
        <v>89</v>
      </c>
      <c r="AE162" s="1226">
        <f>E40</f>
        <v>56.4</v>
      </c>
      <c r="AF162" s="1226">
        <f>F40</f>
        <v>44</v>
      </c>
      <c r="AG162" s="1226">
        <f>B41</f>
        <v>85.7</v>
      </c>
      <c r="AH162" s="1226">
        <f>C41</f>
        <v>32.200000000000003</v>
      </c>
      <c r="AI162" s="1226">
        <f>D41</f>
        <v>88.2</v>
      </c>
      <c r="AJ162" s="1226">
        <f>E41</f>
        <v>56</v>
      </c>
      <c r="AK162" s="1226">
        <f>F41</f>
        <v>43.5</v>
      </c>
      <c r="AL162" s="1226">
        <f>J53</f>
        <v>81.7</v>
      </c>
      <c r="AM162" s="1226">
        <f t="shared" ref="AM162:AO162" si="38">K53</f>
        <v>32.6</v>
      </c>
      <c r="AN162" s="1226">
        <f t="shared" si="38"/>
        <v>83.7</v>
      </c>
      <c r="AO162" s="1226">
        <f t="shared" si="38"/>
        <v>51.1</v>
      </c>
      <c r="AP162" s="1226">
        <f>L54</f>
        <v>44.8</v>
      </c>
      <c r="AQ162" s="1226">
        <f>O55</f>
        <v>2.9</v>
      </c>
      <c r="AR162" s="1226">
        <f t="shared" ref="AR162:AS162" si="39">P55</f>
        <v>5.0999999999999996</v>
      </c>
      <c r="AS162" s="1226">
        <f t="shared" si="39"/>
        <v>61.7</v>
      </c>
      <c r="AT162" s="1226">
        <f>T53</f>
        <v>61.7</v>
      </c>
      <c r="AU162" s="1226">
        <f>R53</f>
        <v>2.6</v>
      </c>
      <c r="AV162" s="1226">
        <f>S53</f>
        <v>4.8</v>
      </c>
      <c r="AW162" s="1227">
        <f>U53</f>
        <v>4</v>
      </c>
      <c r="AX162" s="1228">
        <f>V53</f>
        <v>0.04</v>
      </c>
      <c r="AY162" s="1227">
        <f>U54</f>
        <v>8.1</v>
      </c>
      <c r="AZ162" s="1229"/>
      <c r="BA162" s="1229"/>
      <c r="BB162" s="1229"/>
      <c r="BC162" s="1229"/>
      <c r="BD162" s="1226">
        <f>B90</f>
        <v>13.7</v>
      </c>
      <c r="BE162" s="1225">
        <f>C90</f>
        <v>0.06</v>
      </c>
      <c r="BF162" s="1229"/>
      <c r="BG162" s="1226">
        <f>D90</f>
        <v>18.3</v>
      </c>
      <c r="BH162" s="1226">
        <f>E90</f>
        <v>16.100000000000001</v>
      </c>
      <c r="BI162" s="1226">
        <f>F90</f>
        <v>17.100000000000001</v>
      </c>
      <c r="BJ162" s="1226">
        <f>G90</f>
        <v>16.399999999999999</v>
      </c>
      <c r="BK162" s="1225">
        <f>AVERAGE(K78:K89)</f>
        <v>6.3333333333333339E-2</v>
      </c>
      <c r="BL162" s="1225">
        <f>AVERAGE(L78:L89)</f>
        <v>9.5000000000000015E-2</v>
      </c>
      <c r="BM162" s="1225">
        <f>N90</f>
        <v>0.06</v>
      </c>
      <c r="BN162" s="21"/>
      <c r="BP162" s="886"/>
    </row>
    <row r="163" spans="1:72" ht="22.5" customHeight="1" x14ac:dyDescent="0.35">
      <c r="A163" s="1224">
        <v>2</v>
      </c>
      <c r="B163" s="1225">
        <f>AK35</f>
        <v>0.16</v>
      </c>
      <c r="C163" s="1225">
        <f>AM35</f>
        <v>0.2</v>
      </c>
      <c r="D163" s="1225">
        <f>AO35</f>
        <v>0.49</v>
      </c>
      <c r="E163" s="1225">
        <f t="shared" ref="E163:G163" si="40">AP35</f>
        <v>40.700000000000003</v>
      </c>
      <c r="F163" s="1225">
        <f t="shared" si="40"/>
        <v>88.5</v>
      </c>
      <c r="G163" s="1225">
        <f t="shared" si="40"/>
        <v>102.7</v>
      </c>
      <c r="H163" s="1226">
        <f>BG33</f>
        <v>98.6</v>
      </c>
      <c r="I163" s="1226">
        <f t="shared" ref="I163:K163" si="41">BH33</f>
        <v>27.8</v>
      </c>
      <c r="J163" s="1226">
        <f t="shared" si="41"/>
        <v>98.6</v>
      </c>
      <c r="K163" s="1226">
        <f t="shared" si="41"/>
        <v>70.8</v>
      </c>
      <c r="L163" s="1226">
        <f>BJ34</f>
        <v>37</v>
      </c>
      <c r="M163" s="1226">
        <f t="shared" ref="M163:P163" si="42">AY33</f>
        <v>97.8</v>
      </c>
      <c r="N163" s="1226">
        <f t="shared" si="42"/>
        <v>27.8</v>
      </c>
      <c r="O163" s="1226">
        <f t="shared" si="42"/>
        <v>97.8</v>
      </c>
      <c r="P163" s="1226">
        <f t="shared" si="42"/>
        <v>70</v>
      </c>
      <c r="Q163" s="1226">
        <f>BB34</f>
        <v>35.5</v>
      </c>
      <c r="R163" s="1226">
        <f>BC33</f>
        <v>98.6</v>
      </c>
      <c r="S163" s="1226">
        <f t="shared" ref="S163:U163" si="43">BD33</f>
        <v>27.8</v>
      </c>
      <c r="T163" s="1226">
        <f t="shared" si="43"/>
        <v>97.8</v>
      </c>
      <c r="U163" s="1226">
        <f t="shared" si="43"/>
        <v>70</v>
      </c>
      <c r="V163" s="1226">
        <f>BF34</f>
        <v>36.9</v>
      </c>
      <c r="W163" s="1226">
        <f>AJ44</f>
        <v>82.5</v>
      </c>
      <c r="X163" s="1226">
        <f>AK44</f>
        <v>33</v>
      </c>
      <c r="Y163" s="1226">
        <f>AL44</f>
        <v>82.9</v>
      </c>
      <c r="Z163" s="1226">
        <f>AM44</f>
        <v>49.900000000000006</v>
      </c>
      <c r="AA163" s="1226">
        <f>AN44</f>
        <v>40.9</v>
      </c>
      <c r="AB163" s="1226">
        <f>AJ40</f>
        <v>89.7</v>
      </c>
      <c r="AC163" s="1226">
        <f>AK40</f>
        <v>31.8</v>
      </c>
      <c r="AD163" s="1226">
        <f t="shared" ref="AD163:AF163" si="44">AL40</f>
        <v>89.4</v>
      </c>
      <c r="AE163" s="1226">
        <f t="shared" si="44"/>
        <v>57.600000000000009</v>
      </c>
      <c r="AF163" s="1226">
        <f t="shared" si="44"/>
        <v>40.6</v>
      </c>
      <c r="AG163" s="1226">
        <f>AJ41</f>
        <v>88.9</v>
      </c>
      <c r="AH163" s="1226">
        <f t="shared" ref="AH163:AK163" si="45">AK41</f>
        <v>29.4</v>
      </c>
      <c r="AI163" s="1226">
        <f t="shared" si="45"/>
        <v>88.6</v>
      </c>
      <c r="AJ163" s="1226">
        <f t="shared" si="45"/>
        <v>59.199999999999996</v>
      </c>
      <c r="AK163" s="1226">
        <f t="shared" si="45"/>
        <v>39.200000000000003</v>
      </c>
      <c r="AL163" s="1226">
        <f>AR53</f>
        <v>84.9</v>
      </c>
      <c r="AM163" s="1226">
        <f t="shared" ref="AM163:AO163" si="46">AS53</f>
        <v>32.200000000000003</v>
      </c>
      <c r="AN163" s="1226">
        <f t="shared" si="46"/>
        <v>84.5</v>
      </c>
      <c r="AO163" s="1226">
        <f t="shared" si="46"/>
        <v>52.3</v>
      </c>
      <c r="AP163" s="1226">
        <f>AT54</f>
        <v>42.8</v>
      </c>
      <c r="AQ163" s="1226">
        <f>AW55</f>
        <v>2.5</v>
      </c>
      <c r="AR163" s="1226">
        <f t="shared" ref="AR163:AS163" si="47">AX55</f>
        <v>4.9000000000000004</v>
      </c>
      <c r="AS163" s="1226">
        <f t="shared" si="47"/>
        <v>64.5</v>
      </c>
      <c r="AT163" s="1226">
        <f>BB53</f>
        <v>64.099999999999994</v>
      </c>
      <c r="AU163" s="1226">
        <f>AZ53</f>
        <v>1.8</v>
      </c>
      <c r="AV163" s="1226">
        <f>BA53</f>
        <v>5.2</v>
      </c>
      <c r="AW163" s="1226">
        <f>BC53</f>
        <v>4</v>
      </c>
      <c r="AX163" s="1225">
        <f>BD53</f>
        <v>0.08</v>
      </c>
      <c r="AY163" s="1226">
        <f>BC54</f>
        <v>7.3</v>
      </c>
      <c r="AZ163" s="1225">
        <f>AI54</f>
        <v>0.04</v>
      </c>
      <c r="BA163" s="1225">
        <f>AJ54</f>
        <v>40.700000000000003</v>
      </c>
      <c r="BB163" s="1225">
        <f>AK54</f>
        <v>33</v>
      </c>
      <c r="BC163" s="1225">
        <f>AL54</f>
        <v>37.5</v>
      </c>
      <c r="BD163" s="1226">
        <f>AJ90</f>
        <v>12.9</v>
      </c>
      <c r="BE163" s="1225">
        <f t="shared" ref="BE163" si="48">AK90</f>
        <v>0.06</v>
      </c>
      <c r="BF163" s="1229"/>
      <c r="BG163" s="1226">
        <f>AL90</f>
        <v>16.100000000000001</v>
      </c>
      <c r="BH163" s="1226">
        <f>AM90</f>
        <v>15.3</v>
      </c>
      <c r="BI163" s="1226">
        <f>AN90</f>
        <v>16.5</v>
      </c>
      <c r="BJ163" s="1226">
        <f t="shared" ref="BJ163" si="49">AO90</f>
        <v>20.3</v>
      </c>
      <c r="BK163" s="1225">
        <f>AVERAGE(AS78:AS89)</f>
        <v>6.1666666666666668E-2</v>
      </c>
      <c r="BL163" s="1225">
        <f>AVERAGE(AT78:AT89)</f>
        <v>7.4999999999999997E-2</v>
      </c>
      <c r="BM163" s="1225">
        <f>AV90</f>
        <v>7.0000000000000007E-2</v>
      </c>
      <c r="BN163" s="21"/>
      <c r="BP163" s="886"/>
    </row>
    <row r="164" spans="1:72" ht="22.5" customHeight="1" x14ac:dyDescent="0.35">
      <c r="A164" s="1272"/>
      <c r="B164" s="1230"/>
      <c r="C164" s="1230"/>
      <c r="D164" s="1230"/>
      <c r="E164" s="1230"/>
      <c r="F164" s="1230"/>
      <c r="G164" s="1230"/>
      <c r="H164" s="1231"/>
      <c r="I164" s="1231"/>
      <c r="J164" s="1231"/>
      <c r="K164" s="1231"/>
      <c r="L164" s="1231"/>
      <c r="M164" s="1231"/>
      <c r="N164" s="1231"/>
      <c r="O164" s="1231"/>
      <c r="P164" s="1231"/>
      <c r="Q164" s="1231"/>
      <c r="R164" s="1231"/>
      <c r="S164" s="1231"/>
      <c r="T164" s="1231"/>
      <c r="U164" s="1231"/>
      <c r="V164" s="1231"/>
      <c r="W164" s="1231"/>
      <c r="X164" s="1231"/>
      <c r="Y164" s="1231"/>
      <c r="Z164" s="1231"/>
      <c r="AA164" s="1231"/>
      <c r="AB164" s="1231"/>
      <c r="AC164" s="1231"/>
      <c r="AD164" s="1231"/>
      <c r="AE164" s="1231"/>
      <c r="AF164" s="1231"/>
      <c r="AG164" s="1231"/>
      <c r="AH164" s="1231"/>
      <c r="AI164" s="1231"/>
      <c r="AJ164" s="1231"/>
      <c r="AK164" s="1231"/>
      <c r="AL164" s="1231"/>
      <c r="AM164" s="1231"/>
      <c r="AN164" s="1231"/>
      <c r="AO164" s="1231"/>
      <c r="AP164" s="1231"/>
      <c r="AQ164" s="1231"/>
      <c r="AR164" s="1231"/>
      <c r="AS164" s="1231"/>
      <c r="AT164" s="1231"/>
      <c r="AU164" s="1231"/>
      <c r="AV164" s="1231"/>
      <c r="AW164" s="1231"/>
      <c r="AX164" s="1231"/>
      <c r="AY164" s="1231"/>
      <c r="AZ164" s="1230"/>
      <c r="BA164" s="1230"/>
      <c r="BB164" s="1230"/>
      <c r="BC164" s="1230"/>
      <c r="BD164" s="1231"/>
      <c r="BE164" s="1231"/>
      <c r="BF164" s="1232"/>
      <c r="BG164" s="1231"/>
      <c r="BH164" s="1231"/>
      <c r="BI164" s="1231"/>
      <c r="BJ164" s="1231"/>
      <c r="BK164" s="1230"/>
      <c r="BL164" s="1230"/>
      <c r="BM164" s="1230"/>
      <c r="BN164" s="21"/>
      <c r="BP164" s="886"/>
    </row>
    <row r="165" spans="1:72" ht="22.5" customHeight="1" x14ac:dyDescent="0.35">
      <c r="A165" s="1290"/>
      <c r="B165" s="2255" t="s">
        <v>461</v>
      </c>
      <c r="C165" s="2255"/>
      <c r="D165" s="2255"/>
      <c r="E165" s="1697" t="s">
        <v>777</v>
      </c>
      <c r="F165" s="1698"/>
      <c r="G165" s="1698"/>
      <c r="H165" s="1698"/>
      <c r="I165" s="1699"/>
      <c r="J165" s="1279" t="s">
        <v>76</v>
      </c>
      <c r="K165" s="1279" t="s">
        <v>78</v>
      </c>
      <c r="L165" s="1279" t="s">
        <v>34</v>
      </c>
      <c r="M165" s="1697" t="s">
        <v>778</v>
      </c>
      <c r="N165" s="1698"/>
      <c r="O165" s="1698"/>
      <c r="P165" s="1699"/>
      <c r="Q165" s="1279" t="s">
        <v>189</v>
      </c>
      <c r="R165" s="1279" t="s">
        <v>127</v>
      </c>
      <c r="S165" s="1697" t="s">
        <v>778</v>
      </c>
      <c r="T165" s="1698"/>
      <c r="U165" s="1698"/>
      <c r="V165" s="1699"/>
      <c r="W165" s="1697" t="s">
        <v>1305</v>
      </c>
      <c r="X165" s="1698"/>
      <c r="Y165" s="1699"/>
      <c r="Z165" s="1697" t="s">
        <v>691</v>
      </c>
      <c r="AA165" s="1698"/>
      <c r="AB165" s="1698"/>
      <c r="AC165" s="1698"/>
      <c r="AD165" s="1698"/>
      <c r="AE165" s="1698"/>
      <c r="AF165" s="1698"/>
      <c r="AG165" s="1699"/>
      <c r="AH165" s="1279" t="s">
        <v>34</v>
      </c>
      <c r="AI165" s="1698" t="s">
        <v>1011</v>
      </c>
      <c r="AJ165" s="1698"/>
      <c r="AK165" s="1698"/>
      <c r="AL165" s="1699"/>
      <c r="AM165" s="1697" t="s">
        <v>26</v>
      </c>
      <c r="AN165" s="1698"/>
      <c r="AO165" s="1699"/>
      <c r="AP165" s="1234"/>
      <c r="AQ165" s="1235"/>
      <c r="AR165" s="1235"/>
      <c r="AS165" s="1235"/>
      <c r="AT165" s="1235"/>
      <c r="AU165" s="1235"/>
      <c r="AV165" s="1235"/>
      <c r="AW165" s="1235"/>
      <c r="AX165" s="1235"/>
      <c r="AY165" s="1235"/>
      <c r="AZ165" s="1236"/>
      <c r="BA165" s="1236"/>
      <c r="BB165" s="1236"/>
      <c r="BC165" s="1236"/>
      <c r="BD165" s="1235"/>
      <c r="BE165" s="1235"/>
      <c r="BF165" s="116"/>
      <c r="BG165" s="1235"/>
      <c r="BH165" s="1235"/>
      <c r="BI165" s="1235"/>
      <c r="BJ165" s="1235"/>
      <c r="BK165" s="1236"/>
      <c r="BL165" s="1236"/>
      <c r="BM165" s="1236"/>
      <c r="BN165" s="21"/>
      <c r="BP165" s="886"/>
    </row>
    <row r="166" spans="1:72" ht="22.5" customHeight="1" x14ac:dyDescent="0.35">
      <c r="B166" s="1275" t="s">
        <v>9</v>
      </c>
      <c r="C166" s="1269" t="s">
        <v>71</v>
      </c>
      <c r="D166" s="1284" t="s">
        <v>1294</v>
      </c>
      <c r="E166" s="1275" t="s">
        <v>462</v>
      </c>
      <c r="F166" s="1275" t="s">
        <v>12</v>
      </c>
      <c r="G166" s="1275" t="s">
        <v>11</v>
      </c>
      <c r="H166" s="1275" t="s">
        <v>779</v>
      </c>
      <c r="I166" s="1275" t="s">
        <v>40</v>
      </c>
      <c r="J166" s="1275" t="s">
        <v>77</v>
      </c>
      <c r="K166" s="1275" t="s">
        <v>77</v>
      </c>
      <c r="L166" s="1275" t="s">
        <v>129</v>
      </c>
      <c r="M166" s="1275" t="s">
        <v>185</v>
      </c>
      <c r="N166" s="1275" t="s">
        <v>30</v>
      </c>
      <c r="O166" s="1275" t="s">
        <v>29</v>
      </c>
      <c r="P166" s="1275" t="s">
        <v>31</v>
      </c>
      <c r="Q166" s="1275" t="s">
        <v>32</v>
      </c>
      <c r="R166" s="1275" t="s">
        <v>1304</v>
      </c>
      <c r="S166" s="1275" t="s">
        <v>1301</v>
      </c>
      <c r="T166" s="1275" t="s">
        <v>1302</v>
      </c>
      <c r="U166" s="1275" t="s">
        <v>1303</v>
      </c>
      <c r="V166" s="1275" t="s">
        <v>1013</v>
      </c>
      <c r="W166" s="1275" t="s">
        <v>51</v>
      </c>
      <c r="X166" s="1275" t="s">
        <v>52</v>
      </c>
      <c r="Y166" s="1275" t="s">
        <v>53</v>
      </c>
      <c r="Z166" s="1275" t="s">
        <v>133</v>
      </c>
      <c r="AA166" s="1275" t="s">
        <v>134</v>
      </c>
      <c r="AB166" s="1275" t="s">
        <v>81</v>
      </c>
      <c r="AC166" s="1275" t="s">
        <v>780</v>
      </c>
      <c r="AD166" s="1275" t="s">
        <v>35</v>
      </c>
      <c r="AE166" s="1275" t="s">
        <v>781</v>
      </c>
      <c r="AF166" s="1275" t="s">
        <v>782</v>
      </c>
      <c r="AG166" s="1275" t="s">
        <v>462</v>
      </c>
      <c r="AH166" s="1275" t="s">
        <v>1</v>
      </c>
      <c r="AI166" s="1285" t="s">
        <v>617</v>
      </c>
      <c r="AJ166" s="1275" t="s">
        <v>1298</v>
      </c>
      <c r="AK166" s="1275" t="s">
        <v>1299</v>
      </c>
      <c r="AL166" s="1275" t="s">
        <v>1300</v>
      </c>
      <c r="AM166" s="1275" t="s">
        <v>1295</v>
      </c>
      <c r="AN166" s="1275" t="s">
        <v>1296</v>
      </c>
      <c r="AO166" s="1286" t="s">
        <v>1297</v>
      </c>
      <c r="AP166" s="1234"/>
      <c r="AQ166" s="1235"/>
      <c r="AR166" s="1235"/>
      <c r="AS166" s="1235"/>
      <c r="AT166" s="1235"/>
      <c r="AU166" s="1235"/>
      <c r="AV166" s="1235"/>
      <c r="AW166" s="1235"/>
      <c r="AX166" s="1235"/>
      <c r="AY166" s="1235"/>
      <c r="AZ166" s="1236"/>
      <c r="BA166" s="1236"/>
      <c r="BB166" s="1236"/>
      <c r="BC166" s="1236"/>
      <c r="BD166" s="1235"/>
      <c r="BE166" s="1235"/>
      <c r="BF166" s="116"/>
      <c r="BG166" s="1235"/>
      <c r="BH166" s="1235"/>
      <c r="BI166" s="1235"/>
      <c r="BJ166" s="1235"/>
      <c r="BK166" s="1236"/>
      <c r="BL166" s="1236"/>
      <c r="BM166" s="1236"/>
      <c r="BN166" s="21"/>
      <c r="BP166" s="886"/>
    </row>
    <row r="167" spans="1:72" ht="22.5" customHeight="1" x14ac:dyDescent="0.35">
      <c r="A167" s="1224">
        <v>1</v>
      </c>
      <c r="B167" s="1237">
        <f>AVERAGE(C95:C106,K95:K106,S95:S106,G95:G106,O95:O106)</f>
        <v>99.329999999999956</v>
      </c>
      <c r="C167" s="1237">
        <f>AVERAGE(D95:D106,H95:H106,L95:L106,T95:T106,P95:P106)</f>
        <v>0.14294117647058827</v>
      </c>
      <c r="D167" s="1238">
        <f>AVERAGE(E95:E106,I95:I106,M95:M106,U95:U106,Q95:Q106)</f>
        <v>2E-3</v>
      </c>
      <c r="E167" s="1226">
        <f>AA90</f>
        <v>70</v>
      </c>
      <c r="F167" s="1226">
        <f t="shared" ref="F167:G167" si="50">AB90</f>
        <v>81</v>
      </c>
      <c r="G167" s="1226">
        <f t="shared" si="50"/>
        <v>86</v>
      </c>
      <c r="H167" s="1239">
        <f>AD90</f>
        <v>55</v>
      </c>
      <c r="I167" s="1239">
        <f>AG90</f>
        <v>37.799999999999997</v>
      </c>
      <c r="J167" s="1229">
        <f>AD63+AD65</f>
        <v>370</v>
      </c>
      <c r="K167" s="1229">
        <f>AG63+AG65</f>
        <v>600</v>
      </c>
      <c r="L167" s="1225">
        <f>Y55</f>
        <v>1.29</v>
      </c>
      <c r="M167" s="1240">
        <f>AA55</f>
        <v>95</v>
      </c>
      <c r="N167" s="1240">
        <f>AB55</f>
        <v>72</v>
      </c>
      <c r="O167" s="1240">
        <f>AC55</f>
        <v>65</v>
      </c>
      <c r="P167" s="1240">
        <f>AD55</f>
        <v>57</v>
      </c>
      <c r="Q167" s="1241">
        <f>AE55</f>
        <v>0.26</v>
      </c>
      <c r="R167" s="1242">
        <f>AG120</f>
        <v>40.9</v>
      </c>
      <c r="S167" s="1242">
        <f>AD34</f>
        <v>30</v>
      </c>
      <c r="T167" s="1242">
        <f>AE34</f>
        <v>49</v>
      </c>
      <c r="U167" s="1242">
        <f>AF34</f>
        <v>50</v>
      </c>
      <c r="V167" s="1242">
        <f>AG34</f>
        <v>56</v>
      </c>
      <c r="W167" s="1226">
        <f>O129</f>
        <v>54</v>
      </c>
      <c r="X167" s="1226">
        <f t="shared" ref="X167:Y167" si="51">P129</f>
        <v>62</v>
      </c>
      <c r="Y167" s="1226">
        <f t="shared" si="51"/>
        <v>50</v>
      </c>
      <c r="Z167" s="1243">
        <f>COUNT(K78:K89)</f>
        <v>6</v>
      </c>
      <c r="AA167" s="1243">
        <f>COUNT(L78:L89)</f>
        <v>6</v>
      </c>
      <c r="AB167" s="1244">
        <f>J90</f>
        <v>1.5</v>
      </c>
      <c r="AC167" s="1245">
        <f>AD35/2</f>
        <v>10</v>
      </c>
      <c r="AD167" s="1246">
        <f>COUNT(AA40:AA46,AA48:AA54)/2</f>
        <v>3</v>
      </c>
      <c r="AE167" s="1247">
        <f>T119</f>
        <v>8</v>
      </c>
      <c r="AF167" s="1226" t="e">
        <f>F35</f>
        <v>#DIV/0!</v>
      </c>
      <c r="AG167" s="1229">
        <f>AG114</f>
        <v>6</v>
      </c>
      <c r="AH167" s="1226">
        <f>Y56</f>
        <v>71.3</v>
      </c>
      <c r="AI167" s="1252">
        <f>F4</f>
        <v>475</v>
      </c>
      <c r="AJ167" s="1229">
        <f>F3</f>
        <v>4292</v>
      </c>
      <c r="AK167" s="1229">
        <f>F2</f>
        <v>428</v>
      </c>
      <c r="AL167" s="1229">
        <f>G2</f>
        <v>427</v>
      </c>
      <c r="AM167" s="1229">
        <f>C72</f>
        <v>2</v>
      </c>
      <c r="AN167" s="1229">
        <f>C73</f>
        <v>20</v>
      </c>
      <c r="AO167" s="1229">
        <f>C71</f>
        <v>0</v>
      </c>
      <c r="AP167" s="1234"/>
      <c r="AQ167" s="1235"/>
      <c r="AR167" s="1235"/>
      <c r="AS167" s="1235"/>
      <c r="AT167" s="1235"/>
      <c r="AU167" s="1235"/>
      <c r="AV167" s="1235"/>
      <c r="AW167" s="1235"/>
      <c r="AX167" s="1235"/>
      <c r="AY167" s="1235"/>
      <c r="AZ167" s="1236"/>
      <c r="BA167" s="1236"/>
      <c r="BB167" s="1236"/>
      <c r="BC167" s="1236"/>
      <c r="BD167" s="1235"/>
      <c r="BE167" s="1235"/>
      <c r="BF167" s="116"/>
      <c r="BG167" s="1235"/>
      <c r="BH167" s="1235"/>
      <c r="BI167" s="1235"/>
      <c r="BJ167" s="1235"/>
      <c r="BK167" s="1236"/>
      <c r="BL167" s="1236"/>
      <c r="BM167" s="1236"/>
      <c r="BN167" s="21"/>
      <c r="BP167" s="886"/>
    </row>
    <row r="168" spans="1:72" ht="22.5" customHeight="1" x14ac:dyDescent="0.35">
      <c r="A168" s="1224">
        <v>2</v>
      </c>
      <c r="B168" s="1248">
        <f>AVERAGE(AK95:AK106,AO95:AO106,AS95:AS106,BA95:BA106,AW95:AW106)</f>
        <v>99.329999999999956</v>
      </c>
      <c r="C168" s="1248">
        <f>AVERAGE(AL95:AL106,AP95:AP106,AT95:AT106,AX95:AX106,BB95:BB106)</f>
        <v>0.16083333333333336</v>
      </c>
      <c r="D168" s="1249">
        <f>AVERAGE(AM95:AM106,AQ95:AQ106,AU95:AU106,AY95:AY106,BC95:BC106)</f>
        <v>1.8444444444444441E-3</v>
      </c>
      <c r="E168" s="1226">
        <f>BI90</f>
        <v>75</v>
      </c>
      <c r="F168" s="1226">
        <f t="shared" ref="F168:G168" si="52">BJ90</f>
        <v>80</v>
      </c>
      <c r="G168" s="1226">
        <f t="shared" si="52"/>
        <v>82</v>
      </c>
      <c r="H168" s="1239">
        <f>BL90</f>
        <v>54.5</v>
      </c>
      <c r="I168" s="1239">
        <f>BO90</f>
        <v>35.799999999999997</v>
      </c>
      <c r="J168" s="1229">
        <f>BL63+BL65</f>
        <v>430</v>
      </c>
      <c r="K168" s="1229">
        <f>BO63+BO65</f>
        <v>460</v>
      </c>
      <c r="L168" s="1225">
        <f>BG55</f>
        <v>0.47</v>
      </c>
      <c r="M168" s="1240">
        <f>BI55</f>
        <v>97</v>
      </c>
      <c r="N168" s="1240">
        <f>BJ55</f>
        <v>79</v>
      </c>
      <c r="O168" s="1240">
        <f>BK55</f>
        <v>62</v>
      </c>
      <c r="P168" s="1240">
        <f>BL55</f>
        <v>60</v>
      </c>
      <c r="Q168" s="1241">
        <f>BM55</f>
        <v>0.2</v>
      </c>
      <c r="R168" s="1242">
        <f>BO120</f>
        <v>43.1</v>
      </c>
      <c r="S168" s="1242">
        <f>BL34</f>
        <v>30</v>
      </c>
      <c r="T168" s="1242">
        <f>BM34</f>
        <v>47</v>
      </c>
      <c r="U168" s="1242">
        <f>BN34</f>
        <v>55</v>
      </c>
      <c r="V168" s="1242">
        <f>BO34</f>
        <v>57</v>
      </c>
      <c r="W168" s="1226">
        <f>AW129</f>
        <v>56</v>
      </c>
      <c r="X168" s="1226">
        <f t="shared" ref="X168" si="53">AX129</f>
        <v>60</v>
      </c>
      <c r="Y168" s="1226">
        <f>AY129</f>
        <v>59</v>
      </c>
      <c r="Z168" s="1243">
        <f>COUNT(AS78:AS89)</f>
        <v>6</v>
      </c>
      <c r="AA168" s="1243">
        <f>COUNT(AT78:AT89)</f>
        <v>6</v>
      </c>
      <c r="AB168" s="1244">
        <f>AR90</f>
        <v>4.5</v>
      </c>
      <c r="AC168" s="1245">
        <f>BL35/2</f>
        <v>10</v>
      </c>
      <c r="AD168" s="1246">
        <f>COUNT(BI40:BI46,BI48:BI54)/2</f>
        <v>4</v>
      </c>
      <c r="AE168" s="1247">
        <f>BB119</f>
        <v>9</v>
      </c>
      <c r="AF168" s="1226" t="e">
        <f>AN35</f>
        <v>#DIV/0!</v>
      </c>
      <c r="AG168" s="1229">
        <f>BO114</f>
        <v>6</v>
      </c>
      <c r="AH168" s="1226">
        <f>BG56</f>
        <v>72.900000000000006</v>
      </c>
      <c r="AI168" s="1252">
        <f>AN4</f>
        <v>492</v>
      </c>
      <c r="AJ168" s="1229">
        <f>AN3</f>
        <v>5236</v>
      </c>
      <c r="AK168" s="1229">
        <f>AN2</f>
        <v>425</v>
      </c>
      <c r="AL168" s="1229">
        <f>AO2</f>
        <v>440</v>
      </c>
      <c r="AM168" s="1229">
        <f>AK72</f>
        <v>2</v>
      </c>
      <c r="AN168" s="1229">
        <f>AK73</f>
        <v>19</v>
      </c>
      <c r="AO168" s="1229">
        <f>AK71</f>
        <v>0</v>
      </c>
      <c r="AP168" s="1234"/>
      <c r="AQ168" s="1235"/>
      <c r="AR168" s="1235"/>
      <c r="AS168" s="1235"/>
      <c r="AT168" s="1235"/>
      <c r="AU168" s="1235"/>
      <c r="AV168" s="1235"/>
      <c r="AW168" s="1235"/>
      <c r="AX168" s="1235"/>
      <c r="AY168" s="1235"/>
      <c r="AZ168" s="1250"/>
      <c r="BA168" s="1250"/>
      <c r="BB168" s="1250"/>
      <c r="BC168" s="1250"/>
      <c r="BD168" s="1235"/>
      <c r="BE168" s="1235"/>
      <c r="BF168" s="1235"/>
      <c r="BG168" s="1235"/>
      <c r="BH168" s="1235"/>
      <c r="BI168" s="1235"/>
      <c r="BJ168" s="1235"/>
      <c r="BK168" s="1236"/>
      <c r="BL168" s="1236"/>
      <c r="BM168" s="1236"/>
      <c r="BN168" s="21"/>
      <c r="BP168" s="886"/>
      <c r="BQ168" s="25"/>
      <c r="BR168" s="25"/>
      <c r="BS168" s="25"/>
      <c r="BT168" s="25"/>
    </row>
    <row r="169" spans="1:72" ht="22.5" customHeight="1" x14ac:dyDescent="0.35">
      <c r="A169" s="1273"/>
      <c r="B169" s="1251"/>
      <c r="C169" s="1251"/>
      <c r="D169" s="1251"/>
      <c r="E169" s="1251"/>
      <c r="F169" s="1251"/>
      <c r="G169" s="1251"/>
      <c r="H169" s="1251"/>
      <c r="I169" s="1252"/>
      <c r="J169" s="1233"/>
      <c r="K169" s="1251"/>
      <c r="L169" s="1251"/>
      <c r="M169" s="1251"/>
      <c r="N169" s="1251"/>
      <c r="O169" s="1251"/>
      <c r="P169" s="1251"/>
      <c r="Q169" s="1252"/>
      <c r="R169" s="1233"/>
      <c r="S169" s="1251"/>
      <c r="T169" s="1251"/>
      <c r="U169" s="1251"/>
      <c r="V169" s="1251"/>
      <c r="W169" s="1251"/>
      <c r="X169" s="1251"/>
      <c r="Y169" s="1252"/>
      <c r="Z169" s="1233"/>
      <c r="AA169" s="1251"/>
      <c r="AB169" s="1251"/>
      <c r="AC169" s="1251"/>
      <c r="AD169" s="1251"/>
      <c r="AE169" s="1251"/>
      <c r="AF169" s="1251"/>
      <c r="AG169" s="1252"/>
      <c r="AH169" s="1233"/>
      <c r="AI169" s="1251"/>
      <c r="AJ169" s="1251"/>
      <c r="AK169" s="1251"/>
      <c r="AL169" s="1251"/>
      <c r="AM169" s="1251"/>
      <c r="AN169" s="1251"/>
      <c r="AO169" s="1252"/>
      <c r="AP169" s="1234"/>
      <c r="AQ169" s="1235"/>
      <c r="AR169" s="1235"/>
      <c r="AS169" s="1235"/>
      <c r="AT169" s="1235"/>
      <c r="AU169" s="1235"/>
      <c r="AV169" s="1235"/>
      <c r="AW169" s="1235"/>
      <c r="AX169" s="1235"/>
      <c r="AY169" s="1235"/>
      <c r="AZ169" s="1250"/>
      <c r="BA169" s="1250"/>
      <c r="BB169" s="1250"/>
      <c r="BC169" s="1250"/>
      <c r="BD169" s="1235"/>
      <c r="BE169" s="1235"/>
      <c r="BF169" s="1235"/>
      <c r="BG169" s="1235"/>
      <c r="BH169" s="1235"/>
      <c r="BI169" s="1235"/>
      <c r="BJ169" s="1235"/>
      <c r="BK169" s="1236"/>
      <c r="BL169" s="1236"/>
      <c r="BM169" s="1236"/>
      <c r="BN169" s="21"/>
      <c r="BP169" s="886"/>
      <c r="BQ169" s="25"/>
      <c r="BR169" s="25"/>
      <c r="BS169" s="25"/>
      <c r="BT169" s="25"/>
    </row>
    <row r="170" spans="1:72" ht="22.5" customHeight="1" x14ac:dyDescent="0.35">
      <c r="A170" s="20"/>
      <c r="B170" s="1280"/>
      <c r="C170" s="1281"/>
      <c r="D170" s="1281"/>
      <c r="E170" s="1281" t="s">
        <v>280</v>
      </c>
      <c r="F170" s="1282"/>
      <c r="G170" s="1282"/>
      <c r="H170" s="1281"/>
      <c r="I170" s="1283"/>
      <c r="J170" s="1280"/>
      <c r="K170" s="1281"/>
      <c r="L170" s="1281"/>
      <c r="M170" s="1281" t="s">
        <v>281</v>
      </c>
      <c r="N170" s="1282"/>
      <c r="O170" s="1282"/>
      <c r="P170" s="1281"/>
      <c r="Q170" s="1283"/>
      <c r="R170" s="1280"/>
      <c r="S170" s="1281"/>
      <c r="T170" s="1281"/>
      <c r="U170" s="1281" t="s">
        <v>282</v>
      </c>
      <c r="V170" s="1282"/>
      <c r="W170" s="1282"/>
      <c r="X170" s="1281"/>
      <c r="Y170" s="1283"/>
      <c r="Z170" s="1280"/>
      <c r="AA170" s="1281"/>
      <c r="AB170" s="1281"/>
      <c r="AC170" s="1281" t="s">
        <v>283</v>
      </c>
      <c r="AD170" s="1282"/>
      <c r="AE170" s="1282"/>
      <c r="AF170" s="1281"/>
      <c r="AG170" s="1283"/>
      <c r="AH170" s="1280"/>
      <c r="AI170" s="1281"/>
      <c r="AJ170" s="1281"/>
      <c r="AK170" s="1281" t="s">
        <v>284</v>
      </c>
      <c r="AL170" s="1282"/>
      <c r="AM170" s="1282"/>
      <c r="AN170" s="1281"/>
      <c r="AO170" s="1283"/>
      <c r="AP170" s="1280"/>
      <c r="AQ170" s="1281"/>
      <c r="AR170" s="1281"/>
      <c r="AS170" s="1281" t="s">
        <v>285</v>
      </c>
      <c r="AT170" s="1282"/>
      <c r="AU170" s="1282"/>
      <c r="AV170" s="1281"/>
      <c r="AW170" s="1283"/>
      <c r="AX170" s="1280"/>
      <c r="AY170" s="1281"/>
      <c r="AZ170" s="1281"/>
      <c r="BA170" s="1281" t="s">
        <v>286</v>
      </c>
      <c r="BB170" s="1282"/>
      <c r="BC170" s="1282"/>
      <c r="BD170" s="1281"/>
      <c r="BE170" s="1283"/>
      <c r="BF170" s="1280"/>
      <c r="BG170" s="1281"/>
      <c r="BH170" s="1281"/>
      <c r="BI170" s="1281" t="s">
        <v>287</v>
      </c>
      <c r="BJ170" s="1282"/>
      <c r="BK170" s="1282"/>
      <c r="BL170" s="1281"/>
      <c r="BM170" s="1279"/>
      <c r="BN170" s="21"/>
      <c r="BP170" s="886"/>
    </row>
    <row r="171" spans="1:72" ht="22.5" customHeight="1" x14ac:dyDescent="0.35">
      <c r="A171" s="20"/>
      <c r="B171" s="1287" t="s">
        <v>1001</v>
      </c>
      <c r="C171" s="1287" t="s">
        <v>288</v>
      </c>
      <c r="D171" s="1287" t="s">
        <v>289</v>
      </c>
      <c r="E171" s="1287" t="s">
        <v>1002</v>
      </c>
      <c r="F171" s="1287" t="s">
        <v>1003</v>
      </c>
      <c r="G171" s="1287" t="s">
        <v>1004</v>
      </c>
      <c r="H171" s="1287" t="s">
        <v>1005</v>
      </c>
      <c r="I171" s="1287" t="s">
        <v>290</v>
      </c>
      <c r="J171" s="1287" t="s">
        <v>1001</v>
      </c>
      <c r="K171" s="1287" t="s">
        <v>288</v>
      </c>
      <c r="L171" s="1287" t="s">
        <v>289</v>
      </c>
      <c r="M171" s="1287" t="s">
        <v>1002</v>
      </c>
      <c r="N171" s="1287" t="s">
        <v>1003</v>
      </c>
      <c r="O171" s="1287" t="s">
        <v>1004</v>
      </c>
      <c r="P171" s="1287" t="s">
        <v>1005</v>
      </c>
      <c r="Q171" s="1287" t="s">
        <v>290</v>
      </c>
      <c r="R171" s="1287" t="s">
        <v>1001</v>
      </c>
      <c r="S171" s="1287" t="s">
        <v>288</v>
      </c>
      <c r="T171" s="1287" t="s">
        <v>289</v>
      </c>
      <c r="U171" s="1287" t="s">
        <v>1002</v>
      </c>
      <c r="V171" s="1287" t="s">
        <v>1003</v>
      </c>
      <c r="W171" s="1287" t="s">
        <v>1004</v>
      </c>
      <c r="X171" s="1287" t="s">
        <v>1005</v>
      </c>
      <c r="Y171" s="1287" t="s">
        <v>290</v>
      </c>
      <c r="Z171" s="1287" t="s">
        <v>1001</v>
      </c>
      <c r="AA171" s="1287" t="s">
        <v>288</v>
      </c>
      <c r="AB171" s="1287" t="s">
        <v>289</v>
      </c>
      <c r="AC171" s="1287" t="s">
        <v>1002</v>
      </c>
      <c r="AD171" s="1287" t="s">
        <v>1003</v>
      </c>
      <c r="AE171" s="1287" t="s">
        <v>1004</v>
      </c>
      <c r="AF171" s="1287" t="s">
        <v>1005</v>
      </c>
      <c r="AG171" s="1287" t="s">
        <v>290</v>
      </c>
      <c r="AH171" s="1287" t="s">
        <v>1001</v>
      </c>
      <c r="AI171" s="1287" t="s">
        <v>288</v>
      </c>
      <c r="AJ171" s="1287" t="s">
        <v>289</v>
      </c>
      <c r="AK171" s="1287" t="s">
        <v>1002</v>
      </c>
      <c r="AL171" s="1287" t="s">
        <v>1003</v>
      </c>
      <c r="AM171" s="1287" t="s">
        <v>1004</v>
      </c>
      <c r="AN171" s="1287" t="s">
        <v>1005</v>
      </c>
      <c r="AO171" s="1287" t="s">
        <v>290</v>
      </c>
      <c r="AP171" s="1287" t="s">
        <v>1001</v>
      </c>
      <c r="AQ171" s="1287" t="s">
        <v>288</v>
      </c>
      <c r="AR171" s="1287" t="s">
        <v>289</v>
      </c>
      <c r="AS171" s="1287" t="s">
        <v>1002</v>
      </c>
      <c r="AT171" s="1287" t="s">
        <v>1003</v>
      </c>
      <c r="AU171" s="1287" t="s">
        <v>1004</v>
      </c>
      <c r="AV171" s="1287" t="s">
        <v>1005</v>
      </c>
      <c r="AW171" s="1287" t="s">
        <v>290</v>
      </c>
      <c r="AX171" s="1287" t="s">
        <v>1001</v>
      </c>
      <c r="AY171" s="1287" t="s">
        <v>288</v>
      </c>
      <c r="AZ171" s="1287" t="s">
        <v>289</v>
      </c>
      <c r="BA171" s="1287" t="s">
        <v>1002</v>
      </c>
      <c r="BB171" s="1287" t="s">
        <v>1003</v>
      </c>
      <c r="BC171" s="1287" t="s">
        <v>1004</v>
      </c>
      <c r="BD171" s="1287" t="s">
        <v>1005</v>
      </c>
      <c r="BE171" s="1287" t="s">
        <v>290</v>
      </c>
      <c r="BF171" s="1287" t="s">
        <v>1001</v>
      </c>
      <c r="BG171" s="1287" t="s">
        <v>288</v>
      </c>
      <c r="BH171" s="1287" t="s">
        <v>289</v>
      </c>
      <c r="BI171" s="1287" t="s">
        <v>1002</v>
      </c>
      <c r="BJ171" s="1287" t="s">
        <v>1003</v>
      </c>
      <c r="BK171" s="1287" t="s">
        <v>1004</v>
      </c>
      <c r="BL171" s="1288" t="s">
        <v>1005</v>
      </c>
      <c r="BM171" s="1289" t="s">
        <v>290</v>
      </c>
      <c r="BN171" s="1253"/>
      <c r="BO171" s="886"/>
      <c r="BP171" s="886"/>
    </row>
    <row r="172" spans="1:72" ht="22.5" customHeight="1" x14ac:dyDescent="0.35">
      <c r="A172" s="1224">
        <v>1</v>
      </c>
      <c r="B172" s="1229">
        <f>C111</f>
        <v>164</v>
      </c>
      <c r="C172" s="1229">
        <f>C112</f>
        <v>0</v>
      </c>
      <c r="D172" s="1229">
        <f>C113</f>
        <v>0</v>
      </c>
      <c r="E172" s="1229">
        <f>C115</f>
        <v>394</v>
      </c>
      <c r="F172" s="1226">
        <f>C116</f>
        <v>9.4</v>
      </c>
      <c r="G172" s="1226">
        <f>C117</f>
        <v>169</v>
      </c>
      <c r="H172" s="1226">
        <f>C119</f>
        <v>540</v>
      </c>
      <c r="I172" s="1229">
        <f>C120</f>
        <v>0</v>
      </c>
      <c r="J172" s="1229">
        <f>D111</f>
        <v>162</v>
      </c>
      <c r="K172" s="1229">
        <f>D112</f>
        <v>0</v>
      </c>
      <c r="L172" s="1229">
        <f>D113</f>
        <v>0</v>
      </c>
      <c r="M172" s="1229">
        <f>D115</f>
        <v>370</v>
      </c>
      <c r="N172" s="1226">
        <f>D116</f>
        <v>9</v>
      </c>
      <c r="O172" s="1226">
        <f>D117</f>
        <v>141</v>
      </c>
      <c r="P172" s="1226">
        <f>D119</f>
        <v>540</v>
      </c>
      <c r="Q172" s="1229">
        <f>D120</f>
        <v>0</v>
      </c>
      <c r="R172" s="1229" t="str">
        <f>E111</f>
        <v>рез</v>
      </c>
      <c r="S172" s="1229">
        <f>E112</f>
        <v>0</v>
      </c>
      <c r="T172" s="1229">
        <f>E113</f>
        <v>0</v>
      </c>
      <c r="U172" s="1229">
        <f>E115</f>
        <v>0</v>
      </c>
      <c r="V172" s="1226">
        <f>E116</f>
        <v>0</v>
      </c>
      <c r="W172" s="1226">
        <f>E117</f>
        <v>0</v>
      </c>
      <c r="X172" s="1226">
        <f>E119</f>
        <v>0</v>
      </c>
      <c r="Y172" s="1229">
        <f>E120</f>
        <v>0</v>
      </c>
      <c r="Z172" s="1229" t="str">
        <f>F111</f>
        <v>рем</v>
      </c>
      <c r="AA172" s="1229">
        <f>F112</f>
        <v>0</v>
      </c>
      <c r="AB172" s="1229">
        <f>F113</f>
        <v>0</v>
      </c>
      <c r="AC172" s="1229">
        <f>F115</f>
        <v>0</v>
      </c>
      <c r="AD172" s="1229">
        <f>F116</f>
        <v>0</v>
      </c>
      <c r="AE172" s="1229">
        <f>F117</f>
        <v>0</v>
      </c>
      <c r="AF172" s="1229">
        <f>F119</f>
        <v>0</v>
      </c>
      <c r="AG172" s="1229">
        <f>F120</f>
        <v>0</v>
      </c>
      <c r="AH172" s="1229" t="str">
        <f>G111</f>
        <v>рез</v>
      </c>
      <c r="AI172" s="1229">
        <f>G112</f>
        <v>0</v>
      </c>
      <c r="AJ172" s="1229">
        <f>G113</f>
        <v>0</v>
      </c>
      <c r="AK172" s="1229">
        <f>G115</f>
        <v>0</v>
      </c>
      <c r="AL172" s="1229">
        <f>G116</f>
        <v>0</v>
      </c>
      <c r="AM172" s="1229">
        <f>G117</f>
        <v>0</v>
      </c>
      <c r="AN172" s="1229">
        <f>G119</f>
        <v>0</v>
      </c>
      <c r="AO172" s="1229">
        <f>G120</f>
        <v>0</v>
      </c>
      <c r="AP172" s="1254">
        <f>H111</f>
        <v>164</v>
      </c>
      <c r="AQ172" s="1254">
        <f>H112</f>
        <v>0</v>
      </c>
      <c r="AR172" s="1254">
        <f>H113</f>
        <v>0</v>
      </c>
      <c r="AS172" s="1254">
        <f>H115</f>
        <v>483</v>
      </c>
      <c r="AT172" s="1254">
        <f>H116</f>
        <v>9.1999999999999993</v>
      </c>
      <c r="AU172" s="1254">
        <f>H117</f>
        <v>179</v>
      </c>
      <c r="AV172" s="1254">
        <f>H119</f>
        <v>540</v>
      </c>
      <c r="AW172" s="1254">
        <f>H120</f>
        <v>0</v>
      </c>
      <c r="AX172" s="1229" t="str">
        <f>I111</f>
        <v>рез</v>
      </c>
      <c r="AY172" s="1229">
        <f>I112</f>
        <v>0</v>
      </c>
      <c r="AZ172" s="1229">
        <f>I113</f>
        <v>0</v>
      </c>
      <c r="BA172" s="1229">
        <f>I115</f>
        <v>0</v>
      </c>
      <c r="BB172" s="1226">
        <f>I116</f>
        <v>0</v>
      </c>
      <c r="BC172" s="1226">
        <f>I117</f>
        <v>0</v>
      </c>
      <c r="BD172" s="1226">
        <f>I119</f>
        <v>0</v>
      </c>
      <c r="BE172" s="1229">
        <f>I120</f>
        <v>0</v>
      </c>
      <c r="BF172" s="1229">
        <f>J111</f>
        <v>161</v>
      </c>
      <c r="BG172" s="1229">
        <f>J112</f>
        <v>0</v>
      </c>
      <c r="BH172" s="1229">
        <f>J113</f>
        <v>0</v>
      </c>
      <c r="BI172" s="1229">
        <f>J115</f>
        <v>480</v>
      </c>
      <c r="BJ172" s="1229">
        <f>J116</f>
        <v>9.1999999999999993</v>
      </c>
      <c r="BK172" s="1229">
        <f>J117</f>
        <v>180</v>
      </c>
      <c r="BL172" s="1233">
        <f>J119</f>
        <v>540</v>
      </c>
      <c r="BM172" s="1229">
        <f>J120</f>
        <v>0</v>
      </c>
      <c r="BN172" s="1253"/>
      <c r="BO172" s="886"/>
      <c r="BP172" s="886"/>
    </row>
    <row r="173" spans="1:72" ht="22.5" customHeight="1" x14ac:dyDescent="0.35">
      <c r="A173" s="1255">
        <v>2</v>
      </c>
      <c r="B173" s="1256">
        <f>AK111</f>
        <v>162</v>
      </c>
      <c r="C173" s="1256">
        <f>AK112</f>
        <v>95</v>
      </c>
      <c r="D173" s="1256">
        <f>AK113</f>
        <v>-1</v>
      </c>
      <c r="E173" s="1256">
        <f>AK115</f>
        <v>396</v>
      </c>
      <c r="F173" s="1257">
        <f>AK116</f>
        <v>0</v>
      </c>
      <c r="G173" s="1257">
        <f>AK117</f>
        <v>170</v>
      </c>
      <c r="H173" s="1257">
        <f>AK119</f>
        <v>540</v>
      </c>
      <c r="I173" s="1256">
        <f>AK120</f>
        <v>-2</v>
      </c>
      <c r="J173" s="1256">
        <f>AL111</f>
        <v>161</v>
      </c>
      <c r="K173" s="1256">
        <f>AL112</f>
        <v>96</v>
      </c>
      <c r="L173" s="1256">
        <f>AL113</f>
        <v>-1</v>
      </c>
      <c r="M173" s="1256">
        <f>AL115</f>
        <v>358</v>
      </c>
      <c r="N173" s="1257">
        <f>AL116</f>
        <v>0</v>
      </c>
      <c r="O173" s="1257">
        <f>AL117</f>
        <v>140</v>
      </c>
      <c r="P173" s="1257">
        <f>AL119</f>
        <v>540</v>
      </c>
      <c r="Q173" s="1256">
        <f>AL120</f>
        <v>-5</v>
      </c>
      <c r="R173" s="1256" t="str">
        <f>AM111</f>
        <v>рез</v>
      </c>
      <c r="S173" s="1256">
        <f>AM112</f>
        <v>0</v>
      </c>
      <c r="T173" s="1256">
        <f>AM113</f>
        <v>0</v>
      </c>
      <c r="U173" s="1256">
        <f>AM115</f>
        <v>0</v>
      </c>
      <c r="V173" s="1256">
        <f>AM116</f>
        <v>0</v>
      </c>
      <c r="W173" s="1256">
        <f>AM117</f>
        <v>0</v>
      </c>
      <c r="X173" s="1256">
        <f>AM119</f>
        <v>0</v>
      </c>
      <c r="Y173" s="1256">
        <f>AM120</f>
        <v>0</v>
      </c>
      <c r="Z173" s="1256" t="str">
        <f>AN111</f>
        <v>рем</v>
      </c>
      <c r="AA173" s="1256">
        <f>AN112</f>
        <v>0</v>
      </c>
      <c r="AB173" s="1256">
        <f>AN113</f>
        <v>0</v>
      </c>
      <c r="AC173" s="1256">
        <f>AN115</f>
        <v>0</v>
      </c>
      <c r="AD173" s="1256">
        <f>AN116</f>
        <v>0</v>
      </c>
      <c r="AE173" s="1256">
        <f>AN117</f>
        <v>0</v>
      </c>
      <c r="AF173" s="1256">
        <f>AN119</f>
        <v>0</v>
      </c>
      <c r="AG173" s="1256">
        <f>AN120</f>
        <v>0</v>
      </c>
      <c r="AH173" s="1256" t="str">
        <f>AO111</f>
        <v>рез</v>
      </c>
      <c r="AI173" s="1256">
        <f>AO112</f>
        <v>0</v>
      </c>
      <c r="AJ173" s="1256">
        <f>AO113</f>
        <v>0</v>
      </c>
      <c r="AK173" s="1256">
        <f>AO115</f>
        <v>0</v>
      </c>
      <c r="AL173" s="1256">
        <f>AO116</f>
        <v>0</v>
      </c>
      <c r="AM173" s="1256">
        <f>AO117</f>
        <v>0</v>
      </c>
      <c r="AN173" s="1256">
        <f>AO119</f>
        <v>0</v>
      </c>
      <c r="AO173" s="1256">
        <f>AO120</f>
        <v>0</v>
      </c>
      <c r="AP173" s="1258">
        <f>AP111</f>
        <v>151</v>
      </c>
      <c r="AQ173" s="1258">
        <f>AP112</f>
        <v>92</v>
      </c>
      <c r="AR173" s="1258">
        <f>AP113</f>
        <v>-1</v>
      </c>
      <c r="AS173" s="1258">
        <f>AP115</f>
        <v>486</v>
      </c>
      <c r="AT173" s="1258">
        <f>AP116</f>
        <v>0</v>
      </c>
      <c r="AU173" s="1258">
        <f>AP117</f>
        <v>181</v>
      </c>
      <c r="AV173" s="1258">
        <f>AP119</f>
        <v>540</v>
      </c>
      <c r="AW173" s="1258">
        <f>AP120</f>
        <v>-6</v>
      </c>
      <c r="AX173" s="1256" t="str">
        <f>AQ111</f>
        <v>рем</v>
      </c>
      <c r="AY173" s="1256">
        <f>AQ112</f>
        <v>0</v>
      </c>
      <c r="AZ173" s="1256">
        <f>AQ113</f>
        <v>0</v>
      </c>
      <c r="BA173" s="1256">
        <f>AQ115</f>
        <v>0</v>
      </c>
      <c r="BB173" s="1257">
        <f>AQ116</f>
        <v>0</v>
      </c>
      <c r="BC173" s="1257">
        <f>AQ117</f>
        <v>0</v>
      </c>
      <c r="BD173" s="1257">
        <f>AQ119</f>
        <v>0</v>
      </c>
      <c r="BE173" s="1256">
        <f>AQ120</f>
        <v>0</v>
      </c>
      <c r="BF173" s="1256">
        <f>AR111</f>
        <v>154</v>
      </c>
      <c r="BG173" s="1256">
        <f>AR112</f>
        <v>103</v>
      </c>
      <c r="BH173" s="1256">
        <f>AR113</f>
        <v>-1</v>
      </c>
      <c r="BI173" s="1256">
        <f>AR115</f>
        <v>376</v>
      </c>
      <c r="BJ173" s="1256">
        <f>AR116</f>
        <v>0</v>
      </c>
      <c r="BK173" s="1256">
        <f>AR117</f>
        <v>176</v>
      </c>
      <c r="BL173" s="1259">
        <f>AR119</f>
        <v>540</v>
      </c>
      <c r="BM173" s="1229">
        <f>AR120</f>
        <v>-8</v>
      </c>
      <c r="BN173" s="1253"/>
      <c r="BO173" s="886"/>
      <c r="BP173" s="886"/>
    </row>
    <row r="174" spans="1:72" ht="22.5" customHeight="1" x14ac:dyDescent="0.35">
      <c r="A174" s="1272"/>
      <c r="B174" s="1232"/>
      <c r="C174" s="1232"/>
      <c r="D174" s="1232"/>
      <c r="E174" s="1232"/>
      <c r="F174" s="1231"/>
      <c r="G174" s="1231"/>
      <c r="H174" s="1231"/>
      <c r="I174" s="1232"/>
      <c r="J174" s="1232"/>
      <c r="K174" s="1232"/>
      <c r="L174" s="1232"/>
      <c r="M174" s="1232"/>
      <c r="N174" s="1231"/>
      <c r="O174" s="1231"/>
      <c r="P174" s="1231"/>
      <c r="Q174" s="1232"/>
      <c r="R174" s="1232"/>
      <c r="S174" s="1232"/>
      <c r="T174" s="1232"/>
      <c r="U174" s="1232"/>
      <c r="V174" s="1232"/>
      <c r="W174" s="1232"/>
      <c r="X174" s="1232"/>
      <c r="Y174" s="1232"/>
      <c r="Z174" s="1232"/>
      <c r="AA174" s="1232"/>
      <c r="AB174" s="1232"/>
      <c r="AC174" s="1232"/>
      <c r="AD174" s="1232"/>
      <c r="AE174" s="1232"/>
      <c r="AF174" s="1232"/>
      <c r="AG174" s="1232"/>
      <c r="AH174" s="1232"/>
      <c r="AI174" s="1232"/>
      <c r="AJ174" s="1232"/>
      <c r="AK174" s="1232"/>
      <c r="AL174" s="1232"/>
      <c r="AM174" s="1232"/>
      <c r="AN174" s="1232"/>
      <c r="AO174" s="1232"/>
      <c r="AP174" s="1260"/>
      <c r="AQ174" s="1260"/>
      <c r="AR174" s="1260"/>
      <c r="AS174" s="1260"/>
      <c r="AT174" s="1260"/>
      <c r="AU174" s="1260"/>
      <c r="AV174" s="1260"/>
      <c r="AW174" s="1260"/>
      <c r="AX174" s="1232"/>
      <c r="AY174" s="1232"/>
      <c r="AZ174" s="1232"/>
      <c r="BA174" s="1232"/>
      <c r="BB174" s="1231"/>
      <c r="BC174" s="1231"/>
      <c r="BD174" s="1231"/>
      <c r="BE174" s="1232"/>
      <c r="BF174" s="1232"/>
      <c r="BG174" s="1232"/>
      <c r="BH174" s="1232"/>
      <c r="BI174" s="1232"/>
      <c r="BJ174" s="1232"/>
      <c r="BK174" s="1232"/>
      <c r="BL174" s="1232"/>
      <c r="BM174" s="1232"/>
      <c r="BN174" s="1253"/>
      <c r="BO174" s="886"/>
      <c r="BP174" s="886"/>
    </row>
    <row r="175" spans="1:72" ht="22.5" customHeight="1" x14ac:dyDescent="0.35">
      <c r="A175" s="20"/>
      <c r="B175" s="1261"/>
      <c r="C175" s="1261"/>
      <c r="D175" s="1261"/>
      <c r="E175" s="1261"/>
      <c r="F175" s="1261"/>
      <c r="G175" s="1261"/>
      <c r="H175" s="1261"/>
      <c r="I175" s="1261"/>
      <c r="J175" s="1261"/>
      <c r="K175" s="1261"/>
      <c r="L175" s="1261"/>
      <c r="M175" s="1261"/>
      <c r="N175" s="1261"/>
      <c r="O175" s="1261"/>
      <c r="P175" s="1261"/>
      <c r="Q175" s="1261"/>
      <c r="R175" s="1261"/>
      <c r="S175" s="1261"/>
      <c r="T175" s="1261"/>
      <c r="U175" s="1261"/>
      <c r="V175" s="1261"/>
      <c r="W175" s="1261"/>
      <c r="X175" s="1261"/>
      <c r="Y175" s="1261"/>
      <c r="Z175" s="1261"/>
      <c r="AA175" s="1261"/>
      <c r="AB175" s="1261"/>
      <c r="AC175" s="1261"/>
      <c r="AD175" s="1261"/>
      <c r="AE175" s="1261"/>
      <c r="AF175" s="1261"/>
      <c r="AG175" s="1261"/>
      <c r="AH175" s="1261"/>
      <c r="AI175" s="1261"/>
      <c r="AJ175" s="1261"/>
      <c r="AK175" s="1261"/>
      <c r="AL175" s="1261"/>
      <c r="AM175" s="1261"/>
      <c r="AN175" s="1261"/>
      <c r="AO175" s="1261"/>
      <c r="AP175" s="1261"/>
      <c r="AQ175" s="1261"/>
      <c r="AR175" s="1261"/>
      <c r="AS175" s="1261"/>
      <c r="AT175" s="1261"/>
      <c r="AU175" s="1261"/>
      <c r="AV175" s="1261"/>
      <c r="AW175" s="1261"/>
      <c r="AX175" s="1261"/>
      <c r="AY175" s="1261"/>
      <c r="AZ175" s="1261"/>
      <c r="BA175" s="1261"/>
      <c r="BB175" s="1261"/>
      <c r="BC175" s="1261"/>
      <c r="BD175" s="1261"/>
      <c r="BE175" s="1261"/>
      <c r="BF175" s="1261"/>
      <c r="BG175" s="1261"/>
      <c r="BH175" s="1261"/>
      <c r="BI175" s="1261"/>
      <c r="BJ175" s="1261"/>
      <c r="BK175" s="1261"/>
      <c r="BL175" s="1261"/>
      <c r="BM175" s="1261"/>
      <c r="BN175" s="1253"/>
      <c r="BO175" s="886"/>
      <c r="BP175" s="886"/>
    </row>
    <row r="176" spans="1:72" ht="22.5" customHeight="1" x14ac:dyDescent="0.35">
      <c r="A176" s="20"/>
      <c r="B176" s="1280"/>
      <c r="C176" s="1281"/>
      <c r="D176" s="1281"/>
      <c r="E176" s="1281" t="s">
        <v>291</v>
      </c>
      <c r="F176" s="1282"/>
      <c r="G176" s="1282"/>
      <c r="H176" s="1281"/>
      <c r="I176" s="1283"/>
      <c r="J176" s="1280"/>
      <c r="K176" s="1281"/>
      <c r="L176" s="1281"/>
      <c r="M176" s="1281" t="s">
        <v>292</v>
      </c>
      <c r="N176" s="1282"/>
      <c r="O176" s="1282"/>
      <c r="P176" s="1281"/>
      <c r="Q176" s="1283"/>
      <c r="R176" s="1280"/>
      <c r="S176" s="1281"/>
      <c r="T176" s="1281"/>
      <c r="U176" s="1281" t="s">
        <v>293</v>
      </c>
      <c r="V176" s="1282"/>
      <c r="W176" s="1282"/>
      <c r="X176" s="1281"/>
      <c r="Y176" s="1283"/>
      <c r="Z176" s="1280"/>
      <c r="AA176" s="1281"/>
      <c r="AB176" s="1281"/>
      <c r="AC176" s="1281" t="s">
        <v>294</v>
      </c>
      <c r="AD176" s="1282"/>
      <c r="AE176" s="1282"/>
      <c r="AF176" s="1281"/>
      <c r="AG176" s="1283"/>
      <c r="AH176" s="1280"/>
      <c r="AI176" s="1281"/>
      <c r="AJ176" s="1281"/>
      <c r="AK176" s="1281" t="s">
        <v>295</v>
      </c>
      <c r="AL176" s="1282"/>
      <c r="AM176" s="1282"/>
      <c r="AN176" s="1281"/>
      <c r="AO176" s="1283"/>
      <c r="AP176" s="1280"/>
      <c r="AQ176" s="1281"/>
      <c r="AR176" s="1281"/>
      <c r="AS176" s="1281" t="s">
        <v>296</v>
      </c>
      <c r="AT176" s="1282"/>
      <c r="AU176" s="1282"/>
      <c r="AV176" s="1281"/>
      <c r="AW176" s="1283"/>
      <c r="AX176" s="1280"/>
      <c r="AY176" s="1281"/>
      <c r="AZ176" s="1281"/>
      <c r="BA176" s="1281" t="s">
        <v>297</v>
      </c>
      <c r="BB176" s="1282"/>
      <c r="BC176" s="1282"/>
      <c r="BD176" s="1281"/>
      <c r="BE176" s="1283"/>
      <c r="BF176" s="1280"/>
      <c r="BG176" s="1281"/>
      <c r="BH176" s="1281"/>
      <c r="BI176" s="1281" t="s">
        <v>298</v>
      </c>
      <c r="BJ176" s="1282"/>
      <c r="BK176" s="1282"/>
      <c r="BL176" s="1281"/>
      <c r="BM176" s="1281"/>
      <c r="BN176" s="1253"/>
      <c r="BO176" s="886"/>
      <c r="BP176" s="886"/>
    </row>
    <row r="177" spans="1:124" ht="22.5" customHeight="1" x14ac:dyDescent="0.35">
      <c r="A177" s="20"/>
      <c r="B177" s="1287" t="s">
        <v>1001</v>
      </c>
      <c r="C177" s="1287" t="s">
        <v>288</v>
      </c>
      <c r="D177" s="1287" t="s">
        <v>289</v>
      </c>
      <c r="E177" s="1287" t="s">
        <v>1002</v>
      </c>
      <c r="F177" s="1287" t="s">
        <v>1003</v>
      </c>
      <c r="G177" s="1287" t="s">
        <v>1004</v>
      </c>
      <c r="H177" s="1287" t="s">
        <v>1005</v>
      </c>
      <c r="I177" s="1287" t="s">
        <v>290</v>
      </c>
      <c r="J177" s="1287" t="s">
        <v>1001</v>
      </c>
      <c r="K177" s="1287" t="s">
        <v>288</v>
      </c>
      <c r="L177" s="1287" t="s">
        <v>289</v>
      </c>
      <c r="M177" s="1287" t="s">
        <v>1002</v>
      </c>
      <c r="N177" s="1287" t="s">
        <v>1003</v>
      </c>
      <c r="O177" s="1287" t="s">
        <v>1004</v>
      </c>
      <c r="P177" s="1287" t="s">
        <v>1005</v>
      </c>
      <c r="Q177" s="1287" t="s">
        <v>290</v>
      </c>
      <c r="R177" s="1287" t="s">
        <v>1001</v>
      </c>
      <c r="S177" s="1287" t="s">
        <v>288</v>
      </c>
      <c r="T177" s="1287" t="s">
        <v>289</v>
      </c>
      <c r="U177" s="1287" t="s">
        <v>1002</v>
      </c>
      <c r="V177" s="1287" t="s">
        <v>1003</v>
      </c>
      <c r="W177" s="1287" t="s">
        <v>1004</v>
      </c>
      <c r="X177" s="1287" t="s">
        <v>1005</v>
      </c>
      <c r="Y177" s="1287" t="s">
        <v>290</v>
      </c>
      <c r="Z177" s="1287" t="s">
        <v>1001</v>
      </c>
      <c r="AA177" s="1287" t="s">
        <v>288</v>
      </c>
      <c r="AB177" s="1287" t="s">
        <v>289</v>
      </c>
      <c r="AC177" s="1287" t="s">
        <v>1002</v>
      </c>
      <c r="AD177" s="1287" t="s">
        <v>1003</v>
      </c>
      <c r="AE177" s="1287" t="s">
        <v>1004</v>
      </c>
      <c r="AF177" s="1287" t="s">
        <v>1005</v>
      </c>
      <c r="AG177" s="1287" t="s">
        <v>290</v>
      </c>
      <c r="AH177" s="1287" t="s">
        <v>1001</v>
      </c>
      <c r="AI177" s="1287" t="s">
        <v>288</v>
      </c>
      <c r="AJ177" s="1287" t="s">
        <v>289</v>
      </c>
      <c r="AK177" s="1287" t="s">
        <v>1002</v>
      </c>
      <c r="AL177" s="1287" t="s">
        <v>1003</v>
      </c>
      <c r="AM177" s="1287" t="s">
        <v>1004</v>
      </c>
      <c r="AN177" s="1287" t="s">
        <v>1005</v>
      </c>
      <c r="AO177" s="1287" t="s">
        <v>290</v>
      </c>
      <c r="AP177" s="1287" t="s">
        <v>1001</v>
      </c>
      <c r="AQ177" s="1287" t="s">
        <v>288</v>
      </c>
      <c r="AR177" s="1287" t="s">
        <v>289</v>
      </c>
      <c r="AS177" s="1287" t="s">
        <v>1002</v>
      </c>
      <c r="AT177" s="1287" t="s">
        <v>1003</v>
      </c>
      <c r="AU177" s="1287" t="s">
        <v>1004</v>
      </c>
      <c r="AV177" s="1287" t="s">
        <v>1005</v>
      </c>
      <c r="AW177" s="1287" t="s">
        <v>290</v>
      </c>
      <c r="AX177" s="1287" t="s">
        <v>1001</v>
      </c>
      <c r="AY177" s="1287" t="s">
        <v>288</v>
      </c>
      <c r="AZ177" s="1287" t="s">
        <v>289</v>
      </c>
      <c r="BA177" s="1287" t="s">
        <v>1002</v>
      </c>
      <c r="BB177" s="1287" t="s">
        <v>1003</v>
      </c>
      <c r="BC177" s="1287" t="s">
        <v>1004</v>
      </c>
      <c r="BD177" s="1287" t="s">
        <v>1005</v>
      </c>
      <c r="BE177" s="1287" t="s">
        <v>290</v>
      </c>
      <c r="BF177" s="1287" t="s">
        <v>1001</v>
      </c>
      <c r="BG177" s="1287" t="s">
        <v>288</v>
      </c>
      <c r="BH177" s="1287" t="s">
        <v>289</v>
      </c>
      <c r="BI177" s="1287" t="s">
        <v>1002</v>
      </c>
      <c r="BJ177" s="1287" t="s">
        <v>1003</v>
      </c>
      <c r="BK177" s="1287" t="s">
        <v>1004</v>
      </c>
      <c r="BL177" s="1287" t="s">
        <v>1005</v>
      </c>
      <c r="BM177" s="1288" t="s">
        <v>290</v>
      </c>
      <c r="BN177" s="1253"/>
      <c r="BO177" s="886"/>
      <c r="BP177" s="886"/>
    </row>
    <row r="178" spans="1:124" ht="24.75" customHeight="1" x14ac:dyDescent="0.35">
      <c r="A178" s="1224">
        <v>1</v>
      </c>
      <c r="B178" s="1229" t="str">
        <f>K111</f>
        <v>рез</v>
      </c>
      <c r="C178" s="1229">
        <f>K112</f>
        <v>0</v>
      </c>
      <c r="D178" s="1229">
        <f>K113</f>
        <v>0</v>
      </c>
      <c r="E178" s="1229">
        <f>K115</f>
        <v>0</v>
      </c>
      <c r="F178" s="1229">
        <f>K116</f>
        <v>0</v>
      </c>
      <c r="G178" s="1229">
        <f>K117</f>
        <v>0</v>
      </c>
      <c r="H178" s="1229">
        <f>K119</f>
        <v>0</v>
      </c>
      <c r="I178" s="1229">
        <f>K120</f>
        <v>0</v>
      </c>
      <c r="J178" s="1229" t="str">
        <f>L111</f>
        <v>рез</v>
      </c>
      <c r="K178" s="1229">
        <f>L112</f>
        <v>0</v>
      </c>
      <c r="L178" s="1229">
        <f>L113</f>
        <v>0</v>
      </c>
      <c r="M178" s="1229">
        <f>L115</f>
        <v>0</v>
      </c>
      <c r="N178" s="1229">
        <f>L116</f>
        <v>0</v>
      </c>
      <c r="O178" s="1229">
        <f>L117</f>
        <v>0</v>
      </c>
      <c r="P178" s="1229">
        <f>L119</f>
        <v>0</v>
      </c>
      <c r="Q178" s="1229">
        <f>L120</f>
        <v>0</v>
      </c>
      <c r="R178" s="1229" t="str">
        <f>M111</f>
        <v>рез</v>
      </c>
      <c r="S178" s="1229">
        <f>M112</f>
        <v>0</v>
      </c>
      <c r="T178" s="1229">
        <f>M113</f>
        <v>0</v>
      </c>
      <c r="U178" s="1229">
        <f>M115</f>
        <v>0</v>
      </c>
      <c r="V178" s="1229">
        <f>M116</f>
        <v>0</v>
      </c>
      <c r="W178" s="1229">
        <f>M117</f>
        <v>0</v>
      </c>
      <c r="X178" s="1229">
        <f>M119</f>
        <v>0</v>
      </c>
      <c r="Y178" s="1229">
        <f>M120</f>
        <v>0</v>
      </c>
      <c r="Z178" s="1229">
        <f>N111</f>
        <v>146</v>
      </c>
      <c r="AA178" s="1229">
        <f>N112</f>
        <v>0</v>
      </c>
      <c r="AB178" s="1229">
        <f>N113</f>
        <v>0</v>
      </c>
      <c r="AC178" s="1229">
        <f>N115</f>
        <v>435</v>
      </c>
      <c r="AD178" s="1229">
        <f>N116</f>
        <v>9.4</v>
      </c>
      <c r="AE178" s="1229">
        <f>N117</f>
        <v>178</v>
      </c>
      <c r="AF178" s="1229">
        <f>N119</f>
        <v>540</v>
      </c>
      <c r="AG178" s="1229">
        <f>N120</f>
        <v>0</v>
      </c>
      <c r="AH178" s="1229">
        <f>O111</f>
        <v>160</v>
      </c>
      <c r="AI178" s="1229">
        <f>O112</f>
        <v>0</v>
      </c>
      <c r="AJ178" s="1229">
        <f>O113</f>
        <v>0</v>
      </c>
      <c r="AK178" s="1229">
        <f>O115</f>
        <v>479</v>
      </c>
      <c r="AL178" s="1229">
        <f>O116</f>
        <v>9.4</v>
      </c>
      <c r="AM178" s="1229">
        <f>O117</f>
        <v>169</v>
      </c>
      <c r="AN178" s="1229">
        <f>O119</f>
        <v>540</v>
      </c>
      <c r="AO178" s="1229">
        <f>O120</f>
        <v>0</v>
      </c>
      <c r="AP178" s="1262">
        <f>P111</f>
        <v>148</v>
      </c>
      <c r="AQ178" s="1262">
        <f>P112</f>
        <v>0</v>
      </c>
      <c r="AR178" s="1262">
        <f>P113</f>
        <v>0</v>
      </c>
      <c r="AS178" s="1262">
        <f>P115</f>
        <v>423</v>
      </c>
      <c r="AT178" s="1262">
        <f>P116</f>
        <v>9.1999999999999993</v>
      </c>
      <c r="AU178" s="1262">
        <f>P117</f>
        <v>140</v>
      </c>
      <c r="AV178" s="1262">
        <f>P119</f>
        <v>540</v>
      </c>
      <c r="AW178" s="1262">
        <f>P120</f>
        <v>0</v>
      </c>
      <c r="AX178" s="1229">
        <f>Q111</f>
        <v>163</v>
      </c>
      <c r="AY178" s="1229">
        <f>Q112</f>
        <v>0</v>
      </c>
      <c r="AZ178" s="1229">
        <f>Q113</f>
        <v>0</v>
      </c>
      <c r="BA178" s="1229">
        <f>Q115</f>
        <v>446</v>
      </c>
      <c r="BB178" s="1229">
        <f>Q116</f>
        <v>9.4</v>
      </c>
      <c r="BC178" s="1229">
        <f>Q117</f>
        <v>173</v>
      </c>
      <c r="BD178" s="1229">
        <f>Q119</f>
        <v>540</v>
      </c>
      <c r="BE178" s="1229">
        <f>Q120</f>
        <v>0</v>
      </c>
      <c r="BF178" s="1229" t="str">
        <f>R111</f>
        <v>рез</v>
      </c>
      <c r="BG178" s="1229">
        <f>R112</f>
        <v>0</v>
      </c>
      <c r="BH178" s="1229">
        <f>R113</f>
        <v>0</v>
      </c>
      <c r="BI178" s="1229">
        <f>R115</f>
        <v>0</v>
      </c>
      <c r="BJ178" s="1229">
        <f>R116</f>
        <v>0</v>
      </c>
      <c r="BK178" s="1229">
        <f>R117</f>
        <v>0</v>
      </c>
      <c r="BL178" s="1229">
        <f>R119</f>
        <v>0</v>
      </c>
      <c r="BM178" s="1229">
        <f>R120</f>
        <v>0</v>
      </c>
      <c r="BN178" s="1253"/>
      <c r="BO178" s="886"/>
      <c r="BP178" s="886"/>
    </row>
    <row r="179" spans="1:124" ht="24.75" customHeight="1" x14ac:dyDescent="0.35">
      <c r="A179" s="1255">
        <v>2</v>
      </c>
      <c r="B179" s="1256" t="str">
        <f>AS111</f>
        <v>рез</v>
      </c>
      <c r="C179" s="1256">
        <f>AS112</f>
        <v>0</v>
      </c>
      <c r="D179" s="1256">
        <f>AS113</f>
        <v>0</v>
      </c>
      <c r="E179" s="1256">
        <f>AS115</f>
        <v>0</v>
      </c>
      <c r="F179" s="1256">
        <f>AS116</f>
        <v>0</v>
      </c>
      <c r="G179" s="1256">
        <f>AS117</f>
        <v>0</v>
      </c>
      <c r="H179" s="1256">
        <f>AS119</f>
        <v>0</v>
      </c>
      <c r="I179" s="1256">
        <f>AS120</f>
        <v>0</v>
      </c>
      <c r="J179" s="1256" t="str">
        <f>AT111</f>
        <v>рем</v>
      </c>
      <c r="K179" s="1256">
        <f>AT112</f>
        <v>0</v>
      </c>
      <c r="L179" s="1256">
        <f>AT113</f>
        <v>0</v>
      </c>
      <c r="M179" s="1256">
        <f>AT115</f>
        <v>0</v>
      </c>
      <c r="N179" s="1256">
        <f>AT116</f>
        <v>0</v>
      </c>
      <c r="O179" s="1256">
        <f>AT117</f>
        <v>0</v>
      </c>
      <c r="P179" s="1256">
        <f>AT119</f>
        <v>0</v>
      </c>
      <c r="Q179" s="1256">
        <f>AT120</f>
        <v>0</v>
      </c>
      <c r="R179" s="1256" t="str">
        <f>AU111</f>
        <v>рем</v>
      </c>
      <c r="S179" s="1256">
        <f>AU112</f>
        <v>0</v>
      </c>
      <c r="T179" s="1256">
        <f>AU113</f>
        <v>0</v>
      </c>
      <c r="U179" s="1256">
        <f>AU115</f>
        <v>0</v>
      </c>
      <c r="V179" s="1256">
        <f>AU116</f>
        <v>0</v>
      </c>
      <c r="W179" s="1256">
        <f>AU117</f>
        <v>0</v>
      </c>
      <c r="X179" s="1256">
        <f>AU119</f>
        <v>0</v>
      </c>
      <c r="Y179" s="1256">
        <f>AU120</f>
        <v>0</v>
      </c>
      <c r="Z179" s="1256">
        <f>AV111</f>
        <v>156</v>
      </c>
      <c r="AA179" s="1256">
        <f>AV112</f>
        <v>91</v>
      </c>
      <c r="AB179" s="1256">
        <f>AV113</f>
        <v>-1</v>
      </c>
      <c r="AC179" s="1256">
        <f>AV115</f>
        <v>441</v>
      </c>
      <c r="AD179" s="1256">
        <f>AV116</f>
        <v>0</v>
      </c>
      <c r="AE179" s="1256">
        <f>AV117</f>
        <v>181</v>
      </c>
      <c r="AF179" s="1256">
        <f>AV119</f>
        <v>540</v>
      </c>
      <c r="AG179" s="1256">
        <f>AV120</f>
        <v>-2</v>
      </c>
      <c r="AH179" s="1256">
        <f>AW111</f>
        <v>149</v>
      </c>
      <c r="AI179" s="1256">
        <f>AW112</f>
        <v>109</v>
      </c>
      <c r="AJ179" s="1256">
        <f>AW113</f>
        <v>-1</v>
      </c>
      <c r="AK179" s="1256">
        <f>AW115</f>
        <v>499</v>
      </c>
      <c r="AL179" s="1256">
        <f>AW116</f>
        <v>0</v>
      </c>
      <c r="AM179" s="1256">
        <f>AW117</f>
        <v>173</v>
      </c>
      <c r="AN179" s="1256">
        <f>AW119</f>
        <v>540</v>
      </c>
      <c r="AO179" s="1256">
        <f>AW120</f>
        <v>-5</v>
      </c>
      <c r="AP179" s="1263">
        <f>AX111</f>
        <v>151</v>
      </c>
      <c r="AQ179" s="1263">
        <f>AX112</f>
        <v>94</v>
      </c>
      <c r="AR179" s="1263">
        <f>AX113</f>
        <v>-1</v>
      </c>
      <c r="AS179" s="1263">
        <f>AX115</f>
        <v>425</v>
      </c>
      <c r="AT179" s="1263">
        <f>AX116</f>
        <v>0</v>
      </c>
      <c r="AU179" s="1263">
        <f>AX117</f>
        <v>140</v>
      </c>
      <c r="AV179" s="1263">
        <f>AX119</f>
        <v>540</v>
      </c>
      <c r="AW179" s="1263">
        <f>AX120</f>
        <v>-2</v>
      </c>
      <c r="AX179" s="1256">
        <f>AY111</f>
        <v>154</v>
      </c>
      <c r="AY179" s="1256">
        <f>AY112</f>
        <v>105</v>
      </c>
      <c r="AZ179" s="1256">
        <f>AY113</f>
        <v>-1</v>
      </c>
      <c r="BA179" s="1256">
        <f>AY115</f>
        <v>433</v>
      </c>
      <c r="BB179" s="1256">
        <f>AY116</f>
        <v>0</v>
      </c>
      <c r="BC179" s="1256">
        <f>AY117</f>
        <v>170</v>
      </c>
      <c r="BD179" s="1256">
        <f>AY119</f>
        <v>540</v>
      </c>
      <c r="BE179" s="1256">
        <f>AY120</f>
        <v>-10</v>
      </c>
      <c r="BF179" s="1256">
        <f>AZ111</f>
        <v>161</v>
      </c>
      <c r="BG179" s="1256">
        <f>AZ112</f>
        <v>91</v>
      </c>
      <c r="BH179" s="1256">
        <f>AZ113</f>
        <v>-1</v>
      </c>
      <c r="BI179" s="1256">
        <f>AZ115</f>
        <v>439</v>
      </c>
      <c r="BJ179" s="1256">
        <f>AZ116</f>
        <v>0</v>
      </c>
      <c r="BK179" s="1256">
        <f>AZ117</f>
        <v>140</v>
      </c>
      <c r="BL179" s="1256">
        <f>AZ119</f>
        <v>540</v>
      </c>
      <c r="BM179" s="1256">
        <f>AZ120</f>
        <v>-2</v>
      </c>
      <c r="BN179" s="1253"/>
      <c r="BO179" s="886"/>
      <c r="BP179" s="886"/>
    </row>
    <row r="180" spans="1:124" ht="24.75" customHeight="1" x14ac:dyDescent="0.35">
      <c r="A180" s="1272"/>
      <c r="B180" s="1232"/>
      <c r="C180" s="1232"/>
      <c r="D180" s="1232"/>
      <c r="E180" s="1232"/>
      <c r="F180" s="1232"/>
      <c r="G180" s="1232"/>
      <c r="H180" s="1232"/>
      <c r="I180" s="1232"/>
      <c r="J180" s="1232"/>
      <c r="K180" s="1232"/>
      <c r="L180" s="1232"/>
      <c r="M180" s="1232"/>
      <c r="N180" s="1232"/>
      <c r="O180" s="1232"/>
      <c r="P180" s="1232"/>
      <c r="Q180" s="1232"/>
      <c r="R180" s="1232"/>
      <c r="S180" s="1232"/>
      <c r="T180" s="1232"/>
      <c r="U180" s="1232"/>
      <c r="V180" s="1232"/>
      <c r="W180" s="1232"/>
      <c r="X180" s="1232"/>
      <c r="Y180" s="1232"/>
      <c r="Z180" s="1232"/>
      <c r="AA180" s="1232"/>
      <c r="AB180" s="1232"/>
      <c r="AC180" s="1232"/>
      <c r="AD180" s="1232"/>
      <c r="AE180" s="1232"/>
      <c r="AF180" s="1232"/>
      <c r="AG180" s="1232"/>
      <c r="AH180" s="1232"/>
      <c r="AI180" s="1232"/>
      <c r="AJ180" s="1232"/>
      <c r="AK180" s="1232"/>
      <c r="AL180" s="1232"/>
      <c r="AM180" s="1232"/>
      <c r="AN180" s="1232"/>
      <c r="AO180" s="1232"/>
      <c r="AP180" s="1264"/>
      <c r="AQ180" s="1264"/>
      <c r="AR180" s="1264"/>
      <c r="AS180" s="1264"/>
      <c r="AT180" s="1264"/>
      <c r="AU180" s="1264"/>
      <c r="AV180" s="1264"/>
      <c r="AW180" s="1264"/>
      <c r="AX180" s="1232"/>
      <c r="AY180" s="1232"/>
      <c r="AZ180" s="1232"/>
      <c r="BA180" s="1232"/>
      <c r="BB180" s="1232"/>
      <c r="BC180" s="1232"/>
      <c r="BD180" s="1232"/>
      <c r="BE180" s="1232"/>
      <c r="BF180" s="1232"/>
      <c r="BG180" s="1232"/>
      <c r="BH180" s="1232"/>
      <c r="BI180" s="1232"/>
      <c r="BJ180" s="1232"/>
      <c r="BK180" s="1232"/>
      <c r="BL180" s="1232"/>
      <c r="BM180" s="1232"/>
      <c r="BN180" s="1253"/>
      <c r="BO180" s="886"/>
      <c r="BP180" s="886"/>
    </row>
    <row r="181" spans="1:124" ht="24.75" customHeight="1" x14ac:dyDescent="0.35">
      <c r="A181" s="20"/>
      <c r="B181" s="1261"/>
      <c r="C181" s="1261"/>
      <c r="D181" s="1261"/>
      <c r="E181" s="1261"/>
      <c r="F181" s="1261"/>
      <c r="G181" s="1261"/>
      <c r="H181" s="1261"/>
      <c r="I181" s="1261"/>
      <c r="J181" s="1261"/>
      <c r="K181" s="1261"/>
      <c r="L181" s="1261"/>
      <c r="M181" s="1261"/>
      <c r="N181" s="1261"/>
      <c r="O181" s="1261"/>
      <c r="P181" s="1261"/>
      <c r="Q181" s="1261"/>
      <c r="R181" s="1261"/>
      <c r="S181" s="1261"/>
      <c r="T181" s="1261"/>
      <c r="U181" s="1261"/>
      <c r="V181" s="1261"/>
      <c r="W181" s="1261"/>
      <c r="X181" s="1261"/>
      <c r="Y181" s="1261"/>
      <c r="Z181" s="1261"/>
      <c r="AA181" s="1261"/>
      <c r="AB181" s="1261"/>
      <c r="AC181" s="1261"/>
      <c r="AD181" s="1261"/>
      <c r="AE181" s="1261"/>
      <c r="AF181" s="1261"/>
      <c r="AG181" s="1261"/>
      <c r="AH181" s="1261"/>
      <c r="AI181" s="1261"/>
      <c r="AJ181" s="1261"/>
      <c r="AK181" s="1261"/>
      <c r="AL181" s="1261"/>
      <c r="AM181" s="1261"/>
      <c r="AN181" s="1261"/>
      <c r="AO181" s="1261"/>
      <c r="AP181" s="1261"/>
      <c r="AQ181" s="1261"/>
      <c r="AR181" s="1261"/>
      <c r="AS181" s="1261"/>
      <c r="AT181" s="1261"/>
      <c r="AU181" s="1261"/>
      <c r="AV181" s="1261"/>
      <c r="AW181" s="1261"/>
      <c r="AX181" s="1261"/>
      <c r="AY181" s="1261"/>
      <c r="AZ181" s="1261"/>
      <c r="BA181" s="1261"/>
      <c r="BB181" s="1261"/>
      <c r="BC181" s="1261"/>
      <c r="BD181" s="1261"/>
      <c r="BE181" s="1261"/>
      <c r="BF181" s="1261"/>
      <c r="BG181" s="1261"/>
      <c r="BH181" s="1261"/>
      <c r="BI181" s="1261"/>
      <c r="BJ181" s="1261"/>
      <c r="BK181" s="1261"/>
      <c r="BL181" s="1261"/>
      <c r="BM181" s="1261"/>
      <c r="BN181" s="1253"/>
      <c r="BO181" s="886"/>
      <c r="BP181" s="886"/>
    </row>
    <row r="182" spans="1:124" ht="24.75" customHeight="1" x14ac:dyDescent="0.35">
      <c r="A182" s="20"/>
      <c r="B182" s="1279"/>
      <c r="C182" s="1279" t="s">
        <v>299</v>
      </c>
      <c r="D182" s="1279"/>
      <c r="E182" s="1279"/>
      <c r="F182" s="1279"/>
      <c r="G182" s="1279" t="s">
        <v>300</v>
      </c>
      <c r="H182" s="1279"/>
      <c r="I182" s="1279"/>
      <c r="J182" s="1279" t="s">
        <v>301</v>
      </c>
      <c r="K182" s="1279"/>
      <c r="L182" s="1279"/>
      <c r="M182" s="1279" t="s">
        <v>302</v>
      </c>
      <c r="N182" s="1279"/>
      <c r="O182" s="1279"/>
      <c r="P182" s="1279" t="s">
        <v>303</v>
      </c>
      <c r="Q182" s="1279"/>
      <c r="R182" s="1279"/>
      <c r="S182" s="1279" t="s">
        <v>304</v>
      </c>
      <c r="T182" s="1279"/>
      <c r="U182" s="1279"/>
      <c r="V182" s="1279" t="s">
        <v>305</v>
      </c>
      <c r="W182" s="1279"/>
      <c r="X182" s="1279"/>
      <c r="Y182" s="1279" t="s">
        <v>306</v>
      </c>
      <c r="Z182" s="1279"/>
      <c r="AA182" s="1279"/>
      <c r="AB182" s="1279" t="s">
        <v>307</v>
      </c>
      <c r="AC182" s="1279"/>
      <c r="AD182" s="1265"/>
      <c r="AE182" s="1266"/>
      <c r="AF182" s="116"/>
      <c r="AG182" s="116"/>
      <c r="AH182" s="116"/>
      <c r="AI182" s="116"/>
      <c r="AJ182" s="116"/>
      <c r="AK182" s="116"/>
      <c r="AL182" s="1266"/>
      <c r="AM182" s="1266"/>
      <c r="AN182" s="116"/>
      <c r="AO182" s="116"/>
      <c r="AP182" s="116"/>
      <c r="AQ182" s="116"/>
      <c r="AR182" s="116"/>
      <c r="AS182" s="116"/>
      <c r="AT182" s="116"/>
      <c r="AU182" s="116"/>
      <c r="AV182" s="116"/>
      <c r="AW182" s="116"/>
      <c r="AX182" s="116"/>
      <c r="AY182" s="116"/>
      <c r="AZ182" s="116"/>
      <c r="BA182" s="116"/>
      <c r="BB182" s="1266"/>
      <c r="BC182" s="1266"/>
      <c r="BD182" s="116"/>
      <c r="BE182" s="116"/>
      <c r="BF182" s="116"/>
      <c r="BG182" s="116"/>
      <c r="BH182" s="116"/>
      <c r="BI182" s="116"/>
      <c r="BJ182" s="1266"/>
      <c r="BK182" s="1266"/>
      <c r="BL182" s="116"/>
      <c r="BM182" s="116"/>
      <c r="BN182" s="1253"/>
      <c r="BO182" s="886"/>
      <c r="BP182" s="886"/>
    </row>
    <row r="183" spans="1:124" ht="24.75" customHeight="1" x14ac:dyDescent="0.35">
      <c r="A183" s="20"/>
      <c r="B183" s="1275" t="s">
        <v>1292</v>
      </c>
      <c r="C183" s="1275" t="s">
        <v>1293</v>
      </c>
      <c r="D183" s="1275" t="s">
        <v>68</v>
      </c>
      <c r="E183" s="1275" t="s">
        <v>245</v>
      </c>
      <c r="F183" s="1275" t="s">
        <v>66</v>
      </c>
      <c r="G183" s="1275" t="s">
        <v>41</v>
      </c>
      <c r="H183" s="1275" t="s">
        <v>308</v>
      </c>
      <c r="I183" s="1275" t="s">
        <v>66</v>
      </c>
      <c r="J183" s="1275" t="s">
        <v>41</v>
      </c>
      <c r="K183" s="1275" t="s">
        <v>308</v>
      </c>
      <c r="L183" s="1275" t="s">
        <v>66</v>
      </c>
      <c r="M183" s="1275" t="s">
        <v>41</v>
      </c>
      <c r="N183" s="1275" t="s">
        <v>308</v>
      </c>
      <c r="O183" s="1275" t="s">
        <v>66</v>
      </c>
      <c r="P183" s="1275" t="s">
        <v>41</v>
      </c>
      <c r="Q183" s="1275" t="s">
        <v>308</v>
      </c>
      <c r="R183" s="1275" t="s">
        <v>66</v>
      </c>
      <c r="S183" s="1275" t="s">
        <v>41</v>
      </c>
      <c r="T183" s="1275" t="s">
        <v>308</v>
      </c>
      <c r="U183" s="1275" t="s">
        <v>66</v>
      </c>
      <c r="V183" s="1275" t="s">
        <v>41</v>
      </c>
      <c r="W183" s="1275" t="s">
        <v>308</v>
      </c>
      <c r="X183" s="1275" t="s">
        <v>66</v>
      </c>
      <c r="Y183" s="1275" t="s">
        <v>41</v>
      </c>
      <c r="Z183" s="1275" t="s">
        <v>308</v>
      </c>
      <c r="AA183" s="1275" t="s">
        <v>66</v>
      </c>
      <c r="AB183" s="1275" t="s">
        <v>41</v>
      </c>
      <c r="AC183" s="1275" t="s">
        <v>308</v>
      </c>
      <c r="AD183" s="673"/>
      <c r="AE183" s="852"/>
      <c r="AF183" s="852"/>
      <c r="AG183" s="852"/>
      <c r="AH183" s="852"/>
      <c r="AI183" s="852"/>
      <c r="AJ183" s="852"/>
      <c r="AK183" s="852"/>
      <c r="AL183" s="852"/>
      <c r="AM183" s="852"/>
      <c r="AN183" s="852"/>
      <c r="AO183" s="852"/>
      <c r="AP183" s="852"/>
      <c r="AQ183" s="852"/>
      <c r="AR183" s="852"/>
      <c r="AS183" s="852"/>
      <c r="AT183" s="852"/>
      <c r="AU183" s="852"/>
      <c r="AV183" s="852"/>
      <c r="AW183" s="852"/>
      <c r="AX183" s="852"/>
      <c r="AY183" s="852"/>
      <c r="AZ183" s="852"/>
      <c r="BA183" s="852"/>
      <c r="BB183" s="852"/>
      <c r="BC183" s="852"/>
      <c r="BD183" s="852"/>
      <c r="BE183" s="852"/>
      <c r="BF183" s="852"/>
      <c r="BG183" s="852"/>
      <c r="BH183" s="852"/>
      <c r="BI183" s="852"/>
      <c r="BJ183" s="852"/>
      <c r="BK183" s="852"/>
      <c r="BL183" s="852"/>
      <c r="BM183" s="852"/>
      <c r="BN183" s="1253"/>
      <c r="BO183" s="886"/>
      <c r="BP183" s="886"/>
    </row>
    <row r="184" spans="1:124" ht="24.75" customHeight="1" x14ac:dyDescent="0.35">
      <c r="A184" s="1224">
        <v>1</v>
      </c>
      <c r="B184" s="1229">
        <f>V111</f>
        <v>31</v>
      </c>
      <c r="C184" s="1229">
        <f>V112</f>
        <v>249</v>
      </c>
      <c r="D184" s="1229">
        <f>V113</f>
        <v>3</v>
      </c>
      <c r="E184" s="1229">
        <f>V114</f>
        <v>36</v>
      </c>
      <c r="F184" s="1229">
        <f>Y111</f>
        <v>25</v>
      </c>
      <c r="G184" s="1229">
        <f>Y112</f>
        <v>-0.5</v>
      </c>
      <c r="H184" s="1229">
        <f>Y113</f>
        <v>180</v>
      </c>
      <c r="I184" s="1229">
        <f>Z111</f>
        <v>26</v>
      </c>
      <c r="J184" s="1229">
        <f>Z112</f>
        <v>-0.5</v>
      </c>
      <c r="K184" s="1229">
        <f>Z113</f>
        <v>179</v>
      </c>
      <c r="L184" s="1229">
        <f>AA111</f>
        <v>25</v>
      </c>
      <c r="M184" s="1229">
        <f>AA112</f>
        <v>-0.5</v>
      </c>
      <c r="N184" s="1229">
        <f>AA113</f>
        <v>180</v>
      </c>
      <c r="O184" s="1229">
        <f>AB111</f>
        <v>26</v>
      </c>
      <c r="P184" s="1229">
        <f>AB112</f>
        <v>-0.5</v>
      </c>
      <c r="Q184" s="1229">
        <f>AB113</f>
        <v>179</v>
      </c>
      <c r="R184" s="1229">
        <f>AC111</f>
        <v>26</v>
      </c>
      <c r="S184" s="1229">
        <f>AC112</f>
        <v>-0.5</v>
      </c>
      <c r="T184" s="1229">
        <f>AC113</f>
        <v>178</v>
      </c>
      <c r="U184" s="1229" t="str">
        <f>AD111</f>
        <v>рез</v>
      </c>
      <c r="V184" s="1229">
        <f>AD112</f>
        <v>0</v>
      </c>
      <c r="W184" s="1229">
        <f>AD113</f>
        <v>0</v>
      </c>
      <c r="X184" s="1229">
        <f>AE111</f>
        <v>26</v>
      </c>
      <c r="Y184" s="1229">
        <f>AE112</f>
        <v>-0.5</v>
      </c>
      <c r="Z184" s="1229">
        <f>AE113</f>
        <v>180</v>
      </c>
      <c r="AA184" s="1229" t="str">
        <f>AF111</f>
        <v>рез</v>
      </c>
      <c r="AB184" s="1229">
        <f>AF112</f>
        <v>0</v>
      </c>
      <c r="AC184" s="1229">
        <f>AF113</f>
        <v>0</v>
      </c>
      <c r="AD184" s="1267"/>
      <c r="AE184" s="116"/>
      <c r="AF184" s="116"/>
      <c r="AG184" s="116"/>
      <c r="AH184" s="116"/>
      <c r="AI184" s="116"/>
      <c r="AJ184" s="116"/>
      <c r="AK184" s="116"/>
      <c r="AL184" s="116"/>
      <c r="AM184" s="116"/>
      <c r="AN184" s="116"/>
      <c r="AO184" s="116"/>
      <c r="AP184" s="852"/>
      <c r="AQ184" s="852"/>
      <c r="AR184" s="852"/>
      <c r="AS184" s="852"/>
      <c r="AT184" s="852"/>
      <c r="AU184" s="852"/>
      <c r="AV184" s="852"/>
      <c r="AW184" s="852"/>
      <c r="AX184" s="116"/>
      <c r="AY184" s="116"/>
      <c r="AZ184" s="116"/>
      <c r="BA184" s="116"/>
      <c r="BB184" s="116"/>
      <c r="BC184" s="116"/>
      <c r="BD184" s="116"/>
      <c r="BE184" s="116"/>
      <c r="BF184" s="116"/>
      <c r="BG184" s="116"/>
      <c r="BH184" s="116"/>
      <c r="BI184" s="116"/>
      <c r="BJ184" s="116"/>
      <c r="BK184" s="116"/>
      <c r="BL184" s="116"/>
      <c r="BM184" s="116"/>
      <c r="BN184" s="1253"/>
      <c r="BO184" s="886"/>
      <c r="BP184" s="886"/>
    </row>
    <row r="185" spans="1:124" ht="24.75" customHeight="1" x14ac:dyDescent="0.35">
      <c r="A185" s="1255">
        <v>2</v>
      </c>
      <c r="B185" s="1229">
        <f>BD111</f>
        <v>31</v>
      </c>
      <c r="C185" s="1229">
        <f>BD112</f>
        <v>248</v>
      </c>
      <c r="D185" s="1229">
        <f>BD113</f>
        <v>3.3</v>
      </c>
      <c r="E185" s="1229">
        <f>BD114</f>
        <v>35</v>
      </c>
      <c r="F185" s="1229">
        <f>BG111</f>
        <v>22</v>
      </c>
      <c r="G185" s="1229">
        <f>BG112</f>
        <v>-1</v>
      </c>
      <c r="H185" s="1229">
        <f>BG113</f>
        <v>172</v>
      </c>
      <c r="I185" s="1229">
        <f>BH111</f>
        <v>22</v>
      </c>
      <c r="J185" s="1229">
        <f>BH112</f>
        <v>-1</v>
      </c>
      <c r="K185" s="1229">
        <f>BH113</f>
        <v>171</v>
      </c>
      <c r="L185" s="1229">
        <f>BI111</f>
        <v>22</v>
      </c>
      <c r="M185" s="1229">
        <f>BI112</f>
        <v>-1</v>
      </c>
      <c r="N185" s="1229">
        <f>BI113</f>
        <v>179</v>
      </c>
      <c r="O185" s="1229">
        <f>BJ111</f>
        <v>21</v>
      </c>
      <c r="P185" s="1229">
        <f>BJ112</f>
        <v>-1</v>
      </c>
      <c r="Q185" s="1229">
        <f>BJ113</f>
        <v>176</v>
      </c>
      <c r="R185" s="1229">
        <f>BK111</f>
        <v>24</v>
      </c>
      <c r="S185" s="1229">
        <f>BK112</f>
        <v>-1</v>
      </c>
      <c r="T185" s="1229">
        <f>BK113</f>
        <v>170</v>
      </c>
      <c r="U185" s="1229" t="str">
        <f>BL111</f>
        <v>рез</v>
      </c>
      <c r="V185" s="1229">
        <f>BL112</f>
        <v>0</v>
      </c>
      <c r="W185" s="1229">
        <f>BL113</f>
        <v>0</v>
      </c>
      <c r="X185" s="1229">
        <f>BM111</f>
        <v>24</v>
      </c>
      <c r="Y185" s="1229">
        <f>BM112</f>
        <v>-1</v>
      </c>
      <c r="Z185" s="1229">
        <f>BM113</f>
        <v>175</v>
      </c>
      <c r="AA185" s="1229" t="str">
        <f>BN111</f>
        <v>рез</v>
      </c>
      <c r="AB185" s="1229">
        <f>BN112</f>
        <v>0</v>
      </c>
      <c r="AC185" s="1229">
        <f>BN113</f>
        <v>0</v>
      </c>
      <c r="AD185" s="1267"/>
      <c r="AE185" s="116"/>
      <c r="AF185" s="116"/>
      <c r="AG185" s="116"/>
      <c r="AH185" s="116"/>
      <c r="AI185" s="116"/>
      <c r="AJ185" s="116"/>
      <c r="AK185" s="116"/>
      <c r="AL185" s="116"/>
      <c r="AM185" s="116"/>
      <c r="AN185" s="116"/>
      <c r="AO185" s="116"/>
      <c r="AP185" s="852"/>
      <c r="AQ185" s="852"/>
      <c r="AR185" s="852"/>
      <c r="AS185" s="852"/>
      <c r="AT185" s="852"/>
      <c r="AU185" s="852"/>
      <c r="AV185" s="852"/>
      <c r="AW185" s="852"/>
      <c r="AX185" s="116"/>
      <c r="AY185" s="116"/>
      <c r="AZ185" s="116"/>
      <c r="BA185" s="116"/>
      <c r="BB185" s="116"/>
      <c r="BC185" s="116"/>
      <c r="BD185" s="116"/>
      <c r="BE185" s="116"/>
      <c r="BF185" s="116"/>
      <c r="BG185" s="116"/>
      <c r="BH185" s="116"/>
      <c r="BI185" s="116"/>
      <c r="BJ185" s="116"/>
      <c r="BK185" s="116"/>
      <c r="BL185" s="116"/>
      <c r="BM185" s="116"/>
      <c r="BN185" s="1253"/>
      <c r="BO185" s="886"/>
      <c r="BP185" s="886"/>
    </row>
    <row r="186" spans="1:124" ht="24.75" customHeight="1" x14ac:dyDescent="0.35"/>
    <row r="187" spans="1:124" ht="24.75" customHeight="1" x14ac:dyDescent="0.25">
      <c r="B187" s="1321" t="s">
        <v>19</v>
      </c>
      <c r="C187" s="1671" t="s">
        <v>1307</v>
      </c>
      <c r="D187" s="1668"/>
      <c r="E187" s="1587" t="s">
        <v>182</v>
      </c>
      <c r="F187" s="1587" t="s">
        <v>779</v>
      </c>
      <c r="G187" s="1667" t="s">
        <v>1672</v>
      </c>
      <c r="H187" s="1671"/>
      <c r="I187" s="1671"/>
      <c r="J187" s="1668"/>
      <c r="K187" s="1667" t="s">
        <v>158</v>
      </c>
      <c r="L187" s="1671"/>
      <c r="M187" s="1671"/>
      <c r="N187" s="1668"/>
      <c r="O187" s="1667" t="s">
        <v>1673</v>
      </c>
      <c r="P187" s="1671"/>
      <c r="Q187" s="1671"/>
      <c r="R187" s="1668"/>
      <c r="S187" s="1667" t="s">
        <v>1674</v>
      </c>
      <c r="T187" s="1671"/>
      <c r="U187" s="1671"/>
      <c r="V187" s="1671"/>
      <c r="W187" s="1668"/>
      <c r="X187" s="1667" t="s">
        <v>1675</v>
      </c>
      <c r="Y187" s="1671"/>
      <c r="Z187" s="1671"/>
      <c r="AA187" s="1671"/>
      <c r="AB187" s="1668"/>
      <c r="AC187" s="1667" t="s">
        <v>1676</v>
      </c>
      <c r="AD187" s="1671"/>
      <c r="AE187" s="1671"/>
      <c r="AF187" s="1671"/>
      <c r="AG187" s="1668"/>
      <c r="AH187" s="1667" t="s">
        <v>1677</v>
      </c>
      <c r="AI187" s="1671"/>
      <c r="AJ187" s="1671"/>
      <c r="AK187" s="1671"/>
      <c r="AL187" s="1671"/>
      <c r="AM187" s="1668"/>
      <c r="AN187" s="1667" t="s">
        <v>1678</v>
      </c>
      <c r="AO187" s="1671"/>
      <c r="AP187" s="1671"/>
      <c r="AQ187" s="1671"/>
      <c r="AR187" s="1671"/>
      <c r="AS187" s="1668"/>
      <c r="AT187" s="1667" t="s">
        <v>1679</v>
      </c>
      <c r="AU187" s="1671"/>
      <c r="AV187" s="1671"/>
      <c r="AW187" s="1671"/>
      <c r="AX187" s="1671"/>
      <c r="AY187" s="1668"/>
      <c r="AZ187" s="1667" t="s">
        <v>23</v>
      </c>
      <c r="BA187" s="1671"/>
      <c r="BB187" s="1671"/>
      <c r="BC187" s="1671"/>
      <c r="BD187" s="1668"/>
      <c r="BE187" s="1669" t="s">
        <v>185</v>
      </c>
      <c r="BF187" s="1669"/>
      <c r="BG187" s="1669"/>
      <c r="BH187" s="1669" t="s">
        <v>1680</v>
      </c>
      <c r="BI187" s="1669"/>
      <c r="BJ187" s="1669"/>
      <c r="BK187" s="1667" t="s">
        <v>1620</v>
      </c>
      <c r="BL187" s="1671"/>
      <c r="BM187" s="1668"/>
      <c r="BN187" s="1667" t="s">
        <v>1621</v>
      </c>
      <c r="BO187" s="1671"/>
      <c r="BP187" s="1668"/>
      <c r="BQ187" s="1667" t="s">
        <v>34</v>
      </c>
      <c r="BR187" s="1668"/>
      <c r="BS187" s="1667" t="s">
        <v>127</v>
      </c>
      <c r="BT187" s="1671"/>
      <c r="BU187" s="1671"/>
      <c r="BV187" s="1668"/>
      <c r="BW187" s="1669" t="s">
        <v>1681</v>
      </c>
      <c r="BX187" s="1669"/>
      <c r="BY187" s="1669"/>
      <c r="BZ187" s="1666"/>
      <c r="CA187" s="1666"/>
      <c r="CB187" s="1666"/>
      <c r="CC187" s="1666"/>
      <c r="CD187" s="1666"/>
      <c r="CE187" s="1666"/>
      <c r="CF187" s="1666"/>
      <c r="CG187" s="1666"/>
      <c r="CH187" s="1666"/>
      <c r="CI187" s="1666"/>
      <c r="CJ187" s="1666"/>
      <c r="CK187" s="1666"/>
      <c r="CL187" s="1666"/>
      <c r="CM187" s="1666"/>
      <c r="CN187" s="1667" t="s">
        <v>1682</v>
      </c>
      <c r="CO187" s="1668"/>
      <c r="CP187" s="1669" t="s">
        <v>1683</v>
      </c>
      <c r="CQ187" s="1669"/>
      <c r="CR187" s="1669"/>
      <c r="CS187" s="1669" t="s">
        <v>1684</v>
      </c>
      <c r="CT187" s="1669"/>
      <c r="CU187" s="1669"/>
      <c r="CV187" s="1670" t="s">
        <v>1333</v>
      </c>
      <c r="CW187" s="1670"/>
      <c r="CX187" s="1670"/>
      <c r="CY187" s="1670"/>
      <c r="CZ187" s="1670"/>
      <c r="DA187" s="1670"/>
      <c r="DB187" s="1670"/>
      <c r="DC187" s="1670"/>
      <c r="DD187" s="1670"/>
      <c r="DE187" s="1321" t="s">
        <v>0</v>
      </c>
      <c r="DF187" s="1321" t="s">
        <v>158</v>
      </c>
      <c r="DG187" s="1321" t="s">
        <v>1685</v>
      </c>
      <c r="DH187" s="1321" t="s">
        <v>1281</v>
      </c>
      <c r="DI187" s="1321" t="s">
        <v>1686</v>
      </c>
      <c r="DJ187" s="1321" t="s">
        <v>1687</v>
      </c>
      <c r="DK187" s="1321" t="s">
        <v>1688</v>
      </c>
      <c r="DL187" s="1321" t="s">
        <v>185</v>
      </c>
      <c r="DM187" s="1321" t="s">
        <v>30</v>
      </c>
      <c r="DN187" s="1321" t="s">
        <v>29</v>
      </c>
      <c r="DO187" s="1321" t="s">
        <v>1325</v>
      </c>
      <c r="DP187" s="1321" t="s">
        <v>1689</v>
      </c>
      <c r="DQ187" s="1588" t="s">
        <v>1690</v>
      </c>
      <c r="DR187" s="1321" t="s">
        <v>127</v>
      </c>
      <c r="DS187" s="1321" t="s">
        <v>959</v>
      </c>
      <c r="DT187" s="1321" t="s">
        <v>8</v>
      </c>
    </row>
    <row r="188" spans="1:124" ht="24.75" customHeight="1" x14ac:dyDescent="0.25">
      <c r="A188" s="1603" t="s">
        <v>1701</v>
      </c>
      <c r="B188" s="1380" t="s">
        <v>1275</v>
      </c>
      <c r="C188" s="1380" t="s">
        <v>1275</v>
      </c>
      <c r="D188" s="1380" t="s">
        <v>1309</v>
      </c>
      <c r="E188" s="1380" t="s">
        <v>1309</v>
      </c>
      <c r="F188" s="1380" t="s">
        <v>1309</v>
      </c>
      <c r="G188" s="1380" t="s">
        <v>1691</v>
      </c>
      <c r="H188" s="1589" t="s">
        <v>1279</v>
      </c>
      <c r="I188" s="1380" t="s">
        <v>1692</v>
      </c>
      <c r="J188" s="1590" t="s">
        <v>1309</v>
      </c>
      <c r="K188" s="1589" t="s">
        <v>1279</v>
      </c>
      <c r="L188" s="1380" t="s">
        <v>1691</v>
      </c>
      <c r="M188" s="1591" t="s">
        <v>1693</v>
      </c>
      <c r="N188" s="1590" t="s">
        <v>1309</v>
      </c>
      <c r="O188" s="1589" t="s">
        <v>1279</v>
      </c>
      <c r="P188" s="1380" t="s">
        <v>1691</v>
      </c>
      <c r="Q188" s="1591" t="s">
        <v>1693</v>
      </c>
      <c r="R188" s="1590" t="s">
        <v>1309</v>
      </c>
      <c r="S188" s="1589" t="s">
        <v>1279</v>
      </c>
      <c r="T188" s="1380" t="s">
        <v>1691</v>
      </c>
      <c r="U188" s="1591" t="s">
        <v>1693</v>
      </c>
      <c r="V188" s="1591" t="s">
        <v>1694</v>
      </c>
      <c r="W188" s="1590" t="s">
        <v>1309</v>
      </c>
      <c r="X188" s="1589" t="s">
        <v>1279</v>
      </c>
      <c r="Y188" s="1380" t="s">
        <v>1691</v>
      </c>
      <c r="Z188" s="1591" t="s">
        <v>1693</v>
      </c>
      <c r="AA188" s="1591" t="s">
        <v>1694</v>
      </c>
      <c r="AB188" s="1590" t="s">
        <v>1309</v>
      </c>
      <c r="AC188" s="1589" t="s">
        <v>1279</v>
      </c>
      <c r="AD188" s="1380" t="s">
        <v>1691</v>
      </c>
      <c r="AE188" s="1591" t="s">
        <v>1693</v>
      </c>
      <c r="AF188" s="1591" t="s">
        <v>1694</v>
      </c>
      <c r="AG188" s="1590" t="s">
        <v>1309</v>
      </c>
      <c r="AH188" s="1589" t="s">
        <v>1279</v>
      </c>
      <c r="AI188" s="1380" t="s">
        <v>1691</v>
      </c>
      <c r="AJ188" s="1591" t="s">
        <v>1693</v>
      </c>
      <c r="AK188" s="1591" t="s">
        <v>1694</v>
      </c>
      <c r="AL188" s="1590" t="s">
        <v>1309</v>
      </c>
      <c r="AM188" s="1590" t="s">
        <v>74</v>
      </c>
      <c r="AN188" s="1589" t="s">
        <v>1279</v>
      </c>
      <c r="AO188" s="1380" t="s">
        <v>1691</v>
      </c>
      <c r="AP188" s="1591" t="s">
        <v>1693</v>
      </c>
      <c r="AQ188" s="1591" t="s">
        <v>1694</v>
      </c>
      <c r="AR188" s="1590" t="s">
        <v>1309</v>
      </c>
      <c r="AS188" s="1590" t="s">
        <v>74</v>
      </c>
      <c r="AT188" s="1589" t="s">
        <v>1279</v>
      </c>
      <c r="AU188" s="1380" t="s">
        <v>1691</v>
      </c>
      <c r="AV188" s="1591" t="s">
        <v>1693</v>
      </c>
      <c r="AW188" s="1591" t="s">
        <v>1694</v>
      </c>
      <c r="AX188" s="1590" t="s">
        <v>1309</v>
      </c>
      <c r="AY188" s="1590" t="s">
        <v>74</v>
      </c>
      <c r="AZ188" s="1589" t="s">
        <v>1279</v>
      </c>
      <c r="BA188" s="1380" t="s">
        <v>1691</v>
      </c>
      <c r="BB188" s="1591" t="s">
        <v>1693</v>
      </c>
      <c r="BC188" s="1591" t="s">
        <v>1694</v>
      </c>
      <c r="BD188" s="1590" t="s">
        <v>1309</v>
      </c>
      <c r="BE188" s="1380" t="s">
        <v>13</v>
      </c>
      <c r="BF188" s="1380" t="s">
        <v>1275</v>
      </c>
      <c r="BG188" s="1589" t="s">
        <v>1279</v>
      </c>
      <c r="BH188" s="1380" t="s">
        <v>13</v>
      </c>
      <c r="BI188" s="1380" t="s">
        <v>1275</v>
      </c>
      <c r="BJ188" s="1589" t="s">
        <v>1279</v>
      </c>
      <c r="BK188" s="1380" t="s">
        <v>1275</v>
      </c>
      <c r="BL188" s="1589" t="s">
        <v>1279</v>
      </c>
      <c r="BM188" s="1590" t="s">
        <v>1309</v>
      </c>
      <c r="BN188" s="1380" t="s">
        <v>1275</v>
      </c>
      <c r="BO188" s="1589" t="s">
        <v>1279</v>
      </c>
      <c r="BP188" s="1590" t="s">
        <v>1309</v>
      </c>
      <c r="BQ188" s="1589" t="s">
        <v>1279</v>
      </c>
      <c r="BR188" s="1590" t="s">
        <v>1309</v>
      </c>
      <c r="BS188" s="1589" t="s">
        <v>1279</v>
      </c>
      <c r="BT188" s="1590" t="s">
        <v>1691</v>
      </c>
      <c r="BU188" s="1604" t="s">
        <v>1693</v>
      </c>
      <c r="BV188" s="1590" t="s">
        <v>1309</v>
      </c>
      <c r="BW188" s="1589" t="s">
        <v>1279</v>
      </c>
      <c r="BX188" s="1590" t="s">
        <v>1691</v>
      </c>
      <c r="BY188" s="1590" t="s">
        <v>1309</v>
      </c>
      <c r="BZ188" s="1592"/>
      <c r="CA188" s="1593"/>
      <c r="CB188" s="1592"/>
      <c r="CC188" s="1593"/>
      <c r="CD188" s="1593"/>
      <c r="CE188" s="1592"/>
      <c r="CF188" s="1593"/>
      <c r="CG188" s="1593"/>
      <c r="CH188" s="1592"/>
      <c r="CI188" s="1593"/>
      <c r="CJ188" s="1593"/>
      <c r="CK188" s="1592"/>
      <c r="CL188" s="1593"/>
      <c r="CM188" s="1593"/>
      <c r="CN188" s="1594" t="s">
        <v>80</v>
      </c>
      <c r="CO188" s="1589" t="s">
        <v>1279</v>
      </c>
      <c r="CP188" s="1594" t="s">
        <v>80</v>
      </c>
      <c r="CQ188" s="1595" t="s">
        <v>1279</v>
      </c>
      <c r="CR188" s="1595" t="s">
        <v>1695</v>
      </c>
      <c r="CS188" s="1594" t="s">
        <v>80</v>
      </c>
      <c r="CT188" s="1595" t="s">
        <v>1279</v>
      </c>
      <c r="CU188" s="1596" t="s">
        <v>1695</v>
      </c>
      <c r="CV188" s="1380">
        <v>1059</v>
      </c>
      <c r="CW188" s="1597" t="s">
        <v>1696</v>
      </c>
      <c r="CX188" s="1380" t="s">
        <v>1697</v>
      </c>
      <c r="CY188" s="1380" t="s">
        <v>1698</v>
      </c>
      <c r="CZ188" s="1380" t="s">
        <v>15</v>
      </c>
      <c r="DA188" s="1380" t="s">
        <v>566</v>
      </c>
      <c r="DB188" s="1380" t="s">
        <v>171</v>
      </c>
      <c r="DC188" s="1380" t="s">
        <v>18</v>
      </c>
      <c r="DD188" s="1380" t="s">
        <v>130</v>
      </c>
      <c r="DE188" s="1380" t="s">
        <v>1699</v>
      </c>
      <c r="DF188" s="1380" t="s">
        <v>1699</v>
      </c>
      <c r="DG188" s="1380" t="s">
        <v>1699</v>
      </c>
      <c r="DH188" s="1380" t="s">
        <v>1699</v>
      </c>
      <c r="DI188" s="1380" t="s">
        <v>1699</v>
      </c>
      <c r="DJ188" s="1380" t="s">
        <v>1699</v>
      </c>
      <c r="DK188" s="1380" t="s">
        <v>1699</v>
      </c>
      <c r="DL188" s="1380" t="s">
        <v>1699</v>
      </c>
      <c r="DM188" s="1380" t="s">
        <v>1699</v>
      </c>
      <c r="DN188" s="1380" t="s">
        <v>1699</v>
      </c>
      <c r="DO188" s="1380" t="s">
        <v>1699</v>
      </c>
      <c r="DP188" s="1380" t="s">
        <v>279</v>
      </c>
      <c r="DQ188" s="1380" t="s">
        <v>1700</v>
      </c>
      <c r="DR188" s="1380" t="s">
        <v>1699</v>
      </c>
      <c r="DS188" s="1380" t="s">
        <v>1699</v>
      </c>
      <c r="DT188" s="1380" t="s">
        <v>62</v>
      </c>
    </row>
    <row r="189" spans="1:124" ht="24.75" customHeight="1" x14ac:dyDescent="0.25">
      <c r="A189" s="1598" t="s">
        <v>1207</v>
      </c>
      <c r="B189" s="1599">
        <f>COUNT(C11:C18,C25:C32,AK11:AK18,AK25:AK32)</f>
        <v>6</v>
      </c>
      <c r="C189" s="1599">
        <f>COUNT(E11:E20,E25:E34,AM11:AM20,AM25:AM34)</f>
        <v>5</v>
      </c>
      <c r="D189" s="1599">
        <f>COUNT(F11:F20,F25:F34,AN11:AN20,AN25:AN34)</f>
        <v>0</v>
      </c>
      <c r="E189" s="1599">
        <f>COUNT(AC78:AC89,BK78:BK89)</f>
        <v>4</v>
      </c>
      <c r="F189" s="1599">
        <f>COUNT(AD78:AD89,BL78:BL89)</f>
        <v>4</v>
      </c>
      <c r="G189" s="1599">
        <f>COUNT(J9:J32,AR9:AR32)</f>
        <v>22</v>
      </c>
      <c r="H189" s="1599">
        <f>COUNT(I9:I32,AQ9:AQ32,AQ35,I35)</f>
        <v>6</v>
      </c>
      <c r="I189" s="1599">
        <f>COUNT(G9:G32,AO9:AO32)</f>
        <v>4</v>
      </c>
      <c r="J189" s="1599">
        <f>COUNT(H9:H35,AP9:AP35)</f>
        <v>2</v>
      </c>
      <c r="K189" s="1599">
        <f>COUNT(K35,AS35)</f>
        <v>1</v>
      </c>
      <c r="L189" s="1599">
        <f t="shared" ref="L189:M189" si="54">COUNT(L35,AT35)</f>
        <v>1</v>
      </c>
      <c r="M189" s="1599">
        <f t="shared" si="54"/>
        <v>1</v>
      </c>
      <c r="N189" s="1599">
        <f>COUNT(K9:M28,AS9:AU28)</f>
        <v>10</v>
      </c>
      <c r="O189" s="1599">
        <f>COUNT(N35,AV35)</f>
        <v>1</v>
      </c>
      <c r="P189" s="1599">
        <f t="shared" ref="P189:Q189" si="55">COUNT(O35,AW35)</f>
        <v>1</v>
      </c>
      <c r="Q189" s="1599">
        <f t="shared" si="55"/>
        <v>1</v>
      </c>
      <c r="R189" s="1599">
        <f>COUNT(N9:P28,AV9:AX28)</f>
        <v>9</v>
      </c>
      <c r="S189" s="1599">
        <f>COUNT(Q9:Q33,AY9:AY33)</f>
        <v>5</v>
      </c>
      <c r="T189" s="1599">
        <f t="shared" ref="T189:U189" si="56">COUNT(R9:R33,AZ9:AZ33)</f>
        <v>6</v>
      </c>
      <c r="U189" s="1599">
        <f t="shared" si="56"/>
        <v>6</v>
      </c>
      <c r="V189" s="1599">
        <f>COUNT(T9:T33,BB9:BB33)</f>
        <v>6</v>
      </c>
      <c r="W189" s="1599">
        <f>COUNT(T34,BB34)</f>
        <v>2</v>
      </c>
      <c r="X189" s="1599">
        <f>COUNT(U9:U33,BC9:BC33)</f>
        <v>5</v>
      </c>
      <c r="Y189" s="1599">
        <f t="shared" ref="Y189:AA189" si="57">COUNT(V9:V33,BD9:BD33)</f>
        <v>6</v>
      </c>
      <c r="Z189" s="1599">
        <f t="shared" si="57"/>
        <v>6</v>
      </c>
      <c r="AA189" s="1599">
        <f t="shared" si="57"/>
        <v>6</v>
      </c>
      <c r="AB189" s="1599">
        <f>COUNT(X34,BF34)</f>
        <v>2</v>
      </c>
      <c r="AC189" s="1599">
        <f>COUNT(Y9:Y33,BG9:BG33)</f>
        <v>5</v>
      </c>
      <c r="AD189" s="1599">
        <f t="shared" ref="AD189:AF189" si="58">COUNT(Z9:Z33,BH9:BH33)</f>
        <v>6</v>
      </c>
      <c r="AE189" s="1599">
        <f t="shared" si="58"/>
        <v>6</v>
      </c>
      <c r="AF189" s="1599">
        <f t="shared" si="58"/>
        <v>6</v>
      </c>
      <c r="AG189" s="1599">
        <f>COUNT(AB34,BJ34)</f>
        <v>2</v>
      </c>
      <c r="AH189" s="1599">
        <f>COUNT(G40:G51,B40,AO40:AO51,AJ40)</f>
        <v>7</v>
      </c>
      <c r="AI189" s="1599">
        <f>COUNT(C40,AK40)</f>
        <v>2</v>
      </c>
      <c r="AJ189" s="1599">
        <f t="shared" ref="AJ189:AK189" si="59">COUNT(D40,AL40)</f>
        <v>2</v>
      </c>
      <c r="AK189" s="1599">
        <f t="shared" si="59"/>
        <v>2</v>
      </c>
      <c r="AL189" s="1599">
        <f>COUNT(F40,AN40)</f>
        <v>2</v>
      </c>
      <c r="AM189" s="1599">
        <f>COUNT(D47,AL47)</f>
        <v>2</v>
      </c>
      <c r="AN189" s="1599">
        <f>COUNT(H40:H51,B41,AP40:AP51,AJ41)</f>
        <v>7</v>
      </c>
      <c r="AO189" s="1599">
        <f>COUNT(C41,AK41)</f>
        <v>2</v>
      </c>
      <c r="AP189" s="1599">
        <f t="shared" ref="AP189:AQ189" si="60">COUNT(D41,AL41)</f>
        <v>2</v>
      </c>
      <c r="AQ189" s="1599">
        <f t="shared" si="60"/>
        <v>2</v>
      </c>
      <c r="AR189" s="1599">
        <f>COUNT(F41,AN41)</f>
        <v>2</v>
      </c>
      <c r="AS189" s="1599">
        <f>COUNT(D48,AL48)</f>
        <v>2</v>
      </c>
      <c r="AT189" s="1599">
        <f>COUNT(I40:I51,B44,AQ40:AQ51,AJ44)</f>
        <v>7</v>
      </c>
      <c r="AU189" s="1599">
        <f>COUNT(C44,AK44)</f>
        <v>2</v>
      </c>
      <c r="AV189" s="1599">
        <f t="shared" ref="AV189:AX189" si="61">COUNT(D44,AL44)</f>
        <v>2</v>
      </c>
      <c r="AW189" s="1599">
        <f t="shared" si="61"/>
        <v>2</v>
      </c>
      <c r="AX189" s="1599">
        <f t="shared" si="61"/>
        <v>2</v>
      </c>
      <c r="AY189" s="1599">
        <f>COUNT(AF60,BN60)</f>
        <v>2</v>
      </c>
      <c r="AZ189" s="1599">
        <f>COUNT(J40:J53,AR40:AR53)</f>
        <v>7</v>
      </c>
      <c r="BA189" s="1599">
        <f t="shared" ref="BA189:BC189" si="62">COUNT(K40:K53,AS40:AS53)</f>
        <v>7</v>
      </c>
      <c r="BB189" s="1599">
        <f t="shared" si="62"/>
        <v>7</v>
      </c>
      <c r="BC189" s="1599">
        <f t="shared" si="62"/>
        <v>7</v>
      </c>
      <c r="BD189" s="1599">
        <f>COUNT(L54,AT54)</f>
        <v>2</v>
      </c>
      <c r="BE189" s="1599">
        <f>COUNT(O40:O54,AW40:AW54)</f>
        <v>14</v>
      </c>
      <c r="BF189" s="1599">
        <f t="shared" ref="BF189:BG189" si="63">COUNT(P40:P54,AX40:AX54)</f>
        <v>14</v>
      </c>
      <c r="BG189" s="1599">
        <f t="shared" si="63"/>
        <v>14</v>
      </c>
      <c r="BH189" s="1599">
        <f>COUNT(R40:R53,AZ40:AZ53)</f>
        <v>13</v>
      </c>
      <c r="BI189" s="1599">
        <f t="shared" ref="BI189:BJ189" si="64">COUNT(S40:S53,BA40:BA53)</f>
        <v>13</v>
      </c>
      <c r="BJ189" s="1599">
        <f t="shared" si="64"/>
        <v>7</v>
      </c>
      <c r="BK189" s="1599">
        <f>COUNT(U40:U53,BC40:BC53)</f>
        <v>4</v>
      </c>
      <c r="BL189" s="1599">
        <f>COUNT(V40:V53,BD40:BD53)</f>
        <v>6</v>
      </c>
      <c r="BM189" s="1599">
        <f>COUNT(U54,BC54)</f>
        <v>2</v>
      </c>
      <c r="BN189" s="1599">
        <f>COUNT(W40:W53,BE40:BE53)</f>
        <v>4</v>
      </c>
      <c r="BO189" s="1599">
        <f>COUNT(X40:X53,BF40:BF53)</f>
        <v>6</v>
      </c>
      <c r="BP189" s="1599">
        <f>COUNT(W54,BE54)</f>
        <v>2</v>
      </c>
      <c r="BQ189" s="1599">
        <f>COUNT(Y56,BG56)</f>
        <v>2</v>
      </c>
      <c r="BR189" s="1599">
        <f>COUNT(Y40:Y54,BG40:BG54)</f>
        <v>7</v>
      </c>
      <c r="BS189" s="1599">
        <f>COUNT(AI54)</f>
        <v>1</v>
      </c>
      <c r="BT189" s="1599">
        <f t="shared" ref="BT189:BV189" si="65">COUNT(AJ54)</f>
        <v>1</v>
      </c>
      <c r="BU189" s="1599">
        <f t="shared" si="65"/>
        <v>1</v>
      </c>
      <c r="BV189" s="1599">
        <f t="shared" si="65"/>
        <v>1</v>
      </c>
      <c r="BW189" s="1599">
        <f>COUNT(C78:C89,AK78:AK89)</f>
        <v>4</v>
      </c>
      <c r="BX189" s="1599">
        <f>COUNT(B78:B89,AJ78:AJ89)</f>
        <v>4</v>
      </c>
      <c r="BY189" s="1599">
        <f>COUNT(D90,AL90)</f>
        <v>2</v>
      </c>
      <c r="BZ189" s="1273"/>
      <c r="CA189" s="1273"/>
      <c r="CB189" s="1273"/>
      <c r="CC189" s="1273"/>
      <c r="CD189" s="1273"/>
      <c r="CE189" s="1273"/>
      <c r="CF189" s="1273"/>
      <c r="CG189" s="1273"/>
      <c r="CH189" s="1273"/>
      <c r="CI189" s="1273"/>
      <c r="CJ189" s="1273"/>
      <c r="CK189" s="1273"/>
      <c r="CL189" s="1273"/>
      <c r="CM189" s="1273"/>
      <c r="CN189" s="1599">
        <f>COUNT(E78:E89,AM78:AM89)</f>
        <v>9</v>
      </c>
      <c r="CO189" s="1599">
        <f>COUNT(K78:K89,AS78:AS89)</f>
        <v>12</v>
      </c>
      <c r="CP189" s="1599">
        <f>COUNT(F78:F89,AN78:AN89)</f>
        <v>9</v>
      </c>
      <c r="CQ189" s="1599">
        <f>COUNT(L78:L89,AT78:AT89)</f>
        <v>12</v>
      </c>
      <c r="CR189" s="1599">
        <f>COUNT(U78:U89,BC78:BC89)</f>
        <v>4</v>
      </c>
      <c r="CS189" s="1599">
        <f>COUNT(G78:G89,AO78:AO89)</f>
        <v>9</v>
      </c>
      <c r="CT189" s="1599">
        <f>COUNT(M78:T89,AU78:BB89)</f>
        <v>28</v>
      </c>
      <c r="CU189" s="1599">
        <f>COUNT(V78:V89,BD78:BD89)</f>
        <v>4</v>
      </c>
      <c r="CV189" s="1599">
        <f>COUNT(B57:B58,AJ57:AJ58)</f>
        <v>4</v>
      </c>
      <c r="CW189" s="1599">
        <f t="shared" ref="CW189:DA189" si="66">COUNT(C57:C58,AK57:AK58)</f>
        <v>4</v>
      </c>
      <c r="CX189" s="1599">
        <f t="shared" si="66"/>
        <v>4</v>
      </c>
      <c r="CY189" s="1599">
        <f t="shared" si="66"/>
        <v>4</v>
      </c>
      <c r="CZ189" s="1599">
        <f t="shared" si="66"/>
        <v>4</v>
      </c>
      <c r="DA189" s="1599">
        <f t="shared" si="66"/>
        <v>4</v>
      </c>
      <c r="DB189" s="1599">
        <f>COUNT(J57:J58,AR57:AR58)</f>
        <v>4</v>
      </c>
      <c r="DC189" s="1599">
        <f t="shared" ref="DC189:DD189" si="67">COUNT(K57:K58,AS57:AS58)</f>
        <v>3</v>
      </c>
      <c r="DD189" s="1599">
        <f t="shared" si="67"/>
        <v>0</v>
      </c>
      <c r="DE189" s="1599">
        <f>COUNT(F73,AN73)</f>
        <v>2</v>
      </c>
      <c r="DF189" s="1599">
        <f>COUNT(K31:M31,AS31:AU31)</f>
        <v>6</v>
      </c>
      <c r="DG189" s="1599">
        <f>COUNT(N31:P31,AV31:AX31)</f>
        <v>6</v>
      </c>
      <c r="DH189" s="1599">
        <f>COUNT(AD4:AD33,BL4:BL33)</f>
        <v>40</v>
      </c>
      <c r="DI189" s="1599">
        <f>COUNT(AE4:AE33,BM4:BM33)</f>
        <v>40</v>
      </c>
      <c r="DJ189" s="1599">
        <f t="shared" ref="DJ189:DK189" si="68">COUNT(AF4:AF33,BN4:BN33)</f>
        <v>40</v>
      </c>
      <c r="DK189" s="1599">
        <f t="shared" si="68"/>
        <v>52</v>
      </c>
      <c r="DL189" s="1599">
        <f>COUNT(AA40:AA46,AA48:AA54,BI40:BI46,BI48:BI54)</f>
        <v>14</v>
      </c>
      <c r="DM189" s="1599">
        <f t="shared" ref="DM189:DQ189" si="69">COUNT(AB40:AB46,AB48:AB54,BJ40:BJ46,BJ48:BJ54)</f>
        <v>14</v>
      </c>
      <c r="DN189" s="1599">
        <f t="shared" si="69"/>
        <v>16</v>
      </c>
      <c r="DO189" s="1599">
        <f t="shared" si="69"/>
        <v>16</v>
      </c>
      <c r="DP189" s="1599">
        <f t="shared" si="69"/>
        <v>14</v>
      </c>
      <c r="DQ189" s="1599">
        <f t="shared" si="69"/>
        <v>14</v>
      </c>
      <c r="DR189" s="1599">
        <f>COUNT(Y120:AC121,BG120:BK121)</f>
        <v>20</v>
      </c>
      <c r="DS189" s="1599">
        <f>COUNT(F72,AN72)</f>
        <v>2</v>
      </c>
      <c r="DT189" s="1599">
        <f>COUNT(H78:H89,AP78:AP89)</f>
        <v>24</v>
      </c>
    </row>
    <row r="190" spans="1:124" s="103" customFormat="1" ht="24.75" customHeight="1" x14ac:dyDescent="0.25">
      <c r="A190" s="1601" t="s">
        <v>151</v>
      </c>
      <c r="B190" s="1600">
        <f>AVERAGE(B150:B151)</f>
        <v>0.11</v>
      </c>
      <c r="C190" s="1600">
        <f>AVERAGE(D150:D151)</f>
        <v>0.13</v>
      </c>
      <c r="D190" s="1600" t="e">
        <f>AVERAGE(F11:F22,F25:F34,AN11:AN22,AN25:AN34)</f>
        <v>#DIV/0!</v>
      </c>
      <c r="E190" s="1602">
        <f>AVERAGE(AC78:AC89,BK78:BK89)</f>
        <v>84</v>
      </c>
      <c r="F190" s="1602">
        <f>AVERAGE(AD78:AD89,BL78:BL89)</f>
        <v>54.75</v>
      </c>
      <c r="G190" s="1602">
        <f>AVERAGE(I150:I151)</f>
        <v>102.7</v>
      </c>
      <c r="H190" s="1602">
        <f>AVERAGE(J150:J151)</f>
        <v>88.3</v>
      </c>
      <c r="I190" s="1602">
        <f t="shared" ref="I190" si="70">AVERAGE(K150:K151)</f>
        <v>0.45999999999999996</v>
      </c>
      <c r="J190" s="1602">
        <f>AVERAGE(B156:B157)</f>
        <v>42.95</v>
      </c>
      <c r="K190" s="1602">
        <f>AVERAGE(AS156:AS157)</f>
        <v>87.3</v>
      </c>
      <c r="L190" s="1602">
        <f t="shared" ref="L190:N190" si="71">AVERAGE(AT156:AT157)</f>
        <v>96.3</v>
      </c>
      <c r="M190" s="1602">
        <f t="shared" si="71"/>
        <v>95.8</v>
      </c>
      <c r="N190" s="1602">
        <f t="shared" si="71"/>
        <v>62.25</v>
      </c>
      <c r="O190" s="1602">
        <f>AVERAGE(D156:D157)</f>
        <v>87.3</v>
      </c>
      <c r="P190" s="1602">
        <f t="shared" ref="P190:R190" si="72">AVERAGE(E156:E157)</f>
        <v>97.9</v>
      </c>
      <c r="Q190" s="1602">
        <f t="shared" si="72"/>
        <v>98.2</v>
      </c>
      <c r="R190" s="1602">
        <f t="shared" si="72"/>
        <v>63.7</v>
      </c>
      <c r="S190" s="1602">
        <f>AVERAGE(V150:V151)</f>
        <v>96.8</v>
      </c>
      <c r="T190" s="1602">
        <f>AVERAGE(N162:N163)</f>
        <v>28.8</v>
      </c>
      <c r="U190" s="1602">
        <f t="shared" ref="U190:X190" si="73">AVERAGE(O162:O163)</f>
        <v>97.6</v>
      </c>
      <c r="V190" s="1602">
        <f t="shared" si="73"/>
        <v>68.8</v>
      </c>
      <c r="W190" s="1602">
        <f t="shared" si="73"/>
        <v>39.6</v>
      </c>
      <c r="X190" s="1602">
        <f t="shared" si="73"/>
        <v>97.6</v>
      </c>
      <c r="Y190" s="1602">
        <f t="shared" ref="Y190" si="74">AVERAGE(S162:S163)</f>
        <v>28.8</v>
      </c>
      <c r="Z190" s="1602">
        <f t="shared" ref="Z190" si="75">AVERAGE(T162:T163)</f>
        <v>97.8</v>
      </c>
      <c r="AA190" s="1602">
        <f t="shared" ref="AA190:AB190" si="76">AVERAGE(U162:U163)</f>
        <v>69</v>
      </c>
      <c r="AB190" s="1602">
        <f t="shared" si="76"/>
        <v>39.599999999999994</v>
      </c>
      <c r="AC190" s="1602">
        <f>AVERAGE(H162:H163)</f>
        <v>97.199999999999989</v>
      </c>
      <c r="AD190" s="1602">
        <f t="shared" ref="AD190:AG190" si="77">AVERAGE(I162:I163)</f>
        <v>28.8</v>
      </c>
      <c r="AE190" s="1602">
        <f t="shared" si="77"/>
        <v>98.4</v>
      </c>
      <c r="AF190" s="1602">
        <f t="shared" si="77"/>
        <v>69.599999999999994</v>
      </c>
      <c r="AG190" s="1602">
        <f t="shared" si="77"/>
        <v>39.549999999999997</v>
      </c>
      <c r="AH190" s="1602">
        <f>AVERAGE(AB162:AB163)</f>
        <v>87.7</v>
      </c>
      <c r="AI190" s="1602">
        <f t="shared" ref="AI190:AL190" si="78">AVERAGE(AC162:AC163)</f>
        <v>32.200000000000003</v>
      </c>
      <c r="AJ190" s="1602">
        <f t="shared" si="78"/>
        <v>89.2</v>
      </c>
      <c r="AK190" s="1602">
        <f t="shared" si="78"/>
        <v>57</v>
      </c>
      <c r="AL190" s="1602">
        <f t="shared" si="78"/>
        <v>42.3</v>
      </c>
      <c r="AM190" s="1602">
        <f>AVERAGE(BN156:BN157)</f>
        <v>8.5500000000000007</v>
      </c>
      <c r="AN190" s="1602">
        <f>AVERAGE(AG162:AG163)</f>
        <v>87.300000000000011</v>
      </c>
      <c r="AO190" s="1602">
        <f t="shared" ref="AO190:AR190" si="79">AVERAGE(AH162:AH163)</f>
        <v>30.8</v>
      </c>
      <c r="AP190" s="1602">
        <f t="shared" si="79"/>
        <v>88.4</v>
      </c>
      <c r="AQ190" s="1602">
        <f t="shared" si="79"/>
        <v>57.599999999999994</v>
      </c>
      <c r="AR190" s="1602">
        <f t="shared" si="79"/>
        <v>41.35</v>
      </c>
      <c r="AS190" s="1602">
        <f>AVERAGE(BO156:BO157)</f>
        <v>6.7</v>
      </c>
      <c r="AT190" s="1602">
        <f>AVERAGE(W162:W163)</f>
        <v>78.900000000000006</v>
      </c>
      <c r="AU190" s="1602">
        <f t="shared" ref="AU190:AX190" si="80">AVERAGE(X162:X163)</f>
        <v>33</v>
      </c>
      <c r="AV190" s="1602">
        <f t="shared" si="80"/>
        <v>80.900000000000006</v>
      </c>
      <c r="AW190" s="1602">
        <f t="shared" si="80"/>
        <v>47.900000000000006</v>
      </c>
      <c r="AX190" s="1602">
        <f t="shared" si="80"/>
        <v>44</v>
      </c>
      <c r="AY190" s="1602">
        <f>AVERAGE(BN60,AF60)</f>
        <v>15.149999999999999</v>
      </c>
      <c r="AZ190" s="1602">
        <f>AVERAGE(O156:O157)</f>
        <v>83.300000000000011</v>
      </c>
      <c r="BA190" s="1602">
        <f t="shared" ref="BA190:BD190" si="81">AVERAGE(P156:P157)</f>
        <v>32.400000000000006</v>
      </c>
      <c r="BB190" s="1602">
        <f t="shared" si="81"/>
        <v>84.1</v>
      </c>
      <c r="BC190" s="1602">
        <f t="shared" si="81"/>
        <v>51.7</v>
      </c>
      <c r="BD190" s="1602">
        <f t="shared" si="81"/>
        <v>43.8</v>
      </c>
      <c r="BE190" s="1602">
        <f>AVERAGE(AE156:AE157)</f>
        <v>2.7</v>
      </c>
      <c r="BF190" s="1602">
        <f>AVERAGE(AF156:AF157)</f>
        <v>5</v>
      </c>
      <c r="BG190" s="1602">
        <f>AVERAGE(AS162:AS163)</f>
        <v>63.1</v>
      </c>
      <c r="BH190" s="1602">
        <f>AVERAGE(AG156:AG157)</f>
        <v>2.2000000000000002</v>
      </c>
      <c r="BI190" s="1602">
        <f t="shared" ref="BI190:BJ190" si="82">AVERAGE(AH156:AH157)</f>
        <v>5</v>
      </c>
      <c r="BJ190" s="1602">
        <f t="shared" si="82"/>
        <v>62.9</v>
      </c>
      <c r="BK190" s="1602">
        <f>AVERAGE(AW162:AW163)</f>
        <v>4</v>
      </c>
      <c r="BL190" s="1602">
        <f t="shared" ref="BL190:BM190" si="83">AVERAGE(AX162:AX163)</f>
        <v>0.06</v>
      </c>
      <c r="BM190" s="1602">
        <f t="shared" si="83"/>
        <v>7.6999999999999993</v>
      </c>
      <c r="BN190" s="1602">
        <f>AVERAGE(BF156:BF157)</f>
        <v>5.8</v>
      </c>
      <c r="BO190" s="1602">
        <f>AVERAGE(BG156:BG157)</f>
        <v>0.1</v>
      </c>
      <c r="BP190" s="1602">
        <f>AVERAGE(BE156:BE157)</f>
        <v>1.0150000000000001</v>
      </c>
      <c r="BQ190" s="1602">
        <f>AVERAGE(BA156:BA157)</f>
        <v>72.099999999999994</v>
      </c>
      <c r="BR190" s="1600">
        <f>AVERAGE(L167:L168)</f>
        <v>0.88</v>
      </c>
      <c r="BS190" s="1601">
        <f>AVERAGE(AZ162:AZ163)</f>
        <v>0.04</v>
      </c>
      <c r="BT190" s="1601">
        <f t="shared" ref="BT190:BV190" si="84">AVERAGE(BA162:BA163)</f>
        <v>40.700000000000003</v>
      </c>
      <c r="BU190" s="1601">
        <f t="shared" si="84"/>
        <v>33</v>
      </c>
      <c r="BV190" s="1601">
        <f t="shared" si="84"/>
        <v>37.5</v>
      </c>
      <c r="BW190" s="1600">
        <f>-AVERAGE(AO150:AO151)</f>
        <v>-0.06</v>
      </c>
      <c r="BX190" s="1602">
        <f>AVERAGE(AN150:AN151)</f>
        <v>13.3</v>
      </c>
      <c r="BY190" s="1602">
        <f>AVERAGE(AB156:AB157)</f>
        <v>17.200000000000003</v>
      </c>
      <c r="BZ190" s="1601"/>
      <c r="CA190" s="1601"/>
      <c r="CB190" s="1601"/>
      <c r="CC190" s="1601"/>
      <c r="CD190" s="1601"/>
      <c r="CE190" s="1601"/>
      <c r="CF190" s="1601"/>
      <c r="CG190" s="1601"/>
      <c r="CH190" s="1601"/>
      <c r="CI190" s="1601"/>
      <c r="CJ190" s="1601"/>
      <c r="CK190" s="1601"/>
      <c r="CL190" s="1601"/>
      <c r="CM190" s="1601"/>
      <c r="CN190" s="1602">
        <f>AVERAGE(BH156:BH157)</f>
        <v>15.700000000000001</v>
      </c>
      <c r="CO190" s="1600">
        <f>AVERAGE(BJ156:BJ157)</f>
        <v>6.25E-2</v>
      </c>
      <c r="CP190" s="1602">
        <f>AVERAGE(BI156:BI157)</f>
        <v>16.8</v>
      </c>
      <c r="CQ190" s="1600">
        <f>AVERAGE(BK156:BK157)</f>
        <v>8.5000000000000006E-2</v>
      </c>
      <c r="CR190" s="1605">
        <f>AVERAGE(U78:U89,BC78:BC89)</f>
        <v>9.5E-4</v>
      </c>
      <c r="CS190" s="1602">
        <f>AVERAGE(BJ162:BJ163)</f>
        <v>18.350000000000001</v>
      </c>
      <c r="CT190" s="1600">
        <f>AVERAGE(BM162:BM163)</f>
        <v>6.5000000000000002E-2</v>
      </c>
      <c r="CU190" s="1605">
        <f>AVERAGE(V78:V89,BD78:BD89)</f>
        <v>6.9999999999999999E-4</v>
      </c>
      <c r="CV190" s="1602">
        <f>AVERAGE(B57:B58,AJ57:AJ58)</f>
        <v>0.3</v>
      </c>
      <c r="CW190" s="1602">
        <f>AVERAGE(C57:C58,AK57:AK58)</f>
        <v>0.4</v>
      </c>
      <c r="CX190" s="1602">
        <f t="shared" ref="CX190:DA190" si="85">AVERAGE(D57:D58,AL57:AL58)</f>
        <v>0.4</v>
      </c>
      <c r="CY190" s="1602">
        <f t="shared" si="85"/>
        <v>0.35000000000000003</v>
      </c>
      <c r="CZ190" s="1602">
        <f t="shared" si="85"/>
        <v>0.35000000000000003</v>
      </c>
      <c r="DA190" s="1602">
        <f t="shared" si="85"/>
        <v>0.35000000000000003</v>
      </c>
      <c r="DB190" s="1602">
        <f>AVERAGE(J57:J58,AR57:AR58)</f>
        <v>0.35000000000000003</v>
      </c>
      <c r="DC190" s="1602">
        <f t="shared" ref="DC190:DD190" si="86">AVERAGE(K57:K58,AS57:AS58)</f>
        <v>0.3666666666666667</v>
      </c>
      <c r="DD190" s="1602" t="e">
        <f t="shared" si="86"/>
        <v>#DIV/0!</v>
      </c>
      <c r="DE190" s="1601">
        <f>AVERAGE(F73,AN73)</f>
        <v>63</v>
      </c>
      <c r="DF190" s="1606">
        <f>AVERAGE(C156:C157)</f>
        <v>65</v>
      </c>
      <c r="DG190" s="1606">
        <f>AVERAGE(H156:H157)</f>
        <v>38.5</v>
      </c>
      <c r="DH190" s="1606">
        <f>AVERAGE(S167:S168)</f>
        <v>30</v>
      </c>
      <c r="DI190" s="1606">
        <f t="shared" ref="DI190:DK190" si="87">AVERAGE(T167:T168)</f>
        <v>48</v>
      </c>
      <c r="DJ190" s="1606">
        <f t="shared" si="87"/>
        <v>52.5</v>
      </c>
      <c r="DK190" s="1606">
        <f t="shared" si="87"/>
        <v>56.5</v>
      </c>
      <c r="DL190" s="1606">
        <f>AVERAGE(M167:M168)</f>
        <v>96</v>
      </c>
      <c r="DM190" s="1606">
        <f t="shared" ref="DM190:DN190" si="88">AVERAGE(N167:N168)</f>
        <v>75.5</v>
      </c>
      <c r="DN190" s="1606">
        <f t="shared" si="88"/>
        <v>63.5</v>
      </c>
      <c r="DO190" s="1606">
        <f>AVERAGE(P167:P168)</f>
        <v>58.5</v>
      </c>
      <c r="DP190" s="1606">
        <f>AVERAGE(Q167:Q168)</f>
        <v>0.23</v>
      </c>
      <c r="DQ190" s="1606">
        <f>AVERAGE(AF40:AF46,AF48:AF54,BN40:BN46,BN48:BN54)</f>
        <v>136.35714285714286</v>
      </c>
      <c r="DR190" s="1606">
        <f>AVERAGE(R167:R168)</f>
        <v>42</v>
      </c>
      <c r="DS190" s="1601">
        <f>AVERAGE(F72,AN72)</f>
        <v>31</v>
      </c>
      <c r="DT190" s="1606">
        <f>AVERAGE(AQ150:AQ151)</f>
        <v>306</v>
      </c>
    </row>
    <row r="191" spans="1:124" s="104" customFormat="1" ht="24.75" customHeight="1" thickBot="1" x14ac:dyDescent="0.4">
      <c r="A191" s="104" t="s">
        <v>459</v>
      </c>
      <c r="I191" s="145"/>
      <c r="L191" s="104">
        <f>SUM(K196:L196)</f>
        <v>41</v>
      </c>
      <c r="AQ191" s="145"/>
      <c r="BQ191" s="138"/>
      <c r="BR191" s="139"/>
      <c r="BS191" s="139"/>
      <c r="BT191" s="139"/>
      <c r="BU191" s="139"/>
      <c r="BV191" s="139"/>
      <c r="BW191" s="139"/>
      <c r="BX191" s="139"/>
      <c r="BY191" s="139"/>
      <c r="BZ191" s="139"/>
      <c r="CA191" s="139"/>
      <c r="CX191" s="249"/>
      <c r="CY191" s="246"/>
      <c r="CZ191" s="246"/>
      <c r="DA191" s="246"/>
    </row>
    <row r="192" spans="1:124" s="104" customFormat="1" ht="24.75" customHeight="1" thickBot="1" x14ac:dyDescent="0.4">
      <c r="A192" s="2292" t="s">
        <v>59</v>
      </c>
      <c r="B192" s="1696" t="s">
        <v>0</v>
      </c>
      <c r="C192" s="1696"/>
      <c r="D192" s="1696"/>
      <c r="E192" s="1696" t="s">
        <v>92</v>
      </c>
      <c r="F192" s="1216" t="s">
        <v>93</v>
      </c>
      <c r="G192" s="1696" t="s">
        <v>94</v>
      </c>
      <c r="H192" s="1696" t="s">
        <v>74</v>
      </c>
      <c r="I192" s="1696"/>
      <c r="J192" s="1696"/>
      <c r="K192" s="1696" t="s">
        <v>95</v>
      </c>
      <c r="L192" s="1709" t="s">
        <v>96</v>
      </c>
      <c r="M192" s="1709" t="s">
        <v>97</v>
      </c>
      <c r="N192" s="1709" t="s">
        <v>98</v>
      </c>
      <c r="O192" s="1709" t="s">
        <v>99</v>
      </c>
      <c r="P192" s="1696" t="s">
        <v>100</v>
      </c>
      <c r="Q192" s="1696" t="s">
        <v>142</v>
      </c>
      <c r="R192" s="1696"/>
      <c r="S192" s="1696"/>
      <c r="T192" s="1696"/>
      <c r="U192" s="1696"/>
      <c r="V192" s="1696" t="s">
        <v>33</v>
      </c>
      <c r="W192" s="1696"/>
      <c r="X192" s="1696"/>
      <c r="Y192" s="1696" t="s">
        <v>101</v>
      </c>
      <c r="Z192" s="1696" t="s">
        <v>102</v>
      </c>
      <c r="AA192" s="1696" t="s">
        <v>74</v>
      </c>
      <c r="AB192" s="1696"/>
      <c r="AC192" s="1696" t="s">
        <v>103</v>
      </c>
      <c r="AD192" s="1696"/>
      <c r="AE192" s="1216"/>
      <c r="AF192" s="1696" t="s">
        <v>104</v>
      </c>
      <c r="AG192" s="160"/>
      <c r="AH192" s="1772" t="s">
        <v>59</v>
      </c>
      <c r="AI192" s="161" t="s">
        <v>10</v>
      </c>
      <c r="AJ192" s="2303" t="s">
        <v>26</v>
      </c>
      <c r="AK192" s="2304"/>
      <c r="AL192" s="2304"/>
      <c r="AM192" s="2304"/>
      <c r="AN192" s="2304"/>
      <c r="AO192" s="2304"/>
      <c r="AP192" s="2305"/>
      <c r="AQ192" s="1706" t="s">
        <v>143</v>
      </c>
      <c r="AR192" s="1707"/>
      <c r="AS192" s="1707" t="s">
        <v>105</v>
      </c>
      <c r="AT192" s="1707"/>
      <c r="AU192" s="162"/>
      <c r="AV192" s="162"/>
      <c r="AW192" s="163"/>
      <c r="AX192" s="1713" t="s">
        <v>106</v>
      </c>
      <c r="AY192" s="1714"/>
      <c r="AZ192" s="1715"/>
      <c r="BA192" s="851" t="s">
        <v>8</v>
      </c>
      <c r="BB192" s="1693" t="s">
        <v>103</v>
      </c>
      <c r="BC192" s="1694"/>
      <c r="BD192" s="1694"/>
      <c r="BE192" s="1694"/>
      <c r="BF192" s="1694"/>
      <c r="BG192" s="1695"/>
      <c r="BH192" s="1748"/>
      <c r="BI192" s="1749"/>
      <c r="BJ192" s="1748"/>
      <c r="BK192" s="1749"/>
      <c r="BL192" s="156"/>
      <c r="BM192" s="156"/>
      <c r="BN192" s="156"/>
      <c r="BO192" s="156"/>
      <c r="BQ192" s="139"/>
      <c r="BR192" s="139"/>
      <c r="BS192" s="139"/>
      <c r="BT192" s="139"/>
      <c r="BU192" s="139"/>
      <c r="CX192" s="249"/>
      <c r="CY192" s="246"/>
      <c r="CZ192" s="246"/>
      <c r="DA192" s="246"/>
    </row>
    <row r="193" spans="1:105" s="104" customFormat="1" ht="24.75" customHeight="1" thickBot="1" x14ac:dyDescent="0.4">
      <c r="A193" s="2292"/>
      <c r="B193" s="1216" t="s">
        <v>107</v>
      </c>
      <c r="C193" s="1218" t="s">
        <v>108</v>
      </c>
      <c r="D193" s="1216" t="s">
        <v>71</v>
      </c>
      <c r="E193" s="1696"/>
      <c r="F193" s="1216" t="s">
        <v>109</v>
      </c>
      <c r="G193" s="1696"/>
      <c r="H193" s="1217" t="s">
        <v>110</v>
      </c>
      <c r="I193" s="1217" t="s">
        <v>111</v>
      </c>
      <c r="J193" s="1219" t="s">
        <v>112</v>
      </c>
      <c r="K193" s="1696"/>
      <c r="L193" s="1709"/>
      <c r="M193" s="1709"/>
      <c r="N193" s="1709"/>
      <c r="O193" s="1709"/>
      <c r="P193" s="1696"/>
      <c r="Q193" s="1216" t="s">
        <v>113</v>
      </c>
      <c r="R193" s="1216" t="s">
        <v>12</v>
      </c>
      <c r="S193" s="1216" t="s">
        <v>114</v>
      </c>
      <c r="T193" s="1216" t="s">
        <v>52</v>
      </c>
      <c r="U193" s="1216" t="s">
        <v>70</v>
      </c>
      <c r="V193" s="1216" t="s">
        <v>13</v>
      </c>
      <c r="W193" s="1218" t="s">
        <v>144</v>
      </c>
      <c r="X193" s="1216" t="s">
        <v>71</v>
      </c>
      <c r="Y193" s="1696"/>
      <c r="Z193" s="1696"/>
      <c r="AA193" s="1216" t="s">
        <v>73</v>
      </c>
      <c r="AB193" s="1216" t="s">
        <v>115</v>
      </c>
      <c r="AC193" s="1216" t="s">
        <v>9</v>
      </c>
      <c r="AD193" s="1216" t="s">
        <v>71</v>
      </c>
      <c r="AE193" s="1216" t="s">
        <v>116</v>
      </c>
      <c r="AF193" s="1696"/>
      <c r="AG193" s="160"/>
      <c r="AH193" s="1773"/>
      <c r="AI193" s="165" t="s">
        <v>117</v>
      </c>
      <c r="AJ193" s="166" t="s">
        <v>72</v>
      </c>
      <c r="AK193" s="167" t="s">
        <v>30</v>
      </c>
      <c r="AL193" s="167" t="s">
        <v>118</v>
      </c>
      <c r="AM193" s="167" t="s">
        <v>119</v>
      </c>
      <c r="AN193" s="168" t="s">
        <v>120</v>
      </c>
      <c r="AO193" s="169" t="s">
        <v>121</v>
      </c>
      <c r="AP193" s="169" t="s">
        <v>122</v>
      </c>
      <c r="AQ193" s="164" t="s">
        <v>123</v>
      </c>
      <c r="AR193" s="164" t="s">
        <v>124</v>
      </c>
      <c r="AS193" s="170" t="s">
        <v>125</v>
      </c>
      <c r="AT193" s="170" t="s">
        <v>67</v>
      </c>
      <c r="AU193" s="171" t="s">
        <v>114</v>
      </c>
      <c r="AV193" s="171" t="s">
        <v>52</v>
      </c>
      <c r="AW193" s="171" t="s">
        <v>53</v>
      </c>
      <c r="AX193" s="171" t="s">
        <v>114</v>
      </c>
      <c r="AY193" s="171" t="s">
        <v>52</v>
      </c>
      <c r="AZ193" s="171" t="s">
        <v>53</v>
      </c>
      <c r="BA193" s="172" t="s">
        <v>12</v>
      </c>
      <c r="BB193" s="173" t="s">
        <v>126</v>
      </c>
      <c r="BC193" s="167" t="s">
        <v>75</v>
      </c>
      <c r="BD193" s="167">
        <v>0.15</v>
      </c>
      <c r="BE193" s="174">
        <v>3.0000000000000001E-3</v>
      </c>
      <c r="BF193" s="175">
        <v>0.5</v>
      </c>
      <c r="BG193" s="176">
        <v>5.0000000000000001E-3</v>
      </c>
      <c r="BH193" s="177"/>
      <c r="BI193" s="178"/>
      <c r="BJ193" s="177"/>
      <c r="BK193" s="178"/>
      <c r="BL193" s="156"/>
      <c r="BM193" s="156"/>
      <c r="BN193" s="156"/>
      <c r="BO193" s="156"/>
      <c r="BQ193" s="139"/>
      <c r="BR193" s="139"/>
      <c r="BS193" s="139"/>
      <c r="BT193" s="139"/>
      <c r="BU193" s="139"/>
      <c r="CX193" s="249"/>
      <c r="CY193" s="246"/>
      <c r="CZ193" s="246"/>
      <c r="DA193" s="246"/>
    </row>
    <row r="194" spans="1:105" s="104" customFormat="1" ht="24.75" customHeight="1" thickBot="1" x14ac:dyDescent="0.4">
      <c r="A194" s="2291"/>
      <c r="B194" s="1220">
        <f>AD63</f>
        <v>170</v>
      </c>
      <c r="C194" s="153" t="e">
        <f>#REF!</f>
        <v>#REF!</v>
      </c>
      <c r="D194" s="153" t="str">
        <f>J155</f>
        <v>Общ.щ.</v>
      </c>
      <c r="E194" s="153">
        <f>C71</f>
        <v>0</v>
      </c>
      <c r="F194" s="153">
        <f>X35</f>
        <v>68</v>
      </c>
      <c r="G194" s="153">
        <f>V35</f>
        <v>29.8</v>
      </c>
      <c r="H194" s="153" t="str">
        <f>AJ155</f>
        <v>СL⁻</v>
      </c>
      <c r="I194" s="153">
        <f>AF59</f>
        <v>7</v>
      </c>
      <c r="J194" s="153">
        <f>AF61</f>
        <v>13.1</v>
      </c>
      <c r="K194" s="153">
        <f>J53</f>
        <v>81.7</v>
      </c>
      <c r="L194" s="153" t="e">
        <f>#REF!</f>
        <v>#REF!</v>
      </c>
      <c r="M194" s="153">
        <f>B42</f>
        <v>85.7</v>
      </c>
      <c r="N194" s="153">
        <f>AD60</f>
        <v>61</v>
      </c>
      <c r="O194" s="153">
        <f>AD59</f>
        <v>65.599999999999994</v>
      </c>
      <c r="P194" s="153">
        <f>R90</f>
        <v>16.600000000000001</v>
      </c>
      <c r="Q194" s="153" t="str">
        <f>F155</f>
        <v>Общ. ам.</v>
      </c>
      <c r="R194" s="153">
        <f>AB90</f>
        <v>81</v>
      </c>
      <c r="S194" s="153">
        <f>AD90</f>
        <v>55</v>
      </c>
      <c r="T194" s="153">
        <f>AG90</f>
        <v>37.799999999999997</v>
      </c>
      <c r="U194" s="153" t="e">
        <f>X90</f>
        <v>#DIV/0!</v>
      </c>
      <c r="V194" s="153" t="e">
        <f>#REF!</f>
        <v>#REF!</v>
      </c>
      <c r="W194" s="153">
        <f>MAX(P55,S53,S55)</f>
        <v>5.0999999999999996</v>
      </c>
      <c r="X194" s="153" t="str">
        <f>Q155</f>
        <v>Общ. ам.</v>
      </c>
      <c r="Y194" s="153" t="e">
        <f>#REF!</f>
        <v>#REF!</v>
      </c>
      <c r="Z194" s="154" t="str">
        <f>AQ155</f>
        <v>Общ. ам.</v>
      </c>
      <c r="AA194" s="1221" t="str">
        <f>B155</f>
        <v>СО2</v>
      </c>
      <c r="AB194" s="1221" t="str">
        <f>D155</f>
        <v>СL⁻</v>
      </c>
      <c r="AC194" s="1221">
        <f>C107</f>
        <v>99.33</v>
      </c>
      <c r="AD194" s="1221">
        <f>D107</f>
        <v>0.14000000000000001</v>
      </c>
      <c r="AE194" s="1221" t="str">
        <f>R155</f>
        <v>Связ. ам.</v>
      </c>
      <c r="AF194" s="153">
        <f>AG113</f>
        <v>179.3</v>
      </c>
      <c r="AG194" s="160"/>
      <c r="AH194" s="2301"/>
      <c r="AI194" s="179">
        <f>R125</f>
        <v>395</v>
      </c>
      <c r="AJ194" s="180">
        <f>F73</f>
        <v>64</v>
      </c>
      <c r="AK194" s="181" t="str">
        <f>M155</f>
        <v>СО2</v>
      </c>
      <c r="AL194" s="181" t="str">
        <f>H155</f>
        <v>Т0,C</v>
      </c>
      <c r="AM194" s="181">
        <f>S111</f>
        <v>158.5</v>
      </c>
      <c r="AN194" s="181"/>
      <c r="AO194" s="181">
        <f>S115</f>
        <v>438.8</v>
      </c>
      <c r="AP194" s="181">
        <f>S117</f>
        <v>166.1</v>
      </c>
      <c r="AQ194" s="181"/>
      <c r="AR194" s="181">
        <f>S116</f>
        <v>9.3000000000000007</v>
      </c>
      <c r="AS194" s="181"/>
      <c r="AT194" s="181">
        <f>S119</f>
        <v>540</v>
      </c>
      <c r="AU194" s="181">
        <f>O129</f>
        <v>54</v>
      </c>
      <c r="AV194" s="181">
        <f>P129</f>
        <v>62</v>
      </c>
      <c r="AW194" s="181">
        <f>Q129</f>
        <v>50</v>
      </c>
      <c r="AX194" s="181">
        <f>L129</f>
        <v>3.6</v>
      </c>
      <c r="AY194" s="181">
        <f>M129</f>
        <v>3.1</v>
      </c>
      <c r="AZ194" s="181">
        <f>N129</f>
        <v>3.7</v>
      </c>
      <c r="BA194" s="182">
        <f>V113</f>
        <v>3</v>
      </c>
      <c r="BB194" s="183">
        <f>CO70+CS70</f>
        <v>12</v>
      </c>
      <c r="BC194" s="184"/>
      <c r="BD194" s="184">
        <f>CP70+CT70</f>
        <v>0</v>
      </c>
      <c r="BE194" s="185"/>
      <c r="BF194" s="186"/>
      <c r="BG194" s="186"/>
      <c r="BH194" s="187"/>
      <c r="BI194" s="187"/>
      <c r="BJ194" s="187"/>
      <c r="BK194" s="187"/>
      <c r="BL194" s="156"/>
      <c r="BM194" s="156"/>
      <c r="BN194" s="156"/>
      <c r="BO194" s="156"/>
      <c r="BQ194" s="139"/>
      <c r="BR194" s="139"/>
      <c r="BS194" s="139"/>
      <c r="BT194" s="139"/>
      <c r="BU194" s="139"/>
      <c r="CX194" s="249"/>
      <c r="CY194" s="246"/>
      <c r="CZ194" s="246"/>
      <c r="DA194" s="246"/>
    </row>
    <row r="195" spans="1:105" s="104" customFormat="1" ht="24.75" customHeight="1" x14ac:dyDescent="0.35">
      <c r="A195" s="2291"/>
      <c r="B195" s="1222">
        <f>BL63</f>
        <v>200</v>
      </c>
      <c r="C195" s="153" t="e">
        <f>#REF!</f>
        <v>#REF!</v>
      </c>
      <c r="D195" s="153">
        <f>J156</f>
        <v>29.8</v>
      </c>
      <c r="E195" s="155">
        <f>AK71</f>
        <v>0</v>
      </c>
      <c r="F195" s="155">
        <f>BF35</f>
        <v>70.3</v>
      </c>
      <c r="G195" s="155">
        <f>BD35</f>
        <v>27.8</v>
      </c>
      <c r="H195" s="153">
        <f>AJ156</f>
        <v>85.7</v>
      </c>
      <c r="I195" s="155">
        <f>BN59</f>
        <v>8.3000000000000007</v>
      </c>
      <c r="J195" s="155">
        <f>BN61</f>
        <v>15.2</v>
      </c>
      <c r="K195" s="155">
        <f>AR53</f>
        <v>84.9</v>
      </c>
      <c r="L195" s="153" t="e">
        <f>#REF!</f>
        <v>#REF!</v>
      </c>
      <c r="M195" s="155">
        <f>AJ42</f>
        <v>89.300000000000011</v>
      </c>
      <c r="N195" s="155">
        <f>BL60</f>
        <v>60.5</v>
      </c>
      <c r="O195" s="155">
        <f>BL59</f>
        <v>65.400000000000006</v>
      </c>
      <c r="P195" s="155">
        <f>AZ90</f>
        <v>17</v>
      </c>
      <c r="Q195" s="153">
        <f>F156</f>
        <v>0</v>
      </c>
      <c r="R195" s="155">
        <f>BJ90</f>
        <v>80</v>
      </c>
      <c r="S195" s="155">
        <f>BL90</f>
        <v>54.5</v>
      </c>
      <c r="T195" s="155">
        <f>BO90</f>
        <v>35.799999999999997</v>
      </c>
      <c r="U195" s="155" t="e">
        <f>BF90</f>
        <v>#DIV/0!</v>
      </c>
      <c r="V195" s="153" t="e">
        <f>#REF!</f>
        <v>#REF!</v>
      </c>
      <c r="W195" s="155">
        <f>MAX(AX55,BA53,BA55)</f>
        <v>5.2</v>
      </c>
      <c r="X195" s="153">
        <f>Q156</f>
        <v>83.7</v>
      </c>
      <c r="Y195" s="153" t="e">
        <f>#REF!</f>
        <v>#REF!</v>
      </c>
      <c r="Z195" s="154">
        <f>AQ156</f>
        <v>0</v>
      </c>
      <c r="AA195" s="1221">
        <f>B156</f>
        <v>45.2</v>
      </c>
      <c r="AB195" s="1221">
        <f>D156</f>
        <v>0</v>
      </c>
      <c r="AC195" s="1223">
        <f>AK107</f>
        <v>99.33</v>
      </c>
      <c r="AD195" s="1223">
        <f>AL107</f>
        <v>0.16</v>
      </c>
      <c r="AE195" s="1221">
        <f>R156</f>
        <v>51.1</v>
      </c>
      <c r="AF195" s="153">
        <f>BO113</f>
        <v>173.8</v>
      </c>
      <c r="AG195" s="160"/>
      <c r="AH195" s="2302"/>
      <c r="AI195" s="179">
        <f>AZ125</f>
        <v>368</v>
      </c>
      <c r="AJ195" s="189">
        <f>AN73</f>
        <v>62</v>
      </c>
      <c r="AK195" s="181">
        <f>M156</f>
        <v>42.7</v>
      </c>
      <c r="AL195" s="181">
        <f>H156</f>
        <v>37</v>
      </c>
      <c r="AM195" s="151">
        <f>BA111</f>
        <v>155.4</v>
      </c>
      <c r="AN195" s="151"/>
      <c r="AO195" s="151">
        <f>BA115</f>
        <v>428.1</v>
      </c>
      <c r="AP195" s="151">
        <f>BA117</f>
        <v>163.4</v>
      </c>
      <c r="AQ195" s="151"/>
      <c r="AR195" s="151" t="e">
        <f>BA116</f>
        <v>#DIV/0!</v>
      </c>
      <c r="AS195" s="151"/>
      <c r="AT195" s="151">
        <f>BA119</f>
        <v>540</v>
      </c>
      <c r="AU195" s="151">
        <f>AW129</f>
        <v>56</v>
      </c>
      <c r="AV195" s="158">
        <f>AX129</f>
        <v>60</v>
      </c>
      <c r="AW195" s="158">
        <f>AY129</f>
        <v>59</v>
      </c>
      <c r="AX195" s="158">
        <f>AT129</f>
        <v>3.6</v>
      </c>
      <c r="AY195" s="158">
        <f>AU129</f>
        <v>3.2</v>
      </c>
      <c r="AZ195" s="158">
        <f>AV129</f>
        <v>3.9</v>
      </c>
      <c r="BA195" s="190">
        <f>BD113</f>
        <v>3.3</v>
      </c>
      <c r="BB195" s="191">
        <f>CO71+CS71</f>
        <v>12</v>
      </c>
      <c r="BC195" s="188"/>
      <c r="BD195" s="188">
        <f>CP71+CT71</f>
        <v>0</v>
      </c>
      <c r="BE195" s="192"/>
      <c r="BF195" s="144"/>
      <c r="BG195" s="144"/>
      <c r="BH195" s="157"/>
      <c r="BI195" s="157"/>
      <c r="BJ195" s="157"/>
      <c r="BK195" s="157"/>
      <c r="BL195" s="156"/>
      <c r="BM195" s="157"/>
      <c r="BN195" s="157"/>
      <c r="BO195" s="157"/>
      <c r="BQ195" s="139"/>
      <c r="BR195" s="139"/>
      <c r="BS195" s="139"/>
      <c r="BT195" s="139"/>
      <c r="BU195" s="139"/>
      <c r="CX195" s="249"/>
      <c r="CY195" s="246"/>
      <c r="CZ195" s="246"/>
      <c r="DA195" s="246"/>
    </row>
    <row r="196" spans="1:105" s="130" customFormat="1" ht="22.5" customHeight="1" x14ac:dyDescent="0.35">
      <c r="A196" s="1198" t="s">
        <v>188</v>
      </c>
      <c r="B196" s="1198">
        <f>COUNT(C9:C30,AK9:AK30)</f>
        <v>8</v>
      </c>
      <c r="C196" s="1198">
        <f>COUNT(E9:E30,AM9:AM30)</f>
        <v>7</v>
      </c>
      <c r="D196" s="1198">
        <f>COUNT(F9:F30,AN9:AN30)</f>
        <v>1</v>
      </c>
      <c r="E196" s="1198">
        <f>COUNT(AC78:AC89,BK78:BK89)</f>
        <v>4</v>
      </c>
      <c r="F196" s="1198">
        <f>COUNT(AE78:AE89,BM78:BM89)</f>
        <v>0</v>
      </c>
      <c r="G196" s="1198">
        <f>COUNT(G9:G34,AO9:AO34)</f>
        <v>4</v>
      </c>
      <c r="H196" s="1198">
        <f>COUNT(H9:H35,AP9:AP35)</f>
        <v>2</v>
      </c>
      <c r="I196" s="1198">
        <f>COUNT(I9:I35,AQ9:AQ35)</f>
        <v>6</v>
      </c>
      <c r="J196" s="1198">
        <f>COUNT(J9:J34,AR9:AR34)</f>
        <v>22</v>
      </c>
      <c r="K196" s="1198">
        <f>COUNT(B57:G58,J57:K58,AJ57:AO58,AR57:AS58)</f>
        <v>31</v>
      </c>
      <c r="L196" s="1198">
        <f>COUNT(L57:L58,AT5:AT57)</f>
        <v>10</v>
      </c>
      <c r="M196" s="1198">
        <f>COUNT(K35,AS35)</f>
        <v>1</v>
      </c>
      <c r="N196" s="1198">
        <f>COUNT(L35,AT35)</f>
        <v>1</v>
      </c>
      <c r="O196" s="1198">
        <f>COUNT(M35,AU35)</f>
        <v>1</v>
      </c>
      <c r="P196" s="1198">
        <f>COUNT(K9:M28,AS9:AU28)</f>
        <v>10</v>
      </c>
      <c r="Q196" s="1198">
        <f>COUNT(N35,AV35)</f>
        <v>1</v>
      </c>
      <c r="R196" s="1198">
        <f>COUNT(O35,AW35)</f>
        <v>1</v>
      </c>
      <c r="S196" s="1198">
        <f>COUNT(P35,AX35)</f>
        <v>1</v>
      </c>
      <c r="T196" s="1198">
        <f>COUNT(N9:P28,AV9:AX28)</f>
        <v>9</v>
      </c>
      <c r="U196" s="1198">
        <f>COUNT(Q9:Q33,AY9:AY33)</f>
        <v>5</v>
      </c>
      <c r="V196" s="1198">
        <f>COUNT(R9:R33,AZ9:AZ33)</f>
        <v>6</v>
      </c>
      <c r="W196" s="1198">
        <f>COUNT(S9:S33,BA9:BA33)</f>
        <v>6</v>
      </c>
      <c r="X196" s="1198">
        <f>COUNT(T9:T33,BB9:BB33)</f>
        <v>6</v>
      </c>
      <c r="Y196" s="1198">
        <f>COUNT(T34,BB34)</f>
        <v>2</v>
      </c>
      <c r="Z196" s="1198">
        <f>COUNT(U9:U33,BC9:BC33)</f>
        <v>5</v>
      </c>
      <c r="AA196" s="1198">
        <f>COUNT(V9:V33,BD9:BD33)</f>
        <v>6</v>
      </c>
      <c r="AB196" s="1198">
        <f>COUNT(W9:W33,BE9:BE33)</f>
        <v>6</v>
      </c>
      <c r="AC196" s="1198">
        <f>COUNT(X9:X33,BF9:BF33)</f>
        <v>6</v>
      </c>
      <c r="AD196" s="1198">
        <f>COUNT(X34,BF34)</f>
        <v>2</v>
      </c>
      <c r="AE196" s="1198">
        <f>COUNT(Y9:Y33,BG9:BG33)</f>
        <v>5</v>
      </c>
      <c r="AF196" s="1198">
        <f>COUNT(Z9:Z33,BH9:BH33)</f>
        <v>6</v>
      </c>
      <c r="AG196" s="1215">
        <f>COUNT(AA9:AA33,BI9:BI33)</f>
        <v>6</v>
      </c>
      <c r="AH196" s="159">
        <f>COUNT(AB9:AB33,BJ9:BJ33)</f>
        <v>6</v>
      </c>
      <c r="AI196" s="159">
        <f>COUNT(AB34,BJ34)</f>
        <v>2</v>
      </c>
      <c r="AJ196" s="159">
        <f>COUNT(K78:K89,AS78:AS89)</f>
        <v>12</v>
      </c>
      <c r="AK196" s="159">
        <f>COUNT(L78:L89,AT78:AT89)</f>
        <v>12</v>
      </c>
      <c r="AL196" s="159">
        <f>COUNT(M78:T89,AU78:BB89)</f>
        <v>28</v>
      </c>
      <c r="AM196" s="159">
        <f>COUNT(E78:E89,AM78:AM89)</f>
        <v>9</v>
      </c>
      <c r="AN196" s="159">
        <f>COUNT(F78:F89,AN78:AN89)</f>
        <v>9</v>
      </c>
      <c r="AO196" s="159">
        <f>COUNT(G78:G89,AO78:AO89)</f>
        <v>9</v>
      </c>
      <c r="AP196" s="159">
        <f>COUNT(U78:V89,BC78:BD89)</f>
        <v>8</v>
      </c>
      <c r="AQ196" s="159"/>
      <c r="AR196" s="159">
        <f>COUNT(V78:V89,BD78:BD89)</f>
        <v>4</v>
      </c>
      <c r="AS196" s="159">
        <f>COUNT(B78:B89,AJ78:AJ89)</f>
        <v>4</v>
      </c>
      <c r="AT196" s="159">
        <f>COUNT(C78:C89,AK78:AK89)</f>
        <v>4</v>
      </c>
      <c r="AU196" s="159">
        <f>COUNT(D78:D90,AL78:AL91)</f>
        <v>2</v>
      </c>
      <c r="AV196" s="159">
        <f>COUNT(B40,AJ40,#REF!,G40:G53,AO40:AO53)</f>
        <v>7</v>
      </c>
      <c r="AW196" s="159">
        <f>COUNT(C40,AK40)</f>
        <v>2</v>
      </c>
      <c r="AX196" s="159">
        <f>COUNT(D40,AL40)</f>
        <v>2</v>
      </c>
      <c r="AY196" s="159">
        <f>COUNT(E40,AM40)</f>
        <v>2</v>
      </c>
      <c r="AZ196" s="159">
        <f>COUNT(F40,AN40)</f>
        <v>2</v>
      </c>
      <c r="BA196" s="159">
        <f>COUNT(B41,AJ41,#REF!,H40:H53,AP40:AP53)</f>
        <v>7</v>
      </c>
      <c r="BB196" s="159">
        <f>COUNT(C41,AK41)</f>
        <v>2</v>
      </c>
      <c r="BC196" s="159">
        <f>COUNT(D41,AL41)</f>
        <v>2</v>
      </c>
      <c r="BD196" s="159">
        <f>COUNT(E41,AM41)</f>
        <v>2</v>
      </c>
      <c r="BE196" s="159">
        <f>COUNT(F41,AN41)</f>
        <v>2</v>
      </c>
      <c r="BF196" s="159">
        <f>COUNT(B44,AJ44,#REF!,I40:I53,AQ40:AQ53)</f>
        <v>7</v>
      </c>
      <c r="BG196" s="159">
        <f>COUNT(C44,AK44)</f>
        <v>2</v>
      </c>
      <c r="BH196" s="159">
        <f>COUNT(D44,AL44)</f>
        <v>2</v>
      </c>
      <c r="BI196" s="159">
        <f>COUNT(E44,AM44)</f>
        <v>2</v>
      </c>
      <c r="BJ196" s="159">
        <f>COUNT(F44,AN44)</f>
        <v>2</v>
      </c>
      <c r="BK196" s="159">
        <f>COUNT(J40:J53,AR40:AR53)</f>
        <v>7</v>
      </c>
      <c r="BL196" s="159">
        <f>COUNT(K40:K53,AS40:AS53)</f>
        <v>7</v>
      </c>
      <c r="BM196" s="159">
        <f>COUNT(L40:L53,AT40:AT53)</f>
        <v>7</v>
      </c>
      <c r="BN196" s="159">
        <f>COUNT(M40:M53,AU40:AU53)</f>
        <v>7</v>
      </c>
      <c r="BO196" s="159">
        <f>COUNT(AT54,L54)</f>
        <v>2</v>
      </c>
      <c r="BP196" s="159">
        <f>COUNT(AI54)</f>
        <v>1</v>
      </c>
      <c r="BQ196" s="159">
        <f>COUNT(AJ54)</f>
        <v>1</v>
      </c>
      <c r="BR196" s="159">
        <f>COUNT(AK54)</f>
        <v>1</v>
      </c>
      <c r="BS196" s="159">
        <f>COUNT(AL54)</f>
        <v>1</v>
      </c>
      <c r="BT196" s="159">
        <f>COUNT(X61,BF61,CN61)</f>
        <v>0</v>
      </c>
      <c r="BU196" s="159">
        <f>COUNT(Y40:Y52,BG40:BG52)</f>
        <v>7</v>
      </c>
      <c r="BV196" s="159">
        <f>COUNT(O40:O54,AW40:AW54)</f>
        <v>14</v>
      </c>
      <c r="BW196" s="159">
        <f>COUNT(P40:P54,AX40:AX54)</f>
        <v>14</v>
      </c>
      <c r="BX196" s="159">
        <f>COUNT(Q40:Q54,AY40:AY54)</f>
        <v>14</v>
      </c>
      <c r="BY196" s="159">
        <f t="shared" ref="BY196:CD196" si="89">COUNT(R40:R53,AZ40:AZ53)</f>
        <v>13</v>
      </c>
      <c r="BZ196" s="159">
        <f t="shared" si="89"/>
        <v>13</v>
      </c>
      <c r="CA196" s="159">
        <f t="shared" si="89"/>
        <v>7</v>
      </c>
      <c r="CB196" s="159">
        <f>COUNT(U40:U54,BC40:BC54)</f>
        <v>6</v>
      </c>
      <c r="CC196" s="159">
        <f t="shared" si="89"/>
        <v>6</v>
      </c>
      <c r="CD196" s="159">
        <f t="shared" si="89"/>
        <v>4</v>
      </c>
      <c r="CE196" s="159">
        <f>COUNT(X40:X53,BF40:BF53)</f>
        <v>6</v>
      </c>
      <c r="CF196" s="159">
        <f>COUNT(Y40:Y55,BG40:BG55)</f>
        <v>9</v>
      </c>
      <c r="CG196" s="159">
        <f t="shared" ref="CG196:CL196" si="90">COUNT(Z40:Z53,BH40:BH53)</f>
        <v>26</v>
      </c>
      <c r="CH196" s="159">
        <f t="shared" si="90"/>
        <v>15</v>
      </c>
      <c r="CI196" s="159">
        <f t="shared" si="90"/>
        <v>15</v>
      </c>
      <c r="CJ196" s="159">
        <f t="shared" si="90"/>
        <v>16</v>
      </c>
      <c r="CK196" s="159">
        <f t="shared" si="90"/>
        <v>16</v>
      </c>
      <c r="CL196" s="159">
        <f t="shared" si="90"/>
        <v>15</v>
      </c>
      <c r="CM196" s="261">
        <f>COUNT(U54,BC54)</f>
        <v>2</v>
      </c>
      <c r="CN196" s="261">
        <f>COUNT(U53,BC53)</f>
        <v>2</v>
      </c>
      <c r="CO196" s="261">
        <f>COUNT(V53,BD53)</f>
        <v>2</v>
      </c>
      <c r="CX196" s="252"/>
      <c r="CY196" s="252"/>
      <c r="CZ196" s="252"/>
      <c r="DA196" s="252"/>
    </row>
    <row r="197" spans="1:105" ht="24" customHeight="1" x14ac:dyDescent="0.35">
      <c r="BE197" s="69"/>
      <c r="BF197" s="69"/>
      <c r="BG197" s="69"/>
      <c r="BH197" s="69"/>
      <c r="BI197" s="69"/>
      <c r="BJ197" s="69"/>
      <c r="BK197" s="69"/>
      <c r="BL197" s="69"/>
      <c r="BP197" s="3"/>
    </row>
    <row r="198" spans="1:105" ht="56.25" customHeight="1" x14ac:dyDescent="0.35">
      <c r="A198" s="1767" t="s">
        <v>1026</v>
      </c>
      <c r="B198" s="1767"/>
      <c r="C198" s="1767"/>
      <c r="D198" s="1205" t="s">
        <v>1027</v>
      </c>
      <c r="E198" s="1768" t="s">
        <v>1028</v>
      </c>
      <c r="F198" s="1768"/>
      <c r="G198" s="1768"/>
      <c r="H198" s="1768"/>
      <c r="I198" s="1768"/>
      <c r="J198" s="1768"/>
      <c r="K198" s="1768" t="s">
        <v>1029</v>
      </c>
      <c r="L198" s="1768"/>
      <c r="M198" s="1768"/>
      <c r="N198" s="1768" t="s">
        <v>1030</v>
      </c>
      <c r="O198" s="1768"/>
      <c r="P198" s="1768"/>
      <c r="Q198" s="1206" t="s">
        <v>1031</v>
      </c>
      <c r="R198" s="1740" t="s">
        <v>1032</v>
      </c>
      <c r="S198" s="1740"/>
      <c r="T198" s="1740"/>
      <c r="U198" s="1768" t="s">
        <v>1033</v>
      </c>
      <c r="V198" s="1768"/>
      <c r="W198" s="1768"/>
      <c r="X198" s="1767" t="s">
        <v>1034</v>
      </c>
      <c r="Y198" s="1767"/>
      <c r="Z198" s="1767"/>
      <c r="AA198" s="1205" t="s">
        <v>1035</v>
      </c>
      <c r="AB198" s="1740" t="s">
        <v>1036</v>
      </c>
      <c r="AC198" s="1740"/>
      <c r="AD198" s="1740"/>
      <c r="AE198" s="1769" t="s">
        <v>1037</v>
      </c>
      <c r="AF198" s="1769"/>
      <c r="AG198" s="1769"/>
      <c r="AH198" s="1204" t="s">
        <v>1038</v>
      </c>
      <c r="AI198" s="1770" t="s">
        <v>1420</v>
      </c>
      <c r="AJ198" s="1770"/>
      <c r="AK198" s="1770"/>
      <c r="AL198" s="1770"/>
      <c r="AM198" s="1770"/>
      <c r="AN198" s="1770"/>
      <c r="AO198" s="1770"/>
      <c r="AP198" s="1770"/>
      <c r="AQ198" s="1770"/>
      <c r="AR198" s="1771" t="s">
        <v>1039</v>
      </c>
      <c r="AS198" s="1771"/>
      <c r="AT198" s="1771"/>
      <c r="AU198" s="1771"/>
      <c r="AV198" s="1771"/>
      <c r="AW198" s="1771"/>
      <c r="AX198" s="1771"/>
      <c r="AY198" s="1771"/>
      <c r="AZ198" s="1771"/>
      <c r="BA198" s="1740" t="s">
        <v>1040</v>
      </c>
      <c r="BB198" s="1740"/>
      <c r="BC198" s="1740"/>
      <c r="BD198" s="1741" t="s">
        <v>1041</v>
      </c>
    </row>
    <row r="199" spans="1:105" ht="33.75" customHeight="1" x14ac:dyDescent="0.35">
      <c r="A199" s="1207" t="s">
        <v>129</v>
      </c>
      <c r="B199" s="1207" t="s">
        <v>1042</v>
      </c>
      <c r="C199" s="1207" t="s">
        <v>1043</v>
      </c>
      <c r="D199" s="1208" t="s">
        <v>1043</v>
      </c>
      <c r="E199" s="1209" t="s">
        <v>9</v>
      </c>
      <c r="F199" s="1207" t="s">
        <v>1042</v>
      </c>
      <c r="G199" s="1210" t="s">
        <v>1043</v>
      </c>
      <c r="H199" s="1209" t="s">
        <v>1044</v>
      </c>
      <c r="I199" s="1207" t="s">
        <v>1042</v>
      </c>
      <c r="J199" s="1210" t="s">
        <v>1043</v>
      </c>
      <c r="K199" s="1207" t="s">
        <v>1045</v>
      </c>
      <c r="L199" s="1207" t="s">
        <v>1042</v>
      </c>
      <c r="M199" s="1207" t="s">
        <v>1043</v>
      </c>
      <c r="N199" s="1207" t="s">
        <v>274</v>
      </c>
      <c r="O199" s="1207" t="s">
        <v>1042</v>
      </c>
      <c r="P199" s="1207" t="s">
        <v>1043</v>
      </c>
      <c r="Q199" s="1207" t="s">
        <v>274</v>
      </c>
      <c r="R199" s="1207" t="s">
        <v>1045</v>
      </c>
      <c r="S199" s="1207" t="s">
        <v>1042</v>
      </c>
      <c r="T199" s="1207" t="s">
        <v>1043</v>
      </c>
      <c r="U199" s="1207" t="s">
        <v>1045</v>
      </c>
      <c r="V199" s="1207" t="s">
        <v>1046</v>
      </c>
      <c r="W199" s="1207" t="s">
        <v>1043</v>
      </c>
      <c r="X199" s="1207" t="s">
        <v>129</v>
      </c>
      <c r="Y199" s="1207" t="s">
        <v>1042</v>
      </c>
      <c r="Z199" s="1207" t="s">
        <v>1043</v>
      </c>
      <c r="AA199" s="1208" t="s">
        <v>1043</v>
      </c>
      <c r="AB199" s="1207" t="s">
        <v>151</v>
      </c>
      <c r="AC199" s="1207" t="s">
        <v>1042</v>
      </c>
      <c r="AD199" s="1207" t="s">
        <v>1043</v>
      </c>
      <c r="AE199" s="1207" t="s">
        <v>129</v>
      </c>
      <c r="AF199" s="1207" t="s">
        <v>1042</v>
      </c>
      <c r="AG199" s="1207" t="s">
        <v>1043</v>
      </c>
      <c r="AH199" s="1208" t="s">
        <v>1043</v>
      </c>
      <c r="AI199" s="1211" t="s">
        <v>1047</v>
      </c>
      <c r="AJ199" s="1207" t="s">
        <v>1042</v>
      </c>
      <c r="AK199" s="1207" t="s">
        <v>1043</v>
      </c>
      <c r="AL199" s="1211" t="s">
        <v>1048</v>
      </c>
      <c r="AM199" s="1207" t="s">
        <v>1042</v>
      </c>
      <c r="AN199" s="1207" t="s">
        <v>1043</v>
      </c>
      <c r="AO199" s="1207" t="s">
        <v>53</v>
      </c>
      <c r="AP199" s="1207" t="s">
        <v>1042</v>
      </c>
      <c r="AQ199" s="1207" t="s">
        <v>1043</v>
      </c>
      <c r="AR199" s="1211" t="s">
        <v>1049</v>
      </c>
      <c r="AS199" s="1207" t="s">
        <v>1042</v>
      </c>
      <c r="AT199" s="1207" t="s">
        <v>1043</v>
      </c>
      <c r="AU199" s="1211" t="s">
        <v>1050</v>
      </c>
      <c r="AV199" s="1207" t="s">
        <v>1042</v>
      </c>
      <c r="AW199" s="1207" t="s">
        <v>1043</v>
      </c>
      <c r="AX199" s="1211" t="s">
        <v>1051</v>
      </c>
      <c r="AY199" s="1207" t="s">
        <v>1042</v>
      </c>
      <c r="AZ199" s="1207" t="s">
        <v>1043</v>
      </c>
      <c r="BA199" s="1207" t="s">
        <v>151</v>
      </c>
      <c r="BB199" s="1207" t="s">
        <v>1042</v>
      </c>
      <c r="BC199" s="1207" t="s">
        <v>1043</v>
      </c>
      <c r="BD199" s="1741"/>
    </row>
    <row r="200" spans="1:105" ht="33.75" customHeight="1" x14ac:dyDescent="0.35">
      <c r="A200" s="1203">
        <f>AA90</f>
        <v>70</v>
      </c>
      <c r="B200" s="1212">
        <f>COUNT(AA78:AA89)</f>
        <v>1</v>
      </c>
      <c r="C200" s="1212">
        <f>COUNTIF(AA78:AA89,"&lt;75,0")</f>
        <v>1</v>
      </c>
      <c r="D200" s="1212">
        <f>COUNTIF(AA78:AA89,"&lt;80,0")</f>
        <v>1</v>
      </c>
      <c r="E200" s="1202">
        <f>C107</f>
        <v>99.33</v>
      </c>
      <c r="F200" s="1202">
        <f>COUNT(C95:C106,G95:G106,K95:K106,S95:S106,O95:O106)</f>
        <v>34</v>
      </c>
      <c r="G200" s="1213">
        <f>COUNTIF(C95:C106,"&lt;99,00")+COUNTIF(G95:G106,"&lt;99,00")+COUNTIF(K95:K106,"&lt;99,00")+COUNTIF(S95:S106,"&lt;99,00")</f>
        <v>0</v>
      </c>
      <c r="H200" s="1202">
        <f>D107</f>
        <v>0.14000000000000001</v>
      </c>
      <c r="I200" s="1202">
        <f>F200</f>
        <v>34</v>
      </c>
      <c r="J200" s="1213">
        <f>COUNTIF(D95:D106,"&gt;0,15")+COUNTIF(H95:H106,"&gt;0,15")+COUNTIF(L95:L106,"&gt;0,15")+COUNTIF(T95:T106,"&gt;0,15")</f>
        <v>3</v>
      </c>
      <c r="K200" s="1202">
        <f>AG113</f>
        <v>179.3</v>
      </c>
      <c r="L200" s="1202">
        <f>AG114</f>
        <v>6</v>
      </c>
      <c r="M200" s="1212">
        <f>COUNTIF(Y113:AF113,"&lt;165")+COUNTIF(Y113:AF113,"&gt;185")</f>
        <v>0</v>
      </c>
      <c r="N200" s="1202">
        <f>S116</f>
        <v>9.3000000000000007</v>
      </c>
      <c r="O200" s="1202">
        <f>T116</f>
        <v>8</v>
      </c>
      <c r="P200" s="1212">
        <f>COUNTIF(AK116:AZ116,"&lt;8,5")</f>
        <v>0</v>
      </c>
      <c r="Q200" s="1202">
        <f>S117</f>
        <v>166.1</v>
      </c>
      <c r="R200" s="1202">
        <f>S115</f>
        <v>438.8</v>
      </c>
      <c r="S200" s="1202">
        <f>T115</f>
        <v>8</v>
      </c>
      <c r="T200" s="1212">
        <f>COUNTIF(C115:R115,"&gt;550")</f>
        <v>0</v>
      </c>
      <c r="U200" s="1202">
        <f>S111</f>
        <v>158.5</v>
      </c>
      <c r="V200" s="1202">
        <f>T111</f>
        <v>8</v>
      </c>
      <c r="W200" s="1212">
        <f>COUNTIF(C111:R111,"&lt;145")+COUNTIF(C111:R111,"&gt;165")</f>
        <v>0</v>
      </c>
      <c r="X200" s="1203">
        <f>AB90</f>
        <v>81</v>
      </c>
      <c r="Y200" s="1212">
        <f>COUNT(AB78:AB89)</f>
        <v>1</v>
      </c>
      <c r="Z200" s="1212">
        <f>COUNTIF(AB78:AB89,"&lt;84,0")</f>
        <v>1</v>
      </c>
      <c r="AA200" s="1212">
        <f>COUNTIF(AB78:AB89,"&lt;90,0")</f>
        <v>1</v>
      </c>
      <c r="AB200" s="1202"/>
      <c r="AC200" s="1202"/>
      <c r="AD200" s="1202"/>
      <c r="AE200" s="1202"/>
      <c r="AF200" s="1202"/>
      <c r="AG200" s="1202"/>
      <c r="AH200" s="1202"/>
      <c r="AI200" s="1202">
        <f>O125</f>
        <v>54</v>
      </c>
      <c r="AJ200" s="1202">
        <v>1</v>
      </c>
      <c r="AK200" s="1214">
        <f>COUNTIF(O129,"&lt;50")+COUNTIF(O129,"&gt;70")</f>
        <v>0</v>
      </c>
      <c r="AL200" s="1202">
        <f>P125</f>
        <v>62</v>
      </c>
      <c r="AM200" s="1202">
        <v>1</v>
      </c>
      <c r="AN200" s="1214">
        <f>COUNTIF(P129,"&lt;50")+COUNTIF(P129,"&gt;70")</f>
        <v>0</v>
      </c>
      <c r="AO200" s="1202">
        <f>Q125</f>
        <v>50</v>
      </c>
      <c r="AP200" s="1202">
        <v>1</v>
      </c>
      <c r="AQ200" s="1214">
        <f>COUNTIF(Q129,"&lt;50")+COUNTIF(Q129,"&gt;70")</f>
        <v>0</v>
      </c>
      <c r="AR200" s="1202">
        <f>L125</f>
        <v>3.6</v>
      </c>
      <c r="AS200" s="1202">
        <v>1</v>
      </c>
      <c r="AT200" s="1214">
        <f>COUNTIF(L129,"&lt;3,6")+COUNTIF(L129,"&gt;4,2")</f>
        <v>0</v>
      </c>
      <c r="AU200" s="1202">
        <f>M125</f>
        <v>3.1</v>
      </c>
      <c r="AV200" s="1202">
        <v>1</v>
      </c>
      <c r="AW200" s="1214">
        <f>COUNTIF(M129,"&lt;2,5")+COUNTIF(M129,"&gt;3,3")</f>
        <v>0</v>
      </c>
      <c r="AX200" s="1202">
        <f>N125</f>
        <v>3.7</v>
      </c>
      <c r="AY200" s="1202">
        <v>1</v>
      </c>
      <c r="AZ200" s="1214">
        <f>COUNTIF(N129,"&lt;3,4")+COUNTIF(N129,"&gt;4,2")</f>
        <v>0</v>
      </c>
      <c r="BA200" s="1202">
        <f>R125</f>
        <v>395</v>
      </c>
      <c r="BB200" s="1202">
        <v>1</v>
      </c>
      <c r="BC200" s="1212">
        <f>COUNTIF(R125,"&lt;380")</f>
        <v>0</v>
      </c>
      <c r="BD200" s="1202">
        <f>E107</f>
        <v>2E-3</v>
      </c>
    </row>
    <row r="201" spans="1:105" ht="33.75" customHeight="1" x14ac:dyDescent="0.35">
      <c r="A201" s="1203">
        <f>BI90</f>
        <v>75</v>
      </c>
      <c r="B201" s="1212">
        <f>COUNT(BI78:BI89)</f>
        <v>1</v>
      </c>
      <c r="C201" s="1212">
        <f>COUNTIF(BI78:BI89,"&lt;75,0")</f>
        <v>0</v>
      </c>
      <c r="D201" s="1212">
        <f>COUNTIF(BI78:BI89,"&lt;80,0")</f>
        <v>1</v>
      </c>
      <c r="E201" s="1202">
        <f>AK107</f>
        <v>99.33</v>
      </c>
      <c r="F201" s="1202">
        <f>COUNT(AK95:AK106,AO95:AO106,AS95:AS106,AW95:AW106,BA95:BA106)</f>
        <v>36</v>
      </c>
      <c r="G201" s="1213">
        <f>COUNTIF(AK95:AK106,"&lt;99,00")+COUNTIF(AO95:AO106,"&lt;99,00")+COUNTIF(AS95:AS106,"&lt;99,00")+COUNTIF(BA95:BA106,"&lt;99,00")</f>
        <v>0</v>
      </c>
      <c r="H201" s="1202">
        <f>AL107</f>
        <v>0.16</v>
      </c>
      <c r="I201" s="1202">
        <f>F201</f>
        <v>36</v>
      </c>
      <c r="J201" s="1213">
        <f>COUNTIF(AL95:AL106,"&gt;0,15")+COUNTIF(AP95:AP106,"&gt;0,15")+COUNTIF(AT95:AT106,"&gt;0,15")+COUNTIF(BB95:BB106,"&gt;0,15")</f>
        <v>20</v>
      </c>
      <c r="K201" s="1202">
        <f>BO113</f>
        <v>173.8</v>
      </c>
      <c r="L201" s="1202">
        <f>BO114</f>
        <v>6</v>
      </c>
      <c r="M201" s="1212">
        <f>COUNTIF(BG113:BN113,"&lt;165")+COUNTIF(BG113:BN113,"&gt;185")</f>
        <v>0</v>
      </c>
      <c r="N201" s="1203" t="e">
        <f>BA116</f>
        <v>#DIV/0!</v>
      </c>
      <c r="O201" s="1549">
        <f>BB116</f>
        <v>0</v>
      </c>
      <c r="P201" s="1212">
        <f>COUNTIF(C117:R117,"&lt;8,5")</f>
        <v>0</v>
      </c>
      <c r="Q201" s="1202">
        <f>BA117</f>
        <v>163.4</v>
      </c>
      <c r="R201" s="1202">
        <f>BA115</f>
        <v>428.1</v>
      </c>
      <c r="S201" s="1202">
        <f>BB115</f>
        <v>9</v>
      </c>
      <c r="T201" s="1212">
        <f>COUNTIF(AK115:AZ115,"&gt;550")</f>
        <v>0</v>
      </c>
      <c r="U201" s="1202">
        <f>BA111</f>
        <v>155.4</v>
      </c>
      <c r="V201" s="1202">
        <f>BB111</f>
        <v>9</v>
      </c>
      <c r="W201" s="1212">
        <f>COUNTIF(AK111:AZ111,"&lt;145")+COUNTIF(AK111:AZ111,"&gt;165")</f>
        <v>0</v>
      </c>
      <c r="X201" s="1203">
        <f>BJ90</f>
        <v>80</v>
      </c>
      <c r="Y201" s="1212">
        <f>COUNT(BJ78:BJ89)</f>
        <v>1</v>
      </c>
      <c r="Z201" s="1212">
        <f>COUNTIF(BJ78:BJ89,"&lt;84,0")</f>
        <v>1</v>
      </c>
      <c r="AA201" s="1212">
        <f>COUNTIF(BJ78:BJ89,"&lt;90,0")</f>
        <v>1</v>
      </c>
      <c r="AB201" s="1202">
        <f>BA112</f>
        <v>97.3</v>
      </c>
      <c r="AC201" s="1202">
        <f>BB112</f>
        <v>9</v>
      </c>
      <c r="AD201" s="1212">
        <f>COUNTIF(AK112:AZ112,"&gt;120")</f>
        <v>0</v>
      </c>
      <c r="AE201" s="1202"/>
      <c r="AF201" s="1202"/>
      <c r="AG201" s="1202"/>
      <c r="AH201" s="1202"/>
      <c r="AI201" s="1202">
        <f>AW125</f>
        <v>56</v>
      </c>
      <c r="AJ201" s="1202">
        <v>1</v>
      </c>
      <c r="AK201" s="1214">
        <f>COUNTIF(AW129,"&lt;50")+COUNTIF(AW129,"&gt;70")</f>
        <v>0</v>
      </c>
      <c r="AL201" s="1202">
        <f>AX125</f>
        <v>60</v>
      </c>
      <c r="AM201" s="1202">
        <v>1</v>
      </c>
      <c r="AN201" s="1214">
        <f>COUNTIF(AX129,"&lt;50")+COUNTIF(AX129,"&gt;70")</f>
        <v>0</v>
      </c>
      <c r="AO201" s="1202">
        <f>AY125</f>
        <v>59</v>
      </c>
      <c r="AP201" s="1202">
        <v>1</v>
      </c>
      <c r="AQ201" s="1214">
        <f>COUNTIF(AY129,"&lt;50")+COUNTIF(AY129,"&gt;70")</f>
        <v>0</v>
      </c>
      <c r="AR201" s="1202">
        <f>AT125</f>
        <v>3.6</v>
      </c>
      <c r="AS201" s="1202">
        <v>1</v>
      </c>
      <c r="AT201" s="1214">
        <f>COUNTIF(AT129,"&lt;3,6")+COUNTIF(AT129,"&gt;4,2")</f>
        <v>0</v>
      </c>
      <c r="AU201" s="1202">
        <f>AU125</f>
        <v>3.2</v>
      </c>
      <c r="AV201" s="1202">
        <v>1</v>
      </c>
      <c r="AW201" s="1214">
        <f>COUNTIF(AU129,"&lt;2,5")+COUNTIF(AU129,"&gt;3,3")</f>
        <v>0</v>
      </c>
      <c r="AX201" s="1202">
        <f>AV125</f>
        <v>3.9</v>
      </c>
      <c r="AY201" s="1202">
        <v>1</v>
      </c>
      <c r="AZ201" s="1214">
        <f>COUNTIF(AV129,"&lt;3,4")+COUNTIF(AV129,"&gt;4,2")</f>
        <v>0</v>
      </c>
      <c r="BA201" s="1202">
        <f>AZ125</f>
        <v>368</v>
      </c>
      <c r="BB201" s="1202">
        <v>1</v>
      </c>
      <c r="BC201" s="1212">
        <f>COUNTIF(AZ125,"&lt;380")</f>
        <v>1</v>
      </c>
      <c r="BD201" s="1202">
        <f>AM107</f>
        <v>1.8E-3</v>
      </c>
      <c r="BE201" s="25"/>
      <c r="BF201" s="25"/>
      <c r="BG201" s="25"/>
    </row>
    <row r="203" spans="1:105" x14ac:dyDescent="0.35">
      <c r="A203" s="1202" t="s">
        <v>129</v>
      </c>
      <c r="B203" s="1202"/>
      <c r="C203" s="1202" t="s">
        <v>1052</v>
      </c>
      <c r="D203" s="1202"/>
      <c r="E203" s="1202"/>
      <c r="F203" s="1202"/>
      <c r="G203" s="1202"/>
      <c r="BP203" s="3"/>
    </row>
    <row r="204" spans="1:105" x14ac:dyDescent="0.35">
      <c r="A204" s="1202" t="s">
        <v>1053</v>
      </c>
      <c r="B204" s="1202" t="s">
        <v>1054</v>
      </c>
      <c r="C204" s="1202" t="s">
        <v>1055</v>
      </c>
      <c r="D204" s="1202" t="s">
        <v>394</v>
      </c>
      <c r="E204" s="1202" t="s">
        <v>1056</v>
      </c>
      <c r="F204" s="1202" t="s">
        <v>1057</v>
      </c>
      <c r="G204" s="1202" t="s">
        <v>1058</v>
      </c>
      <c r="BP204" s="3"/>
    </row>
    <row r="205" spans="1:105" x14ac:dyDescent="0.35">
      <c r="A205" s="1203" t="e">
        <f>X90</f>
        <v>#DIV/0!</v>
      </c>
      <c r="B205" s="1203">
        <f>AVERAGE(AG78:AG89)</f>
        <v>37.799999999999997</v>
      </c>
      <c r="C205" s="1202">
        <f>V111</f>
        <v>31</v>
      </c>
      <c r="D205" s="1202">
        <f>V112</f>
        <v>249</v>
      </c>
      <c r="E205" s="1202">
        <f>V114</f>
        <v>36</v>
      </c>
      <c r="F205" s="1203">
        <f>AG112</f>
        <v>-0.5</v>
      </c>
      <c r="G205" s="1203">
        <f>AG111</f>
        <v>25.7</v>
      </c>
      <c r="BP205" s="3"/>
    </row>
    <row r="206" spans="1:105" x14ac:dyDescent="0.35">
      <c r="A206" s="1203" t="e">
        <f>BF90</f>
        <v>#DIV/0!</v>
      </c>
      <c r="B206" s="1203">
        <f>AVERAGE(BO78:BO89)</f>
        <v>35.799999999999997</v>
      </c>
      <c r="C206" s="1202">
        <f>BD111</f>
        <v>31</v>
      </c>
      <c r="D206" s="1202">
        <f>BD112</f>
        <v>248</v>
      </c>
      <c r="E206" s="1202">
        <f>BD114</f>
        <v>35</v>
      </c>
      <c r="F206" s="1203">
        <f>BO112</f>
        <v>-1</v>
      </c>
      <c r="G206" s="1203">
        <f>BO111</f>
        <v>22.5</v>
      </c>
      <c r="BP206" s="3"/>
    </row>
    <row r="207" spans="1:105" x14ac:dyDescent="0.35">
      <c r="BP207" s="3"/>
    </row>
    <row r="208" spans="1:105" x14ac:dyDescent="0.35">
      <c r="BP208" s="3"/>
    </row>
    <row r="209" spans="1:105" x14ac:dyDescent="0.35">
      <c r="BP209" s="3"/>
    </row>
    <row r="210" spans="1:105" x14ac:dyDescent="0.35">
      <c r="BP210" s="3"/>
    </row>
    <row r="211" spans="1:105" s="35" customFormat="1" ht="15.6" x14ac:dyDescent="0.3">
      <c r="BQ211" s="40"/>
      <c r="CU211" s="94"/>
      <c r="CV211" s="94"/>
      <c r="CW211" s="94"/>
      <c r="CX211" s="94"/>
      <c r="CY211" s="94"/>
      <c r="CZ211" s="1344"/>
      <c r="DA211" s="1164"/>
    </row>
    <row r="212" spans="1:105" s="1261" customFormat="1" ht="28.5" customHeight="1" x14ac:dyDescent="0.25">
      <c r="A212" s="1298" t="s">
        <v>0</v>
      </c>
      <c r="B212" s="1774" t="s">
        <v>1324</v>
      </c>
      <c r="C212" s="1775"/>
      <c r="D212" s="1775"/>
      <c r="E212" s="1775"/>
      <c r="F212" s="1774" t="s">
        <v>1322</v>
      </c>
      <c r="G212" s="1775"/>
      <c r="H212" s="1775"/>
      <c r="I212" s="1775"/>
      <c r="J212" s="1785"/>
      <c r="K212" s="2255" t="s">
        <v>1312</v>
      </c>
      <c r="L212" s="2255"/>
      <c r="M212" s="2255"/>
      <c r="N212" s="2255"/>
      <c r="O212" s="2255"/>
      <c r="P212" s="2255" t="s">
        <v>1313</v>
      </c>
      <c r="Q212" s="2255"/>
      <c r="R212" s="2255"/>
      <c r="S212" s="2255"/>
      <c r="T212" s="2255"/>
      <c r="U212" s="2255" t="s">
        <v>1311</v>
      </c>
      <c r="V212" s="2255"/>
      <c r="W212" s="2255"/>
      <c r="X212" s="2255"/>
      <c r="Y212" s="2255"/>
      <c r="Z212" s="1764" t="s">
        <v>1400</v>
      </c>
      <c r="AA212" s="1765"/>
      <c r="AB212" s="2256" t="s">
        <v>1403</v>
      </c>
      <c r="AC212" s="2256"/>
      <c r="AD212" s="1332" t="s">
        <v>1401</v>
      </c>
      <c r="AE212" s="1764" t="s">
        <v>1393</v>
      </c>
      <c r="AF212" s="1765"/>
      <c r="AG212" s="1766"/>
      <c r="AH212" s="1332" t="s">
        <v>1402</v>
      </c>
      <c r="AI212" s="1697" t="s">
        <v>1315</v>
      </c>
      <c r="AJ212" s="1698"/>
      <c r="AK212" s="1698"/>
      <c r="AL212" s="1698"/>
      <c r="AM212" s="1699"/>
      <c r="AN212" s="1697" t="s">
        <v>1316</v>
      </c>
      <c r="AO212" s="1698"/>
      <c r="AP212" s="1698"/>
      <c r="AQ212" s="1698"/>
      <c r="AR212" s="1699"/>
      <c r="AS212" s="1697" t="s">
        <v>1314</v>
      </c>
      <c r="AT212" s="1698"/>
      <c r="AU212" s="1698"/>
      <c r="AV212" s="1698"/>
      <c r="AW212" s="1699"/>
      <c r="AX212" s="1764" t="s">
        <v>1287</v>
      </c>
      <c r="AY212" s="1765"/>
      <c r="AZ212" s="1766"/>
    </row>
    <row r="213" spans="1:105" s="1261" customFormat="1" ht="28.5" customHeight="1" x14ac:dyDescent="0.25">
      <c r="A213" s="1326" t="s">
        <v>1309</v>
      </c>
      <c r="B213" s="1297" t="s">
        <v>1279</v>
      </c>
      <c r="C213" s="1199" t="s">
        <v>1209</v>
      </c>
      <c r="D213" s="1326" t="s">
        <v>128</v>
      </c>
      <c r="E213" s="1199" t="s">
        <v>1277</v>
      </c>
      <c r="F213" s="1297" t="s">
        <v>1279</v>
      </c>
      <c r="G213" s="1199" t="s">
        <v>1209</v>
      </c>
      <c r="H213" s="1326" t="s">
        <v>128</v>
      </c>
      <c r="I213" s="1326" t="s">
        <v>1309</v>
      </c>
      <c r="J213" s="1199" t="s">
        <v>1277</v>
      </c>
      <c r="K213" s="1276" t="s">
        <v>1</v>
      </c>
      <c r="L213" s="1275" t="s">
        <v>1209</v>
      </c>
      <c r="M213" s="1275" t="s">
        <v>2</v>
      </c>
      <c r="N213" s="1275" t="s">
        <v>3</v>
      </c>
      <c r="O213" s="1275" t="s">
        <v>1309</v>
      </c>
      <c r="P213" s="1276" t="s">
        <v>1</v>
      </c>
      <c r="Q213" s="1275" t="s">
        <v>1209</v>
      </c>
      <c r="R213" s="1275" t="s">
        <v>2</v>
      </c>
      <c r="S213" s="1275" t="s">
        <v>3</v>
      </c>
      <c r="T213" s="1275" t="s">
        <v>1309</v>
      </c>
      <c r="U213" s="1276" t="s">
        <v>1</v>
      </c>
      <c r="V213" s="1275" t="s">
        <v>1209</v>
      </c>
      <c r="W213" s="1275" t="s">
        <v>2</v>
      </c>
      <c r="X213" s="1275" t="s">
        <v>3</v>
      </c>
      <c r="Y213" s="1275" t="s">
        <v>1309</v>
      </c>
      <c r="Z213" s="1268" t="s">
        <v>80</v>
      </c>
      <c r="AA213" s="1276" t="s">
        <v>1</v>
      </c>
      <c r="AB213" s="1332" t="s">
        <v>80</v>
      </c>
      <c r="AC213" s="1276" t="s">
        <v>1</v>
      </c>
      <c r="AD213" s="1275" t="s">
        <v>1387</v>
      </c>
      <c r="AE213" s="1268" t="s">
        <v>80</v>
      </c>
      <c r="AF213" s="1276" t="s">
        <v>1</v>
      </c>
      <c r="AG213" s="1275" t="s">
        <v>1387</v>
      </c>
      <c r="AH213" s="1275" t="s">
        <v>1309</v>
      </c>
      <c r="AI213" s="1276" t="s">
        <v>1</v>
      </c>
      <c r="AJ213" s="1275" t="s">
        <v>1209</v>
      </c>
      <c r="AK213" s="1275" t="s">
        <v>2</v>
      </c>
      <c r="AL213" s="1275" t="s">
        <v>3</v>
      </c>
      <c r="AM213" s="1275" t="s">
        <v>1309</v>
      </c>
      <c r="AN213" s="1276" t="s">
        <v>1</v>
      </c>
      <c r="AO213" s="1275" t="s">
        <v>1209</v>
      </c>
      <c r="AP213" s="1275" t="s">
        <v>2</v>
      </c>
      <c r="AQ213" s="1275" t="s">
        <v>3</v>
      </c>
      <c r="AR213" s="1275" t="s">
        <v>1309</v>
      </c>
      <c r="AS213" s="1276" t="s">
        <v>1</v>
      </c>
      <c r="AT213" s="1275" t="s">
        <v>1209</v>
      </c>
      <c r="AU213" s="1275" t="s">
        <v>2</v>
      </c>
      <c r="AV213" s="1275" t="s">
        <v>3</v>
      </c>
      <c r="AW213" s="1275" t="s">
        <v>1309</v>
      </c>
      <c r="AX213" s="1268" t="s">
        <v>133</v>
      </c>
      <c r="AY213" s="1331" t="s">
        <v>134</v>
      </c>
      <c r="AZ213" s="1332" t="s">
        <v>81</v>
      </c>
    </row>
    <row r="214" spans="1:105" s="1261" customFormat="1" ht="28.5" customHeight="1" x14ac:dyDescent="0.25">
      <c r="A214" s="1350">
        <f>H35</f>
        <v>45.2</v>
      </c>
      <c r="B214" s="1348"/>
      <c r="C214" s="1348"/>
      <c r="D214" s="1348"/>
      <c r="E214" s="1349">
        <f>L33</f>
        <v>65</v>
      </c>
      <c r="F214" s="1348"/>
      <c r="G214" s="1349"/>
      <c r="H214" s="1350"/>
      <c r="I214" s="1350"/>
      <c r="J214" s="1349">
        <f>O33</f>
        <v>37</v>
      </c>
      <c r="K214" s="1351">
        <f>Q33</f>
        <v>95.8</v>
      </c>
      <c r="L214" s="1351">
        <f t="shared" ref="L214:N214" si="91">R33</f>
        <v>29.8</v>
      </c>
      <c r="M214" s="1351">
        <f t="shared" si="91"/>
        <v>97.4</v>
      </c>
      <c r="N214" s="1351">
        <f t="shared" si="91"/>
        <v>67.599999999999994</v>
      </c>
      <c r="O214" s="1352">
        <f>T34</f>
        <v>43.7</v>
      </c>
      <c r="P214" s="1351">
        <f>U33</f>
        <v>96.6</v>
      </c>
      <c r="Q214" s="1351">
        <f t="shared" ref="Q214:S214" si="92">V33</f>
        <v>29.8</v>
      </c>
      <c r="R214" s="1351">
        <f t="shared" si="92"/>
        <v>97.8</v>
      </c>
      <c r="S214" s="1351">
        <f t="shared" si="92"/>
        <v>68</v>
      </c>
      <c r="T214" s="1352">
        <f>X34</f>
        <v>42.3</v>
      </c>
      <c r="U214" s="1351">
        <f>Y33</f>
        <v>95.8</v>
      </c>
      <c r="V214" s="1351">
        <f t="shared" ref="V214:X214" si="93">Z33</f>
        <v>29.8</v>
      </c>
      <c r="W214" s="1351">
        <f t="shared" si="93"/>
        <v>98.2</v>
      </c>
      <c r="X214" s="1351">
        <f t="shared" si="93"/>
        <v>68.400000000000006</v>
      </c>
      <c r="Y214" s="1352">
        <f>AB34</f>
        <v>42.1</v>
      </c>
      <c r="Z214" s="1353">
        <f>E90</f>
        <v>16.100000000000001</v>
      </c>
      <c r="AA214" s="1351">
        <f>AVERAGE(K78:K89)</f>
        <v>6.3333333333333339E-2</v>
      </c>
      <c r="AB214" s="1352">
        <f>F90</f>
        <v>17.100000000000001</v>
      </c>
      <c r="AC214" s="1353">
        <f>AVERAGE(L78:L89)</f>
        <v>9.5000000000000015E-2</v>
      </c>
      <c r="AD214" s="1351">
        <f>AVERAGE(U78:U89)</f>
        <v>1.2999999999999999E-3</v>
      </c>
      <c r="AE214" s="1353">
        <f>G90</f>
        <v>16.399999999999999</v>
      </c>
      <c r="AF214" s="1351">
        <f>N90</f>
        <v>0.06</v>
      </c>
      <c r="AG214" s="1352">
        <f>AVERAGE(V78:V89)</f>
        <v>7.5000000000000002E-4</v>
      </c>
      <c r="AH214" s="1354">
        <f>D90</f>
        <v>18.3</v>
      </c>
      <c r="AI214" s="1352">
        <f>B40</f>
        <v>85.7</v>
      </c>
      <c r="AJ214" s="1352">
        <f t="shared" ref="AJ214:AL214" si="94">C40</f>
        <v>32.6</v>
      </c>
      <c r="AK214" s="1352">
        <f t="shared" si="94"/>
        <v>89</v>
      </c>
      <c r="AL214" s="1352">
        <f t="shared" si="94"/>
        <v>56.4</v>
      </c>
      <c r="AM214" s="1352">
        <f>F40</f>
        <v>44</v>
      </c>
      <c r="AN214" s="1352">
        <f>B41</f>
        <v>85.7</v>
      </c>
      <c r="AO214" s="1352">
        <f t="shared" ref="AO214:AR214" si="95">C41</f>
        <v>32.200000000000003</v>
      </c>
      <c r="AP214" s="1352">
        <f t="shared" si="95"/>
        <v>88.2</v>
      </c>
      <c r="AQ214" s="1352">
        <f t="shared" si="95"/>
        <v>56</v>
      </c>
      <c r="AR214" s="1352">
        <f t="shared" si="95"/>
        <v>43.5</v>
      </c>
      <c r="AS214" s="1352">
        <f>B44</f>
        <v>75.3</v>
      </c>
      <c r="AT214" s="1352">
        <f t="shared" ref="AT214:AW214" si="96">C44</f>
        <v>33</v>
      </c>
      <c r="AU214" s="1352">
        <f t="shared" si="96"/>
        <v>78.900000000000006</v>
      </c>
      <c r="AV214" s="1352">
        <f t="shared" si="96"/>
        <v>45.900000000000006</v>
      </c>
      <c r="AW214" s="1352">
        <f t="shared" si="96"/>
        <v>47.1</v>
      </c>
      <c r="AX214" s="1352">
        <f>D47</f>
        <v>6.8</v>
      </c>
      <c r="AY214" s="1355">
        <f>D48</f>
        <v>7.2</v>
      </c>
      <c r="AZ214" s="1353">
        <f>AF60</f>
        <v>14.6</v>
      </c>
      <c r="BA214" s="116"/>
      <c r="BB214" s="116"/>
    </row>
    <row r="215" spans="1:105" s="1261" customFormat="1" ht="28.5" customHeight="1" x14ac:dyDescent="0.25">
      <c r="A215" s="1350">
        <f>AP35</f>
        <v>40.700000000000003</v>
      </c>
      <c r="B215" s="1348">
        <f>AS35</f>
        <v>87.3</v>
      </c>
      <c r="C215" s="1348">
        <f t="shared" ref="C215:D215" si="97">AT35</f>
        <v>96.3</v>
      </c>
      <c r="D215" s="1348">
        <f t="shared" si="97"/>
        <v>95.8</v>
      </c>
      <c r="E215" s="1349">
        <f>AT33</f>
        <v>65</v>
      </c>
      <c r="F215" s="1348">
        <f>AV35</f>
        <v>87.3</v>
      </c>
      <c r="G215" s="1348">
        <f t="shared" ref="G215:H215" si="98">AW35</f>
        <v>97.9</v>
      </c>
      <c r="H215" s="1348">
        <f t="shared" si="98"/>
        <v>98.2</v>
      </c>
      <c r="I215" s="1350">
        <f>AW29</f>
        <v>60.1</v>
      </c>
      <c r="J215" s="1349">
        <f>AW33</f>
        <v>40</v>
      </c>
      <c r="K215" s="1351">
        <f>AY33</f>
        <v>97.8</v>
      </c>
      <c r="L215" s="1351">
        <f t="shared" ref="L215:N215" si="99">AZ33</f>
        <v>27.8</v>
      </c>
      <c r="M215" s="1351">
        <f t="shared" si="99"/>
        <v>97.8</v>
      </c>
      <c r="N215" s="1351">
        <f t="shared" si="99"/>
        <v>70</v>
      </c>
      <c r="O215" s="1351">
        <f>BB34</f>
        <v>35.5</v>
      </c>
      <c r="P215" s="1351">
        <f>BC33</f>
        <v>98.6</v>
      </c>
      <c r="Q215" s="1351">
        <f t="shared" ref="Q215:S215" si="100">BD33</f>
        <v>27.8</v>
      </c>
      <c r="R215" s="1351">
        <f t="shared" si="100"/>
        <v>97.8</v>
      </c>
      <c r="S215" s="1351">
        <f t="shared" si="100"/>
        <v>70</v>
      </c>
      <c r="T215" s="1352">
        <f>BF34</f>
        <v>36.9</v>
      </c>
      <c r="U215" s="1351">
        <f>BG33</f>
        <v>98.6</v>
      </c>
      <c r="V215" s="1351">
        <f t="shared" ref="V215:X215" si="101">BH33</f>
        <v>27.8</v>
      </c>
      <c r="W215" s="1351">
        <f t="shared" si="101"/>
        <v>98.6</v>
      </c>
      <c r="X215" s="1351">
        <f t="shared" si="101"/>
        <v>70.8</v>
      </c>
      <c r="Y215" s="1352">
        <f>BJ34</f>
        <v>37</v>
      </c>
      <c r="Z215" s="1353">
        <f>AM90</f>
        <v>15.3</v>
      </c>
      <c r="AA215" s="1351">
        <f>AVERAGE(AS78:AS89)</f>
        <v>6.1666666666666668E-2</v>
      </c>
      <c r="AB215" s="1352">
        <f>AN90</f>
        <v>16.5</v>
      </c>
      <c r="AC215" s="1353">
        <f>AVERAGE(AT78:AT89)</f>
        <v>7.4999999999999997E-2</v>
      </c>
      <c r="AD215" s="1351">
        <f>AVERAGE(BC78:BC89)</f>
        <v>6.0000000000000006E-4</v>
      </c>
      <c r="AE215" s="1352">
        <f>AO90</f>
        <v>20.3</v>
      </c>
      <c r="AF215" s="1353">
        <f>AV90</f>
        <v>7.0000000000000007E-2</v>
      </c>
      <c r="AG215" s="1351">
        <f>AVERAGE(BD78:BD89)</f>
        <v>6.4999999999999997E-4</v>
      </c>
      <c r="AH215" s="1352">
        <f>AL90</f>
        <v>16.100000000000001</v>
      </c>
      <c r="AI215" s="1352">
        <f>AJ40</f>
        <v>89.7</v>
      </c>
      <c r="AJ215" s="1352">
        <f t="shared" ref="AJ215:AM215" si="102">AK40</f>
        <v>31.8</v>
      </c>
      <c r="AK215" s="1352">
        <f t="shared" si="102"/>
        <v>89.4</v>
      </c>
      <c r="AL215" s="1352">
        <f t="shared" si="102"/>
        <v>57.600000000000009</v>
      </c>
      <c r="AM215" s="1352">
        <f t="shared" si="102"/>
        <v>40.6</v>
      </c>
      <c r="AN215" s="1352">
        <f>AJ41</f>
        <v>88.9</v>
      </c>
      <c r="AO215" s="1352">
        <f t="shared" ref="AO215:AR215" si="103">AK41</f>
        <v>29.4</v>
      </c>
      <c r="AP215" s="1352">
        <f t="shared" si="103"/>
        <v>88.6</v>
      </c>
      <c r="AQ215" s="1352">
        <f t="shared" si="103"/>
        <v>59.199999999999996</v>
      </c>
      <c r="AR215" s="1352">
        <f t="shared" si="103"/>
        <v>39.200000000000003</v>
      </c>
      <c r="AS215" s="1352">
        <f>AJ44</f>
        <v>82.5</v>
      </c>
      <c r="AT215" s="1352">
        <f t="shared" ref="AT215:AW215" si="104">AK44</f>
        <v>33</v>
      </c>
      <c r="AU215" s="1352">
        <f t="shared" si="104"/>
        <v>82.9</v>
      </c>
      <c r="AV215" s="1352">
        <f t="shared" si="104"/>
        <v>49.900000000000006</v>
      </c>
      <c r="AW215" s="1352">
        <f t="shared" si="104"/>
        <v>40.9</v>
      </c>
      <c r="AX215" s="1352">
        <f>AL47</f>
        <v>10.3</v>
      </c>
      <c r="AY215" s="1355">
        <f>AL48</f>
        <v>6.2</v>
      </c>
      <c r="AZ215" s="1353">
        <f>BN60</f>
        <v>15.7</v>
      </c>
      <c r="BA215" s="116"/>
      <c r="BB215" s="116"/>
    </row>
    <row r="216" spans="1:105" x14ac:dyDescent="0.35">
      <c r="BP216" s="3"/>
    </row>
    <row r="217" spans="1:105" ht="28.5" customHeight="1" x14ac:dyDescent="0.35">
      <c r="A217" s="1774" t="s">
        <v>1318</v>
      </c>
      <c r="B217" s="1775"/>
      <c r="C217" s="1775"/>
      <c r="D217" s="1775"/>
      <c r="E217" s="1785"/>
      <c r="F217" s="2255" t="s">
        <v>435</v>
      </c>
      <c r="G217" s="2255"/>
      <c r="H217" s="2255"/>
      <c r="I217" s="1697" t="s">
        <v>460</v>
      </c>
      <c r="J217" s="1698"/>
      <c r="K217" s="1699"/>
      <c r="L217" s="2256" t="s">
        <v>1394</v>
      </c>
      <c r="M217" s="2256"/>
      <c r="N217" s="1764" t="s">
        <v>1388</v>
      </c>
      <c r="O217" s="1765"/>
      <c r="P217" s="1766"/>
      <c r="Q217" s="1268" t="s">
        <v>1397</v>
      </c>
      <c r="R217" s="1268" t="s">
        <v>411</v>
      </c>
      <c r="S217" s="2256" t="s">
        <v>1395</v>
      </c>
      <c r="T217" s="2256"/>
      <c r="U217" s="2256"/>
      <c r="V217" s="1764" t="s">
        <v>1398</v>
      </c>
      <c r="W217" s="1766"/>
      <c r="X217" s="1764" t="s">
        <v>26</v>
      </c>
      <c r="Y217" s="1765"/>
      <c r="Z217" s="1766"/>
      <c r="AA217" s="1764" t="s">
        <v>1396</v>
      </c>
      <c r="AB217" s="1765"/>
      <c r="AC217" s="1765"/>
      <c r="AD217" s="1765"/>
      <c r="AE217" s="1765"/>
      <c r="AF217" s="1765"/>
      <c r="AG217" s="1765"/>
      <c r="AH217" s="1765"/>
      <c r="AI217" s="1766"/>
      <c r="AJ217" s="2254" t="s">
        <v>1072</v>
      </c>
      <c r="AK217" s="2254"/>
      <c r="AL217" s="2254"/>
      <c r="AM217" s="2254" t="s">
        <v>1073</v>
      </c>
      <c r="AN217" s="2254"/>
      <c r="AO217" s="2254"/>
      <c r="AP217" s="2254" t="s">
        <v>1074</v>
      </c>
      <c r="AQ217" s="2254"/>
      <c r="AR217" s="2254"/>
      <c r="BP217" s="3"/>
    </row>
    <row r="218" spans="1:105" ht="28.5" customHeight="1" x14ac:dyDescent="0.35">
      <c r="A218" s="1328" t="s">
        <v>1279</v>
      </c>
      <c r="B218" s="1329" t="s">
        <v>1209</v>
      </c>
      <c r="C218" s="1299" t="s">
        <v>128</v>
      </c>
      <c r="D218" s="1330" t="s">
        <v>1309</v>
      </c>
      <c r="E218" s="1199" t="s">
        <v>1277</v>
      </c>
      <c r="F218" s="1275" t="s">
        <v>13</v>
      </c>
      <c r="G218" s="1275" t="s">
        <v>1275</v>
      </c>
      <c r="H218" s="1276" t="s">
        <v>1</v>
      </c>
      <c r="I218" s="1275" t="s">
        <v>13</v>
      </c>
      <c r="J218" s="1275" t="s">
        <v>1275</v>
      </c>
      <c r="K218" s="1276" t="s">
        <v>1</v>
      </c>
      <c r="L218" s="1199" t="s">
        <v>1</v>
      </c>
      <c r="M218" s="1300" t="s">
        <v>1326</v>
      </c>
      <c r="N218" s="1301" t="s">
        <v>1275</v>
      </c>
      <c r="O218" s="1199" t="s">
        <v>1</v>
      </c>
      <c r="P218" s="1300" t="s">
        <v>1326</v>
      </c>
      <c r="Q218" s="1199" t="s">
        <v>1</v>
      </c>
      <c r="R218" s="1300" t="s">
        <v>1326</v>
      </c>
      <c r="S218" s="1345" t="s">
        <v>1390</v>
      </c>
      <c r="T218" s="1345" t="s">
        <v>1389</v>
      </c>
      <c r="U218" s="1345" t="s">
        <v>1325</v>
      </c>
      <c r="V218" s="1327" t="s">
        <v>1391</v>
      </c>
      <c r="W218" s="1346" t="s">
        <v>1399</v>
      </c>
      <c r="X218" s="1346" t="s">
        <v>1399</v>
      </c>
      <c r="Y218" s="1268" t="s">
        <v>1392</v>
      </c>
      <c r="Z218" s="1233" t="s">
        <v>1296</v>
      </c>
      <c r="AA218" s="1345">
        <v>1059</v>
      </c>
      <c r="AB218" s="1347" t="s">
        <v>14</v>
      </c>
      <c r="AC218" s="1345" t="s">
        <v>7</v>
      </c>
      <c r="AD218" s="1345" t="s">
        <v>164</v>
      </c>
      <c r="AE218" s="1345" t="s">
        <v>15</v>
      </c>
      <c r="AF218" s="1345" t="s">
        <v>566</v>
      </c>
      <c r="AG218" s="1345" t="s">
        <v>171</v>
      </c>
      <c r="AH218" s="1345" t="s">
        <v>18</v>
      </c>
      <c r="AI218" s="1345" t="s">
        <v>130</v>
      </c>
      <c r="AJ218" s="759" t="s">
        <v>1158</v>
      </c>
      <c r="AK218" s="759" t="s">
        <v>1159</v>
      </c>
      <c r="AL218" s="759" t="s">
        <v>1160</v>
      </c>
      <c r="AM218" s="759" t="s">
        <v>1158</v>
      </c>
      <c r="AN218" s="759" t="s">
        <v>1159</v>
      </c>
      <c r="AO218" s="759" t="s">
        <v>1160</v>
      </c>
      <c r="AP218" s="759" t="s">
        <v>1158</v>
      </c>
      <c r="AQ218" s="759" t="s">
        <v>1159</v>
      </c>
      <c r="AR218" s="759" t="s">
        <v>1160</v>
      </c>
      <c r="BP218" s="3"/>
    </row>
    <row r="219" spans="1:105" ht="28.5" customHeight="1" x14ac:dyDescent="0.35">
      <c r="A219" s="1350"/>
      <c r="B219" s="1348"/>
      <c r="C219" s="1349"/>
      <c r="D219" s="1350"/>
      <c r="E219" s="1349">
        <f>AG120</f>
        <v>40.9</v>
      </c>
      <c r="F219" s="1348">
        <f>O55</f>
        <v>2.9</v>
      </c>
      <c r="G219" s="1348">
        <f t="shared" ref="G219:H219" si="105">P55</f>
        <v>5.0999999999999996</v>
      </c>
      <c r="H219" s="1348">
        <f t="shared" si="105"/>
        <v>61.7</v>
      </c>
      <c r="I219" s="1350">
        <f>R53</f>
        <v>2.6</v>
      </c>
      <c r="J219" s="1350">
        <f t="shared" ref="J219:K219" si="106">S53</f>
        <v>4.8</v>
      </c>
      <c r="K219" s="1350">
        <f t="shared" si="106"/>
        <v>61.7</v>
      </c>
      <c r="L219" s="1352">
        <f>V53</f>
        <v>0.04</v>
      </c>
      <c r="M219" s="1352">
        <f>U54</f>
        <v>8.1</v>
      </c>
      <c r="N219" s="1352">
        <f>W53</f>
        <v>5.6</v>
      </c>
      <c r="O219" s="1352">
        <f>X53</f>
        <v>0.08</v>
      </c>
      <c r="P219" s="1351">
        <f>W54</f>
        <v>1.25</v>
      </c>
      <c r="Q219" s="1352">
        <f>Y56</f>
        <v>71.3</v>
      </c>
      <c r="R219" s="1352">
        <f>AD90</f>
        <v>55</v>
      </c>
      <c r="S219" s="1352">
        <f>AF34</f>
        <v>50</v>
      </c>
      <c r="T219" s="1352">
        <f>AG34</f>
        <v>56</v>
      </c>
      <c r="U219" s="1351">
        <f>AD55</f>
        <v>57</v>
      </c>
      <c r="V219" s="1352">
        <f>AE55</f>
        <v>0.26</v>
      </c>
      <c r="W219" s="1352">
        <f>C70</f>
        <v>741</v>
      </c>
      <c r="X219" s="1352">
        <f>C71</f>
        <v>0</v>
      </c>
      <c r="Y219" s="1352">
        <f>C72</f>
        <v>2</v>
      </c>
      <c r="Z219" s="1353">
        <f>C73</f>
        <v>20</v>
      </c>
      <c r="AA219" s="1351">
        <f>B60</f>
        <v>0</v>
      </c>
      <c r="AB219" s="1351">
        <f t="shared" ref="AB219:AF219" si="107">C60</f>
        <v>0</v>
      </c>
      <c r="AC219" s="1351">
        <f t="shared" si="107"/>
        <v>0</v>
      </c>
      <c r="AD219" s="1351">
        <f t="shared" si="107"/>
        <v>0</v>
      </c>
      <c r="AE219" s="1351">
        <f t="shared" si="107"/>
        <v>0</v>
      </c>
      <c r="AF219" s="1351">
        <f t="shared" si="107"/>
        <v>0</v>
      </c>
      <c r="AG219" s="1351">
        <f>J60</f>
        <v>0</v>
      </c>
      <c r="AH219" s="1351">
        <f t="shared" ref="AH219:AI219" si="108">K60</f>
        <v>0</v>
      </c>
      <c r="AI219" s="1351">
        <f t="shared" si="108"/>
        <v>0</v>
      </c>
      <c r="AJ219" s="1349"/>
      <c r="AK219" s="1349"/>
      <c r="AL219" s="1349"/>
      <c r="AM219" s="1349"/>
      <c r="AN219" s="1349"/>
      <c r="AO219" s="1349"/>
      <c r="AP219" s="1349"/>
      <c r="AQ219" s="1349"/>
      <c r="AR219" s="1349"/>
      <c r="BP219" s="3"/>
    </row>
    <row r="220" spans="1:105" ht="28.5" customHeight="1" x14ac:dyDescent="0.35">
      <c r="A220" s="1350">
        <f>AI54</f>
        <v>0.04</v>
      </c>
      <c r="B220" s="1350">
        <f t="shared" ref="B220:D220" si="109">AJ54</f>
        <v>40.700000000000003</v>
      </c>
      <c r="C220" s="1350">
        <f t="shared" si="109"/>
        <v>33</v>
      </c>
      <c r="D220" s="1350">
        <f t="shared" si="109"/>
        <v>37.5</v>
      </c>
      <c r="E220" s="1349">
        <f>BO120</f>
        <v>43.1</v>
      </c>
      <c r="F220" s="1348">
        <f>AW55</f>
        <v>2.5</v>
      </c>
      <c r="G220" s="1348">
        <f t="shared" ref="G220:H220" si="110">AX55</f>
        <v>4.9000000000000004</v>
      </c>
      <c r="H220" s="1348">
        <f t="shared" si="110"/>
        <v>64.5</v>
      </c>
      <c r="I220" s="1350">
        <f>AZ53</f>
        <v>1.8</v>
      </c>
      <c r="J220" s="1350">
        <f t="shared" ref="J220:K220" si="111">BA53</f>
        <v>5.2</v>
      </c>
      <c r="K220" s="1350">
        <f t="shared" si="111"/>
        <v>64.099999999999994</v>
      </c>
      <c r="L220" s="1352">
        <f>BD53</f>
        <v>0.08</v>
      </c>
      <c r="M220" s="1352">
        <f>BC54</f>
        <v>7.3</v>
      </c>
      <c r="N220" s="1352">
        <f>BE53</f>
        <v>6</v>
      </c>
      <c r="O220" s="1352">
        <f>BF53</f>
        <v>0.12</v>
      </c>
      <c r="P220" s="1351">
        <f>BE54</f>
        <v>0.78</v>
      </c>
      <c r="Q220" s="1352">
        <f>BG56</f>
        <v>72.900000000000006</v>
      </c>
      <c r="R220" s="1352">
        <f>BL90</f>
        <v>54.5</v>
      </c>
      <c r="S220" s="1352">
        <f>BN34</f>
        <v>55</v>
      </c>
      <c r="T220" s="1352">
        <f>BO34</f>
        <v>57</v>
      </c>
      <c r="U220" s="1351">
        <f>BL55</f>
        <v>60</v>
      </c>
      <c r="V220" s="1352">
        <f>BM55</f>
        <v>0.2</v>
      </c>
      <c r="W220" s="1352">
        <f>AK70</f>
        <v>739</v>
      </c>
      <c r="X220" s="1352">
        <f>AK71</f>
        <v>0</v>
      </c>
      <c r="Y220" s="1352">
        <f>AK72</f>
        <v>2</v>
      </c>
      <c r="Z220" s="1352">
        <f>AK73</f>
        <v>19</v>
      </c>
      <c r="AA220" s="1351">
        <f>AJ60</f>
        <v>0</v>
      </c>
      <c r="AB220" s="1351">
        <f t="shared" ref="AB220:AF220" si="112">AK60</f>
        <v>0</v>
      </c>
      <c r="AC220" s="1351">
        <f t="shared" si="112"/>
        <v>0</v>
      </c>
      <c r="AD220" s="1351">
        <f t="shared" si="112"/>
        <v>0</v>
      </c>
      <c r="AE220" s="1351">
        <f t="shared" si="112"/>
        <v>0</v>
      </c>
      <c r="AF220" s="1351">
        <f t="shared" si="112"/>
        <v>0.3</v>
      </c>
      <c r="AG220" s="1351">
        <f>AR60</f>
        <v>0</v>
      </c>
      <c r="AH220" s="1351">
        <f t="shared" ref="AH220:AI220" si="113">AS60</f>
        <v>0.3</v>
      </c>
      <c r="AI220" s="1351">
        <f t="shared" si="113"/>
        <v>0</v>
      </c>
      <c r="AJ220" s="1349">
        <f>'Анализ возд.среды '!B4</f>
        <v>71</v>
      </c>
      <c r="AK220" s="1349">
        <f>'Анализ возд.среды '!C4</f>
        <v>0.4</v>
      </c>
      <c r="AL220" s="1349">
        <f>'Анализ возд.среды '!D4</f>
        <v>4</v>
      </c>
      <c r="AM220" s="1349">
        <f>'Анализ возд.среды '!E4</f>
        <v>80</v>
      </c>
      <c r="AN220" s="1349">
        <f>'Анализ возд.среды '!F4</f>
        <v>0.6</v>
      </c>
      <c r="AO220" s="1349">
        <f>'Анализ возд.среды '!G4</f>
        <v>9</v>
      </c>
      <c r="AP220" s="1349">
        <f>'Анализ возд.среды '!H4</f>
        <v>82</v>
      </c>
      <c r="AQ220" s="1349">
        <f>'Анализ возд.среды '!I4</f>
        <v>0.8</v>
      </c>
      <c r="AR220" s="1349">
        <f>'Анализ возд.среды '!J4</f>
        <v>11</v>
      </c>
      <c r="BP220" s="3"/>
    </row>
    <row r="221" spans="1:105" ht="21" customHeight="1" x14ac:dyDescent="0.35"/>
    <row r="222" spans="1:105" ht="27.75" customHeight="1" x14ac:dyDescent="0.35">
      <c r="A222" s="35"/>
      <c r="B222" s="2293" t="s">
        <v>1014</v>
      </c>
      <c r="C222" s="2293"/>
      <c r="D222" s="2293"/>
      <c r="E222" s="2293"/>
      <c r="F222" s="2293"/>
      <c r="G222" s="2293"/>
      <c r="H222" s="2293"/>
      <c r="I222" s="2293"/>
      <c r="J222" s="2293"/>
      <c r="K222" s="2293"/>
      <c r="L222" s="2293"/>
      <c r="M222" s="2293"/>
      <c r="N222" s="2293"/>
      <c r="O222" s="2293"/>
      <c r="P222" s="896"/>
    </row>
    <row r="223" spans="1:105" ht="46.8" x14ac:dyDescent="0.35">
      <c r="A223" s="35"/>
      <c r="B223" s="1407" t="s">
        <v>626</v>
      </c>
      <c r="C223" s="1408" t="s">
        <v>627</v>
      </c>
      <c r="D223" s="1408" t="s">
        <v>625</v>
      </c>
      <c r="E223" s="1407" t="s">
        <v>179</v>
      </c>
      <c r="F223" s="1407" t="s">
        <v>12</v>
      </c>
      <c r="G223" s="1407" t="s">
        <v>412</v>
      </c>
      <c r="H223" s="1407" t="s">
        <v>1427</v>
      </c>
      <c r="I223" s="1407" t="s">
        <v>1428</v>
      </c>
      <c r="J223" s="1409" t="s">
        <v>1429</v>
      </c>
      <c r="K223" s="1410"/>
      <c r="L223" s="1410"/>
      <c r="M223" s="1410"/>
      <c r="N223" s="1410"/>
      <c r="O223" s="1411"/>
    </row>
    <row r="224" spans="1:105" ht="31.2" x14ac:dyDescent="0.35">
      <c r="A224" s="1346" t="s">
        <v>1430</v>
      </c>
      <c r="B224" s="73">
        <f>COUNT(C95:C106,G95:G106,K95:K106,O95:O106,S95:S106,AK95:AK106,AO95:AO106,AS95:AS106,AW95:AW106,BA95:BA106)</f>
        <v>70</v>
      </c>
      <c r="C224" s="73">
        <f>COUNT(D95:D106,H95:H106,L95:L106,P95:P106,T95:T106,AL95:AL106,AP95:AP106,AT95:AT106,AX95:AX106,BB95:BB106)</f>
        <v>70</v>
      </c>
      <c r="D224" s="73">
        <f>COUNT(E95:E106,I95:I106,M95:M106,Q95:Q106,U95:U106,AM95:AM106,AQ95:AQ106,AU95:AU106,AY95:AY106,BC95:BC106)</f>
        <v>18</v>
      </c>
      <c r="E224" s="1412">
        <f>COUNT(AA78:AA89,BI78:BI89)</f>
        <v>2</v>
      </c>
      <c r="F224" s="1412">
        <f>COUNT(AB78:AB89,BJ78:BJ89)</f>
        <v>2</v>
      </c>
      <c r="G224" s="1412">
        <f>COUNT(AG78:AG89,BO78:BO89)</f>
        <v>2</v>
      </c>
      <c r="H224" s="73">
        <f>COUNT(C116:R116,AK116:AZ116)</f>
        <v>8</v>
      </c>
      <c r="I224" s="73">
        <f>COUNT(H57:I59,AP57:AQ59)</f>
        <v>2</v>
      </c>
      <c r="J224" s="1413">
        <f>SUM(B224:I224)</f>
        <v>174</v>
      </c>
      <c r="K224" s="73"/>
      <c r="L224" s="73"/>
      <c r="M224" s="73"/>
      <c r="N224" s="73"/>
      <c r="O224" s="73"/>
      <c r="AB224" s="1163"/>
      <c r="AC224" s="1163"/>
      <c r="AD224" s="1163"/>
      <c r="AE224" s="1163"/>
    </row>
    <row r="225" spans="1:79" x14ac:dyDescent="0.35">
      <c r="A225" s="1411" t="s">
        <v>1431</v>
      </c>
      <c r="B225" s="73">
        <f>B224*1.5</f>
        <v>105</v>
      </c>
      <c r="C225" s="73">
        <f>C224*1.5</f>
        <v>105</v>
      </c>
      <c r="D225" s="73">
        <f>D224*2</f>
        <v>36</v>
      </c>
      <c r="E225" s="73">
        <f>E224*6</f>
        <v>12</v>
      </c>
      <c r="F225" s="73">
        <f>F224*6</f>
        <v>12</v>
      </c>
      <c r="G225" s="73">
        <f>G224*6</f>
        <v>12</v>
      </c>
      <c r="H225" s="73">
        <f>H224*4</f>
        <v>32</v>
      </c>
      <c r="I225" s="73">
        <f>I224*3</f>
        <v>6</v>
      </c>
      <c r="J225" s="1414">
        <f>SUM(B225:I225)</f>
        <v>320</v>
      </c>
      <c r="K225" s="73"/>
      <c r="L225" s="73"/>
      <c r="M225" s="73"/>
      <c r="N225" s="73"/>
      <c r="O225" s="1013"/>
      <c r="AB225" s="1163"/>
      <c r="AC225" s="1163"/>
      <c r="AD225" s="1163"/>
      <c r="AE225" s="1163"/>
    </row>
    <row r="226" spans="1:79" x14ac:dyDescent="0.35">
      <c r="AB226" s="79"/>
      <c r="AC226" s="79"/>
      <c r="AD226" s="79"/>
      <c r="AN226" s="79"/>
      <c r="AO226" s="79"/>
      <c r="AP226" s="80"/>
      <c r="AQ226" s="79"/>
    </row>
    <row r="227" spans="1:79" ht="33" customHeight="1" x14ac:dyDescent="0.35">
      <c r="F227" s="892"/>
      <c r="G227" s="892"/>
      <c r="H227" s="892"/>
      <c r="I227" s="892"/>
      <c r="J227" s="892"/>
      <c r="K227" s="892"/>
      <c r="L227" s="892"/>
      <c r="M227" s="892"/>
      <c r="N227" s="892"/>
      <c r="O227" s="892"/>
      <c r="P227" s="892"/>
      <c r="Q227" s="892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</row>
    <row r="228" spans="1:79" ht="18.75" customHeight="1" x14ac:dyDescent="0.35">
      <c r="A228" s="35"/>
      <c r="B228" s="2322" t="s">
        <v>1015</v>
      </c>
      <c r="C228" s="2322"/>
      <c r="D228" s="2322"/>
      <c r="E228" s="2322"/>
      <c r="F228" s="2322"/>
      <c r="G228" s="2322"/>
      <c r="H228" s="2322"/>
      <c r="I228" s="2322"/>
      <c r="J228" s="2322"/>
      <c r="K228" s="2293"/>
      <c r="L228" s="2293"/>
      <c r="M228" s="2293"/>
      <c r="N228" s="2293"/>
      <c r="O228" s="2293"/>
      <c r="P228" s="2293"/>
      <c r="Q228" s="898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</row>
    <row r="229" spans="1:79" ht="57" customHeight="1" x14ac:dyDescent="0.35">
      <c r="A229" s="35"/>
      <c r="B229" s="2323" t="s">
        <v>1432</v>
      </c>
      <c r="C229" s="2324"/>
      <c r="D229" s="2324"/>
      <c r="E229" s="2324"/>
      <c r="F229" s="2324"/>
      <c r="G229" s="2324"/>
      <c r="H229" s="2325"/>
      <c r="I229" s="1415" t="s">
        <v>1433</v>
      </c>
      <c r="J229" s="1416" t="s">
        <v>1434</v>
      </c>
      <c r="K229" s="2326" t="s">
        <v>65</v>
      </c>
      <c r="L229" s="2327"/>
      <c r="M229" s="2328"/>
      <c r="N229" s="2329" t="s">
        <v>63</v>
      </c>
      <c r="O229" s="1754" t="s">
        <v>1429</v>
      </c>
      <c r="P229" s="2297" t="s">
        <v>1017</v>
      </c>
      <c r="Q229" s="2298"/>
      <c r="R229" s="892"/>
      <c r="S229" s="5"/>
      <c r="T229" s="1779" t="s">
        <v>1019</v>
      </c>
      <c r="U229" s="1780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</row>
    <row r="230" spans="1:79" ht="63" x14ac:dyDescent="0.35">
      <c r="A230" s="35"/>
      <c r="B230" s="1417" t="s">
        <v>1435</v>
      </c>
      <c r="C230" s="1418" t="s">
        <v>440</v>
      </c>
      <c r="D230" s="1417" t="s">
        <v>132</v>
      </c>
      <c r="E230" s="1417" t="s">
        <v>1436</v>
      </c>
      <c r="F230" s="1417" t="s">
        <v>1437</v>
      </c>
      <c r="G230" s="1417" t="s">
        <v>1438</v>
      </c>
      <c r="H230" s="1419" t="s">
        <v>1439</v>
      </c>
      <c r="I230" s="1420" t="s">
        <v>1440</v>
      </c>
      <c r="J230" s="1420" t="s">
        <v>1440</v>
      </c>
      <c r="K230" s="1407" t="s">
        <v>240</v>
      </c>
      <c r="L230" s="1407" t="s">
        <v>442</v>
      </c>
      <c r="M230" s="1407" t="s">
        <v>1435</v>
      </c>
      <c r="N230" s="2329"/>
      <c r="O230" s="1755"/>
      <c r="P230" s="2299"/>
      <c r="Q230" s="2300"/>
      <c r="R230" s="892"/>
      <c r="T230" s="1781"/>
      <c r="U230" s="1782"/>
    </row>
    <row r="231" spans="1:79" ht="31.2" x14ac:dyDescent="0.35">
      <c r="A231" s="1346" t="s">
        <v>1430</v>
      </c>
      <c r="B231" s="1421">
        <f>COUNT(C111:R111,AK111:AZ111)</f>
        <v>17</v>
      </c>
      <c r="C231" s="1421">
        <f>COUNT(C112:R112,AK112:AZ112)</f>
        <v>9</v>
      </c>
      <c r="D231" s="1421">
        <f>COUNT(C113:R113,AK113:AZ113)</f>
        <v>9</v>
      </c>
      <c r="E231" s="1421">
        <f>COUNT(C115:R115,AK115:AZ115)</f>
        <v>17</v>
      </c>
      <c r="F231" s="1421">
        <f>COUNT(C117:R117,AK117:AZ117)</f>
        <v>17</v>
      </c>
      <c r="G231" s="1421">
        <f>COUNT(C119:R119,AK119:AZ119)</f>
        <v>17</v>
      </c>
      <c r="H231" s="1421">
        <f>COUNT(C120:R120,AK120:AZ120)</f>
        <v>9</v>
      </c>
      <c r="I231" s="1421">
        <f>COUNT(L125:N128,AT125:AV128,R125,AZ125)</f>
        <v>8</v>
      </c>
      <c r="J231" s="1421">
        <f>COUNT(O125:Q128,AW126:AY128)</f>
        <v>3</v>
      </c>
      <c r="K231" s="1422">
        <f>COUNT(Y111:AF111,BG111:BN111)</f>
        <v>12</v>
      </c>
      <c r="L231" s="1422">
        <f>COUNT(Y112:AF112,BG112:BN112)</f>
        <v>12</v>
      </c>
      <c r="M231" s="1422">
        <f>COUNT(Y113:AF113,BG113:BN113)</f>
        <v>12</v>
      </c>
      <c r="N231" s="1422">
        <f>COUNT(C125:J129,AK125:AR129)</f>
        <v>14</v>
      </c>
      <c r="O231" s="1413">
        <f>SUM(B231:N231)</f>
        <v>156</v>
      </c>
      <c r="P231" s="2310">
        <f>J224+O231</f>
        <v>330</v>
      </c>
      <c r="Q231" s="2311"/>
      <c r="R231" s="1423" t="s">
        <v>1010</v>
      </c>
      <c r="T231" s="1425" t="s">
        <v>1441</v>
      </c>
      <c r="U231" s="1426">
        <v>1</v>
      </c>
      <c r="BP231" s="3"/>
    </row>
    <row r="232" spans="1:79" ht="19.5" customHeight="1" x14ac:dyDescent="0.35">
      <c r="A232" s="1411" t="s">
        <v>1431</v>
      </c>
      <c r="B232" s="1411">
        <f t="shared" ref="B232" si="114">B231*1</f>
        <v>17</v>
      </c>
      <c r="C232" s="1411">
        <f>C231*1</f>
        <v>9</v>
      </c>
      <c r="D232" s="1411">
        <f t="shared" ref="D232:N232" si="115">D231*1</f>
        <v>9</v>
      </c>
      <c r="E232" s="1411">
        <f t="shared" si="115"/>
        <v>17</v>
      </c>
      <c r="F232" s="1411">
        <f t="shared" si="115"/>
        <v>17</v>
      </c>
      <c r="G232" s="1411">
        <f t="shared" si="115"/>
        <v>17</v>
      </c>
      <c r="H232" s="1411">
        <f t="shared" si="115"/>
        <v>9</v>
      </c>
      <c r="I232" s="1411">
        <f t="shared" si="115"/>
        <v>8</v>
      </c>
      <c r="J232" s="1411">
        <f t="shared" si="115"/>
        <v>3</v>
      </c>
      <c r="K232" s="1411">
        <f t="shared" si="115"/>
        <v>12</v>
      </c>
      <c r="L232" s="1411">
        <f t="shared" si="115"/>
        <v>12</v>
      </c>
      <c r="M232" s="1411">
        <f t="shared" si="115"/>
        <v>12</v>
      </c>
      <c r="N232" s="1411">
        <f t="shared" si="115"/>
        <v>14</v>
      </c>
      <c r="O232" s="1414">
        <f>SUM(B232:N232)</f>
        <v>156</v>
      </c>
      <c r="P232" s="2312">
        <f>J225+O232</f>
        <v>476</v>
      </c>
      <c r="Q232" s="2313"/>
      <c r="R232" s="1424">
        <f>ROUND(P232/60,1)</f>
        <v>7.9</v>
      </c>
      <c r="T232" s="1427" t="s">
        <v>1442</v>
      </c>
      <c r="U232" s="1428"/>
      <c r="BP232" s="3"/>
    </row>
    <row r="233" spans="1:79" x14ac:dyDescent="0.35">
      <c r="T233" s="900" t="s">
        <v>1020</v>
      </c>
      <c r="U233" s="1425">
        <f>SUM(U231:U232)</f>
        <v>1</v>
      </c>
      <c r="BP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</row>
    <row r="234" spans="1:79" ht="23.25" customHeight="1" x14ac:dyDescent="0.35">
      <c r="BP234" s="3"/>
    </row>
    <row r="235" spans="1:79" x14ac:dyDescent="0.35">
      <c r="BP235" s="3"/>
    </row>
    <row r="236" spans="1:79" x14ac:dyDescent="0.35">
      <c r="BP236" s="3"/>
    </row>
    <row r="237" spans="1:79" x14ac:dyDescent="0.35">
      <c r="E237" s="25"/>
      <c r="H237" s="25"/>
      <c r="I237" s="887"/>
      <c r="J237" s="25"/>
    </row>
    <row r="238" spans="1:79" x14ac:dyDescent="0.35">
      <c r="E238" s="25"/>
      <c r="H238" s="25"/>
      <c r="I238" s="887"/>
      <c r="J238" s="25"/>
    </row>
    <row r="239" spans="1:79" x14ac:dyDescent="0.35">
      <c r="E239" s="25"/>
      <c r="H239" s="25"/>
      <c r="I239" s="887"/>
      <c r="J239" s="25"/>
    </row>
    <row r="240" spans="1:79" x14ac:dyDescent="0.35">
      <c r="E240" s="25"/>
      <c r="H240" s="25"/>
      <c r="I240" s="887"/>
      <c r="J240" s="25"/>
    </row>
    <row r="241" spans="5:10" x14ac:dyDescent="0.35">
      <c r="E241" s="25"/>
      <c r="H241" s="25"/>
      <c r="I241" s="888"/>
      <c r="J241" s="25"/>
    </row>
    <row r="242" spans="5:10" ht="18.75" customHeight="1" x14ac:dyDescent="0.35">
      <c r="E242" s="25"/>
      <c r="H242" s="25"/>
      <c r="I242" s="887"/>
      <c r="J242" s="25"/>
    </row>
    <row r="243" spans="5:10" x14ac:dyDescent="0.35">
      <c r="H243" s="25"/>
      <c r="I243" s="887"/>
      <c r="J243" s="25"/>
    </row>
    <row r="244" spans="5:10" x14ac:dyDescent="0.35">
      <c r="H244" s="25"/>
      <c r="I244" s="887"/>
      <c r="J244" s="25"/>
    </row>
    <row r="245" spans="5:10" ht="15" customHeight="1" x14ac:dyDescent="0.35">
      <c r="H245" s="25"/>
      <c r="I245" s="889"/>
      <c r="J245" s="25"/>
    </row>
    <row r="246" spans="5:10" x14ac:dyDescent="0.35">
      <c r="H246" s="25"/>
      <c r="I246" s="887"/>
      <c r="J246" s="25"/>
    </row>
    <row r="247" spans="5:10" x14ac:dyDescent="0.35">
      <c r="H247" s="25"/>
      <c r="I247" s="25"/>
      <c r="J247" s="25"/>
    </row>
    <row r="248" spans="5:10" x14ac:dyDescent="0.35">
      <c r="H248" s="25"/>
      <c r="I248" s="25"/>
      <c r="J248" s="25"/>
    </row>
    <row r="249" spans="5:10" x14ac:dyDescent="0.35">
      <c r="H249" s="25"/>
      <c r="I249" s="25"/>
      <c r="J249" s="25"/>
    </row>
  </sheetData>
  <sheetProtection algorithmName="SHA-512" hashValue="IH/scKD+CsnpU8MN+04fnnGWn1fZt8tF9X715paMrF2okNMZTTKpWk3ColmcOF0dAUf8AQUSFzE9uJNyG6uArQ==" saltValue="qHeRiDKcgXyvZlPVy0lfjg==" spinCount="100000" sheet="1" formatCells="0" formatColumns="0" formatRows="0" insertColumns="0" insertRows="0" insertHyperlinks="0" deleteColumns="0" deleteRows="0" sort="0" autoFilter="0" pivotTables="0"/>
  <protectedRanges>
    <protectedRange algorithmName="SHA-512" hashValue="kXjOXdQHB70EFX/hgC3Ybj+Jop/Q/qIZwRlk/WhcOGO9xPsdAA9hef+NWNbIYqKM4Dl3dPYXUMuV0nHXezSgxA==" saltValue="5fYVyhSmhZfkI6Z8chXM/Q==" spinCount="100000" sqref="F131 AN131" name="Диапазон35_1_3_1_1"/>
    <protectedRange algorithmName="SHA-512" hashValue="d2KrUfbb6oTfbBVzbKnXOnMOblu1RlS2kTo6a1JMvF2WLvLu1d/hPCelkyFfSrlowP79fA4iwaHjI7dmKk7+QQ==" saltValue="zpalvKs6wwt/PIZslI/p9Q==" spinCount="100000" sqref="E35:G35 AM35:AO35" name="Диапазон52"/>
    <protectedRange algorithmName="SHA-512" hashValue="KZs0JBlKBcjYzPHttXLu61EPUHr2JQvUWaHZawimEjxxJfN/JPXHVWdbvfGcnDQaMgVRkrnoNznpQfOt7JZxVw==" saltValue="XashfvZ8S/sA18uRD94IjA==" spinCount="100000" sqref="C35 AK35" name="Диапазон51"/>
    <protectedRange algorithmName="SHA-512" hashValue="X39IdDKlReWC3qmuF5j+v5lxA3AvbT8eFywUxahx9sH3qUw6neCBHJDH3BtAGVz6aFlDp1qxTH8oe/c8iFak9Q==" saltValue="NKaDZg/lmziZEaZAb8H+3A==" spinCount="100000" sqref="K126:K128 AS126:AS128" name="Диапазон49"/>
    <protectedRange algorithmName="SHA-512" hashValue="coZ6UxKc50XtWLZBWISHx2MCkT4YlU+J/5LDwl4vX09UsRFcTLyUoRwcFfBPIQ9vti6U3g2EnXjzffA5YMik/Q==" saltValue="Qh9f8E9Rz+p9MFeGyp0VOw==" spinCount="100000" sqref="AG120 BO120" name="Диапазон47"/>
    <protectedRange algorithmName="SHA-512" hashValue="UCn7lDUVz9cIRvYBLWk3nrdz5/ATch/FrwZT/Tph1iM/3UIt2lswi/ldrWEpMBofx3u8ADVAhZFkkgR+tbjR9g==" saltValue="AavBVs8H5jveYEfd+sChTw==" spinCount="100000" sqref="AG120 BO120" name="Диапазон46"/>
    <protectedRange algorithmName="SHA-512" hashValue="M+Pam/oqDLdCzK+M68BhY5TzSzyA54eoAzx5cUudLcO2ZGDlPAEzHZEND8by+93FdfDdG/OZVK0zRJ+dvI8KoQ==" saltValue="iiiVCAMSirmHqXEHN5tShA==" spinCount="100000" sqref="T114:T119 BB114:BB119" name="Диапазон44"/>
    <protectedRange algorithmName="SHA-512" hashValue="t9WcUQm3a0iN1oyPd70AkI7esOvCiLWzU9RDx/ByIL0YoZTHXruH47NaBHCOV0n2QO9CVN6f7qS5ZxRegVZSAg==" saltValue="sFryZQkJWKqqdphqh/f8yg==" spinCount="100000" sqref="AG90 BO90" name="Диапазон42"/>
    <protectedRange algorithmName="SHA-512" hashValue="73AHFVKVJwnRbiC3MK9K/V5rPZMXbpLuvjJuKPFWe1D8ydlVuX0+pGgfEQwYrtb0Mn7TCzlWAHkhRdiTE7s/VQ==" saltValue="/7irVVKGDJdXgA1Ph0ShRA==" spinCount="100000" sqref="Z90:AC90 BH90:BK90" name="Диапазон40"/>
    <protectedRange algorithmName="SHA-512" hashValue="4beaBULEIt29BD3z93VC+xsPVvZ1iBP28fn7cFMdw+o/sokH3CVhhU8q5dNSzRPbLzzBGlqCBpEi7RPtcYDSng==" saltValue="NzGYdyVOugj9XDdLEEyVkA==" spinCount="100000" sqref="C107:G107 J107:K107 N107:O107 R107:S107 V107:W107 Z107:AA107 AK107:AO107 AR107:AS107 AV107:AW107 AZ107:BA107 BD107:BE107 BH107:BI107" name="Диапазон38"/>
    <protectedRange algorithmName="SHA-512" hashValue="PGBb2aeo70rw+2OnqMTwmOIujn6EVqiKfRaNHzkyiy09JD4Sszu/zbct1psvA4rDJ35BL1y25fzMcrG2Z1RVww==" saltValue="6CjOBwsDjJ43awMrMWdrgw==" spinCount="100000" sqref="W72 BE72" name="Диапазон31"/>
    <protectedRange algorithmName="SHA-512" hashValue="dHpKAmNfp2Os7bV6Z7Vkjtg1yKQ0F4+MtCOKDPGlpVirP3ANsNNtmbk1nJG+v/TIOZEzf9zQqJnOOBadmK9S/w==" saltValue="BeDsEHdo+CeLHlBg7A4eCQ==" spinCount="100000" sqref="S62:V62 BA62:BH62" name="Диапазон27"/>
    <protectedRange algorithmName="SHA-512" hashValue="xKPS1gXKqL5BmnK7qldCTk1YcAgI3/tj3FoN7fVDfRvAcNwVWRmxJLkbsQXO8dM7meQdoN4W2glnsFcow7nqlQ==" saltValue="zRIIfH6NI1ynH3pgb4jVKA==" spinCount="100000" sqref="B59:L60 AJ59:AT60" name="Диапазон24"/>
    <protectedRange algorithmName="SHA-512" hashValue="c579QrpNDFIVPx0O31Z6YY0v++YTWhqwiWdR7q8TAaIuinCxfMHk2W3AxvzdTPdc9qJr0tW0gDEj/MB9JI9NXg==" saltValue="HZy8mC3R3jjgE+sVhg+NCQ==" spinCount="100000" sqref="AA55:AF55 AA47:AF47 BI55:BN55 BI47:BN47" name="Диапазон20"/>
    <protectedRange algorithmName="SHA-512" hashValue="t4nZVsSGGvUOruFMUMmJ9hUQ/8eulzSlD9m55nwTRI0L3N5XfAAb42UXQ48JaFMzHrHiFaCAI9wltMm1Pbap9g==" saltValue="ILxPyOuNnQcKUzX0gOHN4Q==" spinCount="100000" sqref="O55:Q55 AW55:AY55" name="Диапазон19"/>
    <protectedRange algorithmName="SHA-512" hashValue="nlY3lgK3AEhN5mveusaM/oPPNAAKIPtc/wFr1kxdwzODDrgIyCkEYbm2wsHlMFNvsyklXnf6V5KcRF99NL0j9w==" saltValue="Y6lf+JBR3ocUBm30Tzvj9w==" spinCount="100000" sqref="O55:Q55 AW55:AY55" name="Диапазон16"/>
    <protectedRange algorithmName="SHA-512" hashValue="+5hyqnkCpn3E1LJ01k3tXfEfk2PStGB4x1tCmxlZVewOXFSNgzSBf+y3OnyWM698igefuy8MEsPBmZI9Uk4eLw==" saltValue="0FjfqBmYydrDvjYMt1yzRw==" spinCount="100000" sqref="E48:E49 AM48:AM49" name="Диапазон14"/>
    <protectedRange algorithmName="SHA-512" hashValue="CsfNLIkvd0ovpfBBN5Dru7Y2LQUZ0fr7uoVbvgSYJCCK951LUOgrkHZYPMX+Th+rhcCtDEhJN7p13llxHptyKQ==" saltValue="xI1O4MKlbpvXwh0KH8JEGg==" spinCount="100000" sqref="AR35:AX35 J35:P35" name="Диапазон8"/>
    <protectedRange algorithmName="SHA-512" hashValue="dypl2r6/DysmbdeMpVoUGtj4a/no3+4LDrafVUKyge4gTpI/jRvp19LCzalZah3xUHh3vBoT92XBs62FBO+row==" saltValue="WweUtF4N2/4A94tJpogUbA==" spinCount="100000" sqref="C35 AK35" name="Диапазон1"/>
    <protectedRange algorithmName="SHA-512" hashValue="H86k7e0Scz9iDl9YTq0gB9RBGLMi+SkB6jJ8eqmiN3vIbN8U5Jcswm3My+yQAbXt5FF999vsKudJwR016KbT9A==" saltValue="PGWoRdMTvKdCPk+SjkW4gg==" spinCount="100000" sqref="AD34:AG34 BL34:BO34" name="Диапазон6"/>
    <protectedRange algorithmName="SHA-512" hashValue="IgB8Rpf9pvP//qfTS4MIIs2uYnsbQGGs745mp9NOefT/kjoOqmGQ6D5CUDvIyxWAsKRN1JPWHcgk8liwgSZnXA==" saltValue="mkMue3TqeOORcmXDfqVNRA==" spinCount="100000" sqref="E35:G35 AM35:AO35" name="Диапазон7"/>
    <protectedRange algorithmName="SHA-512" hashValue="eAkY4IJN4g5b2sjwmspDLVX9gQbz5D/KgWyWjGrDYNpK/6nh3unlYxkDy3GSGZLKzX8y/+F4USGmVtqrBxrrlQ==" saltValue="FAmPteJzfWs4UiHVEqilZQ==" spinCount="100000" sqref="M53 AU53" name="Диапазон15"/>
    <protectedRange algorithmName="SHA-512" hashValue="o/ubyhlBSVO9lorkqvA/e9pV1szdDseNe4ZsBX94kztaRGlrLiMNPuVRlGo+w/g5POl+ZuZ1R8hfy8HvUbQIUw==" saltValue="iZogPQ+97hEhAf9/haUMzg==" spinCount="100000" sqref="T25:T30 X25:X30 AB25:AB30 BF25:BF30 BJ25:BJ30 BB25:BB30" name="Диапазон21"/>
    <protectedRange algorithmName="SHA-512" hashValue="5V+Kh4CXStUuTQq9GI+Ez0q4rLn4WcxxaG2tckQsevIQcWkK7TqMl1JE8y9C8wR1sPgZcVg1MMDkMYKKG7M0eQ==" saltValue="cxbmGu2pRJqOnoSMB+aGsw==" spinCount="100000" sqref="BA58:BF61 BG57:BH61 S56:S61 BA56:BA57" name="Диапазон25"/>
    <protectedRange algorithmName="SHA-512" hashValue="KF6bGayiroQD79oFmdJj5CyrgsjAZfX8Jei8kEdlXW6jTHPS2iAO4S+ouHmZpWydCpJYl6CBbdqXFybUJvhBhg==" saltValue="udoe+GEHBRjYKW4+iC/UxA==" spinCount="100000" sqref="BA58:BF61 BG57:BH61 S56:S61 BA56:BA57" name="Диапазон26"/>
    <protectedRange algorithmName="SHA-512" hashValue="2ZDI+ee8CxGNu/b/r5cEGH/LE+oGnadr77Vncf1mk4b3oIRo5k7ARa5K8b8138SNwwWYLrHc0VZIlCi86hYOhg==" saltValue="KWkNEVR5ue7EQm15q+DxqQ==" spinCount="100000" sqref="N72:O72 AV72:AW72" name="Диапазон30"/>
    <protectedRange algorithmName="SHA-512" hashValue="G2NzQl+2DCBe3UmdWQi6PcSm7bL/6cDNrWf+YRVvE9NY70aMLybKJ+zqiXENwjz/Cl2IOM/opuyeGuAHfPoVNw==" saltValue="LK4AhsTkqvm4by1Ds7Reqg==" spinCount="100000" sqref="X90 BF90" name="Диапазон39"/>
    <protectedRange algorithmName="SHA-512" hashValue="acjv6y9HtKe1e9XMM4DQGdnzvd7gMNGE1HGBsmQaj8nx+nMOHXWbcWbLAbXqpT6EfbJ5OM/8KPqEDNylZYjd9g==" saltValue="Z20q4xxo+9nfZejOcZn+mw==" spinCount="100000" sqref="AD90 BL90" name="Диапазон41"/>
    <protectedRange algorithmName="SHA-512" hashValue="tyUdOG5xBBWWd6o9r1Ct+POMtXWpxv6NEbXSaU20s94e7JyxvQ9mBeTr/acGT3Yw3jA4CHA+od4iN9rckwKEKQ==" saltValue="qH0/XgE2pMlw+ikTC51H+w==" spinCount="100000" sqref="S111:S120 BA111:BA120" name="Диапазон43"/>
    <protectedRange algorithmName="SHA-512" hashValue="2HXnVv71Fo8Rfq5/sJrLCgaBENJP69ybqUOuIt5NITkBnRacOxIKl3YuYiAAbcW2rvIFWpN4RYUeEMy2AKqY2A==" saltValue="7cJFbOAn0gY344xTX1kQEg==" spinCount="100000" sqref="S111:S120 BA111:BA120" name="Диапазон45"/>
    <protectedRange algorithmName="SHA-512" hashValue="ZQV0AJnXE3D+KEcQ9knAnF5Yowqd2UdfQTTOh0+HnEpoOUYjzBapX7z/MLMOghcQl+C8VDXBqHWOwuzWWn+dNg==" saltValue="1nq3CIsB0hfW8EF7sV0z8A==" spinCount="100000" sqref="K129:S129 AS129:BA129" name="Диапазон48"/>
    <protectedRange algorithmName="SHA-512" hashValue="ei77Q9y399phpnQ9MtSg9NxCLSJNsjSguMAi5TL0/Ba3535rWgxrY+WbOqJTPHw5zES/31LtoAyp5oOQNZwIbA==" saltValue="O0Up4cRIckxbyxLc+OGLFg==" spinCount="100000" sqref="E35:G35 AM35:AO35" name="Диапазон53"/>
    <protectedRange algorithmName="SHA-512" hashValue="TmxUNgoKd054b7/PrWk01EG2E3u0zNZHCx5VmzoJrbZRZIxNT/8jc74E8Ql6HVuct3EpdLkDwKBi6j6eXHEtrQ==" saltValue="pSqbN1YixJwiK3Xn+T32Dg==" spinCount="100000" sqref="AD34:AG34 BL34:BO34" name="Диапазон55"/>
    <protectedRange algorithmName="SHA-512" hashValue="SlEG7F1PILFql/VHEWhmi4gIcrQ1iIMsWxEQeSVz9AY7uVmiy2p/l+S/L1Xtkp/wNG4FYj3SwINV3kklJ0vKGA==" saltValue="likh5SbXvMe+Ib628CutiQ==" spinCount="100000" sqref="AG90 BO90" name="Диапазон57"/>
    <protectedRange algorithmName="SHA-512" hashValue="gm5JncHGsKhvvCUoyyTHoT8tUVCcmtTVlR6aXiF6kB/BPEz7NTXeuXfyfSOLYKAlKj7n71fjf+fjZlVppyGUQA==" saltValue="azrjBO1EZBhEQbkSQ9U7nw==" spinCount="100000" sqref="AA90:AD90 AF90:AG90 BI90:BL90 BN90:BO90" name="Диапазон60"/>
    <protectedRange algorithmName="SHA-512" hashValue="T3jghaOqaLnSeuGF1r5wexqpxKDXuGGtpwSgXdZrONR7XZXUNHpd6TprBYeBhUF7NQtTtp14Cnhuth73l7e6Jg==" saltValue="5Nvqo/hrjIhzX+xVdhGm2A==" spinCount="100000" sqref="Q35 AY35" name="Диапазон3_3"/>
    <protectedRange algorithmName="SHA-512" hashValue="dHL/PipE3cnemIhXwTztrs5QDzBmOZnEoBeGysO/1nDWnkzhvoR4qEfqB03mn2sGvYNQpsSY8gxyMSn4AnO22w==" saltValue="jtGEv61HBZ4v+Un2+OmmAQ==" spinCount="100000" sqref="E46:E47 AJ42:AL43 B42:D43 AM46:AM47" name="Диапазон4_3"/>
    <protectedRange algorithmName="SHA-512" hashValue="m0/+aWmMVrOHurPHG3/yCP3N6MyZUehfLD9eFyyLdjWGgR3UMLntuGhQz9RSmW/IcruhRdsS4OGYiK9M7Ieb0Q==" saltValue="lYwRNYPpvaNXpvv89jSW0Q==" spinCount="100000" sqref="T31 X31 AB31 BF31 BJ31 BB31" name="Диапазон11_3"/>
    <protectedRange algorithmName="SHA-512" hashValue="Vof+rs7jqFRWXiH+sHlfx6hiFAzAwQmfv+zjt4jfTO3KIzCTf4JaLSc6E3Yh5QpW7iA620zdmLByHH6Nnc3wng==" saltValue="w/8vQtadBT8l9go2z9xIeA==" spinCount="100000" sqref="Z35 BH35" name="Диапазон54_3"/>
    <protectedRange algorithmName="SHA-512" hashValue="VeEuBOsxBovX0YWMR8gjTUJl/zaGj2qQ3x8XpnAiyN22ka5qAvLd1KyjFpCav1ItYGtaNiwwa/b7XWeNWbG4gA==" saltValue="1imoN3OlgZXGoFy0rQQreA==" spinCount="100000" sqref="Z35 BH35" name="Диапазон56_3"/>
    <protectedRange algorithmName="SHA-512" hashValue="ptPG4ZYqp9gi+uz/kZTu35OmfUiMJXKmkAlrfiZSSe3UbjC8nGdBxmVsR105ZwJ8qxZe84CGZ9nUYFn6dGo0Gg==" saltValue="iL40lbC+dAuIM84QtZvllQ==" spinCount="100000" sqref="E45 AM45" name="Диапазон11_4"/>
    <protectedRange algorithmName="SHA-512" hashValue="XAj76HKoB6xISYPcyawie0tDG5xyt5Y4ulUniI3blkbGZrOEP+a0bgu7hH30qequAUMMhtWcV382aUIFtQ2VkA==" saltValue="oxBtjINJbalzrtDVXalg+w==" spinCount="100000" sqref="B47:C48 F45:F46 AJ47:AK48 H49:H50 AP49:AP50 AN45:AN46" name="Диапазон9_1"/>
    <protectedRange algorithmName="SHA-512" hashValue="nvV4rZWE9px2EgmZ65frI2+KQur1tKCP8iERTeGclv8VhvKQaxphzW5GzgDnrxXHIxBHTCjkd1SM5TKwoYbOHw==" saltValue="KG6oqJtIMSAWUR65QYFw0g==" spinCount="100000" sqref="H51 C49 AK49 AP51" name="Диапазон9_2"/>
    <protectedRange algorithmName="SHA-512" hashValue="1ZCEieB+yW/B/3fk8oafGGfqQSQVwUCo/rTW6gq8s7A6v5fayINq1UiOHw7Hrx2BEYtPvU4vD/hmXcViCrPWNw==" saltValue="ayA71e1z9Xl2M7G5nW8zqw==" spinCount="100000" sqref="AD62:AF62 AE57:AF57 AD57:AD58 AD61 AE58:AE60 AF58:AF61 BL62:BN62 BL57:BL58 BL61 BM57:BM60 BN57:BN61" name="Диапазон28_2_1_3_3"/>
    <protectedRange algorithmName="SHA-512" hashValue="821FbO+JmbuLmt1an+cHZJHqP69VBEdSYhXlogU/WfJLQbnSn85HSn8D2QJkiM6qcl0ig/3PkfXMXEBxCbeRMg==" saltValue="cNjXGwIzi4bd8Y1+bcY7cw==" spinCount="100000" sqref="T33 X33 U35:Y35 BB33 BF33 BC35:BG35 AB33 BJ33" name="Диапазон4_3_1_1"/>
    <protectedRange algorithmName="SHA-512" hashValue="ZJr7/ZdxvT7hoz3K6CP2hZmFgpW4KUL1unJEmkCyOnq/E6JbJ+hINwPxOPjGC6JLgebPUY0qwndqEWnRJ1l3LQ==" saltValue="TrgUzbpxVBBHDgPkS3h+Jg==" spinCount="100000" sqref="G91 AO91 AR91:AS91 AS90 J91:K91 K90" name="Диапазон34_3"/>
    <protectedRange algorithmName="SHA-512" hashValue="lkGdMxz+5sfKUavulEkA/tfCkq51NA0lv0dal25sr5hle0PuoQgTcaJLqEF1t8SmRh5l5kl0ODbc8I+oi7//aA==" saltValue="bg9Gp7KdZPfK/oanRz+IIA==" spinCount="100000" sqref="J89 AR89" name="Диапазон35_1_3"/>
    <protectedRange algorithmName="SHA-512" hashValue="9h8UZB/j0Ew0/4+Df9jLuLzOU69kwGw9zdeN9bBckCRbkhLu6kCTIEfufUhNAQNGSy9wm+3bpeoZ9CoRM9Ho+Q==" saltValue="95JVU8wKBqCBgoDK3T7WIA==" spinCount="100000" sqref="H89:H90 AP89:AP90 AQ90:AR90 I90:J90" name="Диапазон32_3_3"/>
    <protectedRange algorithmName="SHA-512" hashValue="gXVdtvssZoGQIvlhb7uRrGA2N4IkIu0+A6zbNaW3IV3SdmatUnPdl/WUnBSML/GmZJgTu0Sm1DZhPavuVdSGfA==" saltValue="4IOoi9KOha5di39FJXhAHg==" spinCount="100000" sqref="L89 AT89 AT90:AV90 L90:N90" name="Диапазон36_3_1"/>
    <protectedRange algorithmName="SHA-512" hashValue="+phPzzBIfy4SE0CMwZuB7Vr+CR6M+UT8Uha3y/MHDn+3+F7H8GFEFhq9pReVTnjg95ht122NBTRcoK6rN6zvQw==" saltValue="kFs2rhIcwI9GsEa2hTCepw==" spinCount="100000" sqref="E91:F91 AM91:AN91" name="Диапазон34_2_1"/>
    <protectedRange algorithmName="SHA-512" hashValue="00jyxJowTwsUZO0sXMZnUgsZp3g1afU7V2VMUVFD8S5t9QQ86bLLAXMvDiPuJmLmznrawn/Mqk5EDavJmTq+Lw==" saltValue="g0HALZhzFdc5GKsnpREJrA==" spinCount="100000" sqref="D89:E90 AJ90:AK90 B90:C90 AL89:AM90" name="Диапазон32_1_2_1"/>
    <protectedRange algorithmName="SHA-512" hashValue="lg30NSB/hkW6zMQCtdmTa2HzflwyLz0shAY5v/O7DTyx0CHzhTIkv0SyBfpGjCFFaqoXct0M5e+LcXIHzRtj+w==" saltValue="g8zKyB8XcmoR0Yh0OCKC/A==" spinCount="100000" sqref="R90 AZ90" name="Диапазон37_3_1_1"/>
  </protectedRanges>
  <customSheetViews>
    <customSheetView guid="{9AA7F8D2-F967-49D0-A431-45AC7CAADBAA}" scale="80" showPageBreaks="1" printArea="1" hiddenColumns="1" view="pageBreakPreview" topLeftCell="A95">
      <selection activeCell="P116" sqref="P116"/>
      <rowBreaks count="2" manualBreakCount="2">
        <brk id="56" max="159" man="1"/>
        <brk id="109" max="159" man="1"/>
      </rowBreaks>
      <colBreaks count="5" manualBreakCount="5">
        <brk id="34" max="18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9" scale="43" orientation="landscape" r:id="rId1"/>
      <headerFooter alignWithMargins="0"/>
    </customSheetView>
    <customSheetView guid="{088AEEB3-F71F-4FD6-B49B-55643D920FC6}" scale="70" showPageBreaks="1" printArea="1" hiddenColumns="1" view="pageBreakPreview" topLeftCell="DG7">
      <selection activeCell="EH49" sqref="EH49"/>
      <rowBreaks count="2" manualBreakCount="2">
        <brk id="56" max="159" man="1"/>
        <brk id="109" max="159" man="1"/>
      </rowBreaks>
      <colBreaks count="5" manualBreakCount="5">
        <brk id="33" max="104857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8" scale="60" orientation="landscape" r:id="rId2"/>
      <headerFooter alignWithMargins="0"/>
    </customSheetView>
    <customSheetView guid="{29BD9A5E-D50F-4A88-A654-39BA9D666C53}" scale="80" showPageBreaks="1" printArea="1" hiddenColumns="1" view="pageBreakPreview" topLeftCell="DT43">
      <selection activeCell="EJ49" sqref="EJ49"/>
      <rowBreaks count="2" manualBreakCount="2">
        <brk id="56" max="159" man="1"/>
        <brk id="109" max="159" man="1"/>
      </rowBreaks>
      <colBreaks count="5" manualBreakCount="5">
        <brk id="33" max="104857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8" scale="60" orientation="landscape" r:id="rId3"/>
      <headerFooter alignWithMargins="0"/>
    </customSheetView>
    <customSheetView guid="{D9EA6DAB-3BBE-4AEB-835D-410DB85E8702}" scale="80" showPageBreaks="1" printArea="1" hiddenColumns="1" view="pageBreakPreview">
      <selection activeCell="CE179" sqref="CE179"/>
      <rowBreaks count="2" manualBreakCount="2">
        <brk id="56" max="159" man="1"/>
        <brk id="109" max="159" man="1"/>
      </rowBreaks>
      <colBreaks count="5" manualBreakCount="5">
        <brk id="33" max="104857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8" scale="60" orientation="landscape" r:id="rId4"/>
      <headerFooter alignWithMargins="0"/>
    </customSheetView>
    <customSheetView guid="{CFB4A573-2790-4D20-894C-21E3B146481E}" scale="80" showPageBreaks="1" printArea="1" hiddenColumns="1" view="pageBreakPreview" topLeftCell="DT34">
      <selection activeCell="EC35" sqref="EC35:ED35"/>
      <rowBreaks count="2" manualBreakCount="2">
        <brk id="56" max="159" man="1"/>
        <brk id="109" max="159" man="1"/>
      </rowBreaks>
      <colBreaks count="5" manualBreakCount="5">
        <brk id="33" max="104857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8" scale="60" orientation="landscape" r:id="rId5"/>
      <headerFooter alignWithMargins="0"/>
    </customSheetView>
    <customSheetView guid="{B2A463F0-D351-4C59-A7CF-DC4487562EFC}" scale="70" showPageBreaks="1" printArea="1" hiddenColumns="1" view="pageBreakPreview" topLeftCell="CT36">
      <selection activeCell="CX2" sqref="CX2:DF56"/>
      <rowBreaks count="2" manualBreakCount="2">
        <brk id="56" max="159" man="1"/>
        <brk id="109" max="159" man="1"/>
      </rowBreaks>
      <colBreaks count="5" manualBreakCount="5">
        <brk id="33" max="104857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8" scale="89" orientation="portrait" r:id="rId6"/>
      <headerFooter alignWithMargins="0"/>
    </customSheetView>
  </customSheetViews>
  <mergeCells count="1392">
    <mergeCell ref="AI119:AJ119"/>
    <mergeCell ref="V192:X192"/>
    <mergeCell ref="B228:P228"/>
    <mergeCell ref="B229:H229"/>
    <mergeCell ref="K229:M229"/>
    <mergeCell ref="N229:N230"/>
    <mergeCell ref="O229:O230"/>
    <mergeCell ref="BP153:BX153"/>
    <mergeCell ref="BP154:BR154"/>
    <mergeCell ref="BS154:BU154"/>
    <mergeCell ref="BV154:BX154"/>
    <mergeCell ref="AI110:AJ110"/>
    <mergeCell ref="BK160:BM160"/>
    <mergeCell ref="A115:B115"/>
    <mergeCell ref="W165:Y165"/>
    <mergeCell ref="K192:K193"/>
    <mergeCell ref="R124:S124"/>
    <mergeCell ref="R125:S125"/>
    <mergeCell ref="A123:K123"/>
    <mergeCell ref="I148:L148"/>
    <mergeCell ref="O148:Q148"/>
    <mergeCell ref="AB148:AD148"/>
    <mergeCell ref="R129:S129"/>
    <mergeCell ref="C148:E148"/>
    <mergeCell ref="AW160:AY160"/>
    <mergeCell ref="F148:G148"/>
    <mergeCell ref="S149:U149"/>
    <mergeCell ref="AI114:AJ114"/>
    <mergeCell ref="BE114:BF114"/>
    <mergeCell ref="AI128:AJ128"/>
    <mergeCell ref="BD160:BG160"/>
    <mergeCell ref="BG137:BG138"/>
    <mergeCell ref="P231:Q231"/>
    <mergeCell ref="P232:Q232"/>
    <mergeCell ref="T229:U230"/>
    <mergeCell ref="J93:M93"/>
    <mergeCell ref="F93:I93"/>
    <mergeCell ref="V93:Y93"/>
    <mergeCell ref="Z93:AC93"/>
    <mergeCell ref="A114:B114"/>
    <mergeCell ref="W111:X111"/>
    <mergeCell ref="W113:X113"/>
    <mergeCell ref="W112:X112"/>
    <mergeCell ref="R93:U93"/>
    <mergeCell ref="N93:Q93"/>
    <mergeCell ref="T131:U131"/>
    <mergeCell ref="T142:U142"/>
    <mergeCell ref="R123:S123"/>
    <mergeCell ref="O123:Q123"/>
    <mergeCell ref="A122:S122"/>
    <mergeCell ref="O133:O135"/>
    <mergeCell ref="A118:B118"/>
    <mergeCell ref="L123:N123"/>
    <mergeCell ref="K144:L144"/>
    <mergeCell ref="R160:V160"/>
    <mergeCell ref="B160:C160"/>
    <mergeCell ref="R127:S127"/>
    <mergeCell ref="O131:O132"/>
    <mergeCell ref="R133:R135"/>
    <mergeCell ref="Z165:AG165"/>
    <mergeCell ref="C187:D187"/>
    <mergeCell ref="K187:N187"/>
    <mergeCell ref="O187:R187"/>
    <mergeCell ref="S187:W187"/>
    <mergeCell ref="BE116:BF116"/>
    <mergeCell ref="AF192:AF193"/>
    <mergeCell ref="A111:B111"/>
    <mergeCell ref="A194:A195"/>
    <mergeCell ref="A192:A193"/>
    <mergeCell ref="B222:O222"/>
    <mergeCell ref="BA110:BB110"/>
    <mergeCell ref="BC123:BO123"/>
    <mergeCell ref="BC114:BC115"/>
    <mergeCell ref="V142:V143"/>
    <mergeCell ref="AI118:AJ118"/>
    <mergeCell ref="P229:Q230"/>
    <mergeCell ref="K212:O212"/>
    <mergeCell ref="P212:T212"/>
    <mergeCell ref="U212:Y212"/>
    <mergeCell ref="AH194:AH195"/>
    <mergeCell ref="B192:D192"/>
    <mergeCell ref="E192:E193"/>
    <mergeCell ref="AJ192:AP192"/>
    <mergeCell ref="Z212:AA212"/>
    <mergeCell ref="AB212:AC212"/>
    <mergeCell ref="AE212:AG212"/>
    <mergeCell ref="AI212:AM212"/>
    <mergeCell ref="BI151:BJ151"/>
    <mergeCell ref="BC121:BD121"/>
    <mergeCell ref="M165:P165"/>
    <mergeCell ref="D154:H154"/>
    <mergeCell ref="BI148:BJ149"/>
    <mergeCell ref="AZ127:BA127"/>
    <mergeCell ref="AT123:AV123"/>
    <mergeCell ref="AI123:AS123"/>
    <mergeCell ref="R126:S126"/>
    <mergeCell ref="BA137:BA138"/>
    <mergeCell ref="BB137:BB138"/>
    <mergeCell ref="AN65:AP65"/>
    <mergeCell ref="T92:AD92"/>
    <mergeCell ref="W110:X110"/>
    <mergeCell ref="AE65:AE66"/>
    <mergeCell ref="AJ93:AM93"/>
    <mergeCell ref="AD88:AE88"/>
    <mergeCell ref="AR93:AU93"/>
    <mergeCell ref="AI111:AJ111"/>
    <mergeCell ref="B165:D165"/>
    <mergeCell ref="E165:I165"/>
    <mergeCell ref="BE112:BF112"/>
    <mergeCell ref="BE117:BF117"/>
    <mergeCell ref="AD139:AE139"/>
    <mergeCell ref="BE137:BE138"/>
    <mergeCell ref="AE131:AG131"/>
    <mergeCell ref="AZ124:BA124"/>
    <mergeCell ref="AI122:BA122"/>
    <mergeCell ref="AZ125:BA125"/>
    <mergeCell ref="AV93:AY93"/>
    <mergeCell ref="AZ129:BA129"/>
    <mergeCell ref="BD137:BD138"/>
    <mergeCell ref="W119:X121"/>
    <mergeCell ref="K142:M142"/>
    <mergeCell ref="S147:X147"/>
    <mergeCell ref="W116:X116"/>
    <mergeCell ref="AY137:AY138"/>
    <mergeCell ref="AI124:AJ124"/>
    <mergeCell ref="BE115:BF115"/>
    <mergeCell ref="AI117:AJ117"/>
    <mergeCell ref="AZ160:BC160"/>
    <mergeCell ref="BE113:BF113"/>
    <mergeCell ref="BC137:BC138"/>
    <mergeCell ref="BF137:BF138"/>
    <mergeCell ref="AJ217:AL217"/>
    <mergeCell ref="AM217:AO217"/>
    <mergeCell ref="AP217:AR217"/>
    <mergeCell ref="A217:E217"/>
    <mergeCell ref="F217:H217"/>
    <mergeCell ref="I217:K217"/>
    <mergeCell ref="L217:M217"/>
    <mergeCell ref="N217:P217"/>
    <mergeCell ref="S217:U217"/>
    <mergeCell ref="V217:W217"/>
    <mergeCell ref="X217:Z217"/>
    <mergeCell ref="AA217:AI217"/>
    <mergeCell ref="Q192:U192"/>
    <mergeCell ref="A119:B119"/>
    <mergeCell ref="U114:U115"/>
    <mergeCell ref="A120:B120"/>
    <mergeCell ref="A113:B113"/>
    <mergeCell ref="W115:X115"/>
    <mergeCell ref="AI115:AJ115"/>
    <mergeCell ref="AI120:AJ120"/>
    <mergeCell ref="AI129:AJ129"/>
    <mergeCell ref="A124:B124"/>
    <mergeCell ref="D160:G160"/>
    <mergeCell ref="K145:L145"/>
    <mergeCell ref="Q131:S131"/>
    <mergeCell ref="S165:V165"/>
    <mergeCell ref="W160:AA160"/>
    <mergeCell ref="O192:O193"/>
    <mergeCell ref="G192:G193"/>
    <mergeCell ref="AB65:AB66"/>
    <mergeCell ref="J76:J77"/>
    <mergeCell ref="U76:V76"/>
    <mergeCell ref="A129:B129"/>
    <mergeCell ref="A128:B128"/>
    <mergeCell ref="U123:AG123"/>
    <mergeCell ref="V131:X131"/>
    <mergeCell ref="A148:A151"/>
    <mergeCell ref="M160:Q160"/>
    <mergeCell ref="F68:H68"/>
    <mergeCell ref="A92:S92"/>
    <mergeCell ref="A75:A77"/>
    <mergeCell ref="W65:Y65"/>
    <mergeCell ref="AD87:AE87"/>
    <mergeCell ref="AD86:AE86"/>
    <mergeCell ref="AD89:AE89"/>
    <mergeCell ref="AD90:AE90"/>
    <mergeCell ref="W117:X117"/>
    <mergeCell ref="A109:T109"/>
    <mergeCell ref="U109:AG109"/>
    <mergeCell ref="F67:H67"/>
    <mergeCell ref="F74:V74"/>
    <mergeCell ref="E76:G76"/>
    <mergeCell ref="AE70:AG70"/>
    <mergeCell ref="A116:B116"/>
    <mergeCell ref="Q133:Q135"/>
    <mergeCell ref="H160:L160"/>
    <mergeCell ref="N72:O72"/>
    <mergeCell ref="Q72:R72"/>
    <mergeCell ref="AA71:AA72"/>
    <mergeCell ref="H76:H77"/>
    <mergeCell ref="AD85:AE85"/>
    <mergeCell ref="AD84:AE84"/>
    <mergeCell ref="U90:V90"/>
    <mergeCell ref="U121:V121"/>
    <mergeCell ref="A117:B117"/>
    <mergeCell ref="W54:W55"/>
    <mergeCell ref="C76:C77"/>
    <mergeCell ref="U54:U55"/>
    <mergeCell ref="V54:V55"/>
    <mergeCell ref="A112:B112"/>
    <mergeCell ref="A37:A39"/>
    <mergeCell ref="P38:P39"/>
    <mergeCell ref="A110:B110"/>
    <mergeCell ref="D76:D77"/>
    <mergeCell ref="F64:H64"/>
    <mergeCell ref="B37:B39"/>
    <mergeCell ref="F65:H65"/>
    <mergeCell ref="T54:T55"/>
    <mergeCell ref="O47:Q47"/>
    <mergeCell ref="D45:F46"/>
    <mergeCell ref="S38:S39"/>
    <mergeCell ref="P66:R66"/>
    <mergeCell ref="AD93:AG93"/>
    <mergeCell ref="B93:E93"/>
    <mergeCell ref="I76:I77"/>
    <mergeCell ref="AB76:AB77"/>
    <mergeCell ref="B75:D75"/>
    <mergeCell ref="E73:E74"/>
    <mergeCell ref="AB38:AB39"/>
    <mergeCell ref="D37:D39"/>
    <mergeCell ref="Q38:Q39"/>
    <mergeCell ref="O38:O39"/>
    <mergeCell ref="A55:L55"/>
    <mergeCell ref="N38:N39"/>
    <mergeCell ref="C37:C39"/>
    <mergeCell ref="V34:W34"/>
    <mergeCell ref="T38:T39"/>
    <mergeCell ref="M38:M39"/>
    <mergeCell ref="Q31:Q32"/>
    <mergeCell ref="B36:M36"/>
    <mergeCell ref="K32:M32"/>
    <mergeCell ref="G29:G30"/>
    <mergeCell ref="C33:C34"/>
    <mergeCell ref="K30:M30"/>
    <mergeCell ref="A33:A34"/>
    <mergeCell ref="X29:X30"/>
    <mergeCell ref="Z31:Z32"/>
    <mergeCell ref="G31:G32"/>
    <mergeCell ref="I31:I32"/>
    <mergeCell ref="Y31:Y32"/>
    <mergeCell ref="N36:AG36"/>
    <mergeCell ref="J29:J30"/>
    <mergeCell ref="J31:J32"/>
    <mergeCell ref="G37:I37"/>
    <mergeCell ref="V31:V32"/>
    <mergeCell ref="W31:W32"/>
    <mergeCell ref="K38:K39"/>
    <mergeCell ref="U38:U39"/>
    <mergeCell ref="G38:I38"/>
    <mergeCell ref="J38:J39"/>
    <mergeCell ref="AD38:AD39"/>
    <mergeCell ref="AE38:AE39"/>
    <mergeCell ref="R38:R39"/>
    <mergeCell ref="AF38:AF39"/>
    <mergeCell ref="B29:B30"/>
    <mergeCell ref="A19:A20"/>
    <mergeCell ref="H53:I53"/>
    <mergeCell ref="V38:V39"/>
    <mergeCell ref="M25:M26"/>
    <mergeCell ref="Y29:Y30"/>
    <mergeCell ref="N37:Q37"/>
    <mergeCell ref="M27:M28"/>
    <mergeCell ref="N30:P30"/>
    <mergeCell ref="L38:L39"/>
    <mergeCell ref="J37:M37"/>
    <mergeCell ref="F29:F30"/>
    <mergeCell ref="U31:U32"/>
    <mergeCell ref="D33:D34"/>
    <mergeCell ref="E37:E39"/>
    <mergeCell ref="H27:H28"/>
    <mergeCell ref="A27:A28"/>
    <mergeCell ref="T31:T32"/>
    <mergeCell ref="N32:P32"/>
    <mergeCell ref="L25:L26"/>
    <mergeCell ref="H25:H26"/>
    <mergeCell ref="I25:I26"/>
    <mergeCell ref="F31:F32"/>
    <mergeCell ref="A29:A30"/>
    <mergeCell ref="A25:A26"/>
    <mergeCell ref="G25:G26"/>
    <mergeCell ref="A45:C45"/>
    <mergeCell ref="Y27:Y28"/>
    <mergeCell ref="X27:X28"/>
    <mergeCell ref="N25:N26"/>
    <mergeCell ref="O25:O26"/>
    <mergeCell ref="W25:W26"/>
    <mergeCell ref="V29:V30"/>
    <mergeCell ref="AI21:AI22"/>
    <mergeCell ref="A17:A18"/>
    <mergeCell ref="AA25:AA26"/>
    <mergeCell ref="AB25:AB26"/>
    <mergeCell ref="AI25:AI26"/>
    <mergeCell ref="R19:R20"/>
    <mergeCell ref="B23:B24"/>
    <mergeCell ref="C23:C24"/>
    <mergeCell ref="H29:H30"/>
    <mergeCell ref="D31:D32"/>
    <mergeCell ref="E31:E32"/>
    <mergeCell ref="W29:W30"/>
    <mergeCell ref="D29:D30"/>
    <mergeCell ref="E33:E34"/>
    <mergeCell ref="F33:F34"/>
    <mergeCell ref="C31:C32"/>
    <mergeCell ref="Y23:Y24"/>
    <mergeCell ref="B27:B28"/>
    <mergeCell ref="Z23:Z24"/>
    <mergeCell ref="N27:N28"/>
    <mergeCell ref="L27:L28"/>
    <mergeCell ref="AA23:AA24"/>
    <mergeCell ref="P27:P28"/>
    <mergeCell ref="L23:L24"/>
    <mergeCell ref="A31:A32"/>
    <mergeCell ref="S31:S32"/>
    <mergeCell ref="T29:T30"/>
    <mergeCell ref="U29:U30"/>
    <mergeCell ref="C29:C30"/>
    <mergeCell ref="AB31:AB32"/>
    <mergeCell ref="H31:H32"/>
    <mergeCell ref="A23:A24"/>
    <mergeCell ref="Q19:Q20"/>
    <mergeCell ref="AA17:AA18"/>
    <mergeCell ref="S19:S20"/>
    <mergeCell ref="M21:M22"/>
    <mergeCell ref="I29:I30"/>
    <mergeCell ref="AB29:AB30"/>
    <mergeCell ref="E27:E28"/>
    <mergeCell ref="F27:F28"/>
    <mergeCell ref="AB27:AB28"/>
    <mergeCell ref="V27:V28"/>
    <mergeCell ref="R29:R30"/>
    <mergeCell ref="C27:C28"/>
    <mergeCell ref="G27:G28"/>
    <mergeCell ref="J27:J28"/>
    <mergeCell ref="U23:U24"/>
    <mergeCell ref="AB21:AB22"/>
    <mergeCell ref="T25:T26"/>
    <mergeCell ref="I27:I28"/>
    <mergeCell ref="K27:K28"/>
    <mergeCell ref="Q29:Q30"/>
    <mergeCell ref="F23:F24"/>
    <mergeCell ref="C19:C20"/>
    <mergeCell ref="J19:J20"/>
    <mergeCell ref="P25:P26"/>
    <mergeCell ref="Q25:Q26"/>
    <mergeCell ref="K76:T76"/>
    <mergeCell ref="AN68:AP68"/>
    <mergeCell ref="B76:B77"/>
    <mergeCell ref="F66:H66"/>
    <mergeCell ref="AM21:AM22"/>
    <mergeCell ref="D27:D28"/>
    <mergeCell ref="E29:E30"/>
    <mergeCell ref="E25:E26"/>
    <mergeCell ref="F25:F26"/>
    <mergeCell ref="F37:F39"/>
    <mergeCell ref="AF56:AG58"/>
    <mergeCell ref="AJ76:AJ77"/>
    <mergeCell ref="AK76:AK77"/>
    <mergeCell ref="AB61:AC62"/>
    <mergeCell ref="H23:H24"/>
    <mergeCell ref="I23:I24"/>
    <mergeCell ref="S27:S28"/>
    <mergeCell ref="W27:W28"/>
    <mergeCell ref="Q27:Q28"/>
    <mergeCell ref="O27:O28"/>
    <mergeCell ref="J25:J26"/>
    <mergeCell ref="K25:K26"/>
    <mergeCell ref="B31:B32"/>
    <mergeCell ref="B33:B34"/>
    <mergeCell ref="AN29:AN30"/>
    <mergeCell ref="Y25:Y26"/>
    <mergeCell ref="R25:R26"/>
    <mergeCell ref="AD61:AE62"/>
    <mergeCell ref="J54:K54"/>
    <mergeCell ref="AO27:AO28"/>
    <mergeCell ref="AI33:AI34"/>
    <mergeCell ref="AI31:AI32"/>
    <mergeCell ref="AZ123:BA123"/>
    <mergeCell ref="AD82:AE82"/>
    <mergeCell ref="AD81:AE81"/>
    <mergeCell ref="AD80:AE80"/>
    <mergeCell ref="AI109:BB109"/>
    <mergeCell ref="X56:X57"/>
    <mergeCell ref="AB57:AB58"/>
    <mergeCell ref="AI92:BA92"/>
    <mergeCell ref="W114:X114"/>
    <mergeCell ref="AG59:AG60"/>
    <mergeCell ref="AJ75:AL75"/>
    <mergeCell ref="AM76:AO76"/>
    <mergeCell ref="AS76:BB76"/>
    <mergeCell ref="AM75:BD75"/>
    <mergeCell ref="AI75:AI77"/>
    <mergeCell ref="AE63:AE64"/>
    <mergeCell ref="AA76:AA77"/>
    <mergeCell ref="AP76:AP77"/>
    <mergeCell ref="AQ76:AQ77"/>
    <mergeCell ref="AR76:AR77"/>
    <mergeCell ref="AE59:AE60"/>
    <mergeCell ref="AF76:AG76"/>
    <mergeCell ref="F69:AD70"/>
    <mergeCell ref="S66:U66"/>
    <mergeCell ref="S63:U63"/>
    <mergeCell ref="W66:Y66"/>
    <mergeCell ref="W63:Y63"/>
    <mergeCell ref="Y56:Y57"/>
    <mergeCell ref="L64:N64"/>
    <mergeCell ref="P64:R64"/>
    <mergeCell ref="P65:R65"/>
    <mergeCell ref="AD83:AE83"/>
    <mergeCell ref="AL76:AL77"/>
    <mergeCell ref="AA29:AA30"/>
    <mergeCell ref="X25:X26"/>
    <mergeCell ref="AL33:AL34"/>
    <mergeCell ref="AL25:AL26"/>
    <mergeCell ref="BA64:BC64"/>
    <mergeCell ref="BC109:BO109"/>
    <mergeCell ref="BJ76:BJ77"/>
    <mergeCell ref="BL85:BM85"/>
    <mergeCell ref="BE76:BH76"/>
    <mergeCell ref="BL90:BM90"/>
    <mergeCell ref="BL89:BM89"/>
    <mergeCell ref="BH93:BK93"/>
    <mergeCell ref="AX65:AZ65"/>
    <mergeCell ref="AO29:AO30"/>
    <mergeCell ref="Z37:AF37"/>
    <mergeCell ref="AA38:AA39"/>
    <mergeCell ref="Y38:Y39"/>
    <mergeCell ref="AY72:AZ72"/>
    <mergeCell ref="BC72:BD72"/>
    <mergeCell ref="AQ29:AQ30"/>
    <mergeCell ref="AS32:AU32"/>
    <mergeCell ref="AN93:AQ93"/>
    <mergeCell ref="AI37:AI39"/>
    <mergeCell ref="AI27:AI28"/>
    <mergeCell ref="AJ52:AJ53"/>
    <mergeCell ref="W64:Y64"/>
    <mergeCell ref="AB56:AE56"/>
    <mergeCell ref="BC37:BD37"/>
    <mergeCell ref="AB63:AB64"/>
    <mergeCell ref="AP29:AP30"/>
    <mergeCell ref="AK27:AK28"/>
    <mergeCell ref="AO38:AQ38"/>
    <mergeCell ref="AK33:AK34"/>
    <mergeCell ref="AV27:AV28"/>
    <mergeCell ref="AZ23:AZ24"/>
    <mergeCell ref="AY27:AY28"/>
    <mergeCell ref="AQ27:AQ28"/>
    <mergeCell ref="T23:T24"/>
    <mergeCell ref="R34:S34"/>
    <mergeCell ref="AZ37:BB37"/>
    <mergeCell ref="AN27:AN28"/>
    <mergeCell ref="AN37:AN39"/>
    <mergeCell ref="AZ29:AZ30"/>
    <mergeCell ref="BA29:BA30"/>
    <mergeCell ref="AR31:AR32"/>
    <mergeCell ref="U37:V37"/>
    <mergeCell ref="W37:X37"/>
    <mergeCell ref="X38:X39"/>
    <mergeCell ref="S29:S30"/>
    <mergeCell ref="R31:R32"/>
    <mergeCell ref="AP25:AP26"/>
    <mergeCell ref="AS25:AS26"/>
    <mergeCell ref="AJ33:AJ34"/>
    <mergeCell ref="AY38:AY39"/>
    <mergeCell ref="BB38:BB39"/>
    <mergeCell ref="W38:W39"/>
    <mergeCell ref="AV37:AY37"/>
    <mergeCell ref="AY31:AY32"/>
    <mergeCell ref="AK25:AK26"/>
    <mergeCell ref="AK23:AK24"/>
    <mergeCell ref="AJ23:AJ24"/>
    <mergeCell ref="AW23:AW24"/>
    <mergeCell ref="AX25:AX26"/>
    <mergeCell ref="A21:A22"/>
    <mergeCell ref="D25:D26"/>
    <mergeCell ref="AR23:AR24"/>
    <mergeCell ref="AQ25:AQ26"/>
    <mergeCell ref="AD79:AE79"/>
    <mergeCell ref="AR37:AU37"/>
    <mergeCell ref="AT27:AT28"/>
    <mergeCell ref="AU27:AU28"/>
    <mergeCell ref="AS30:AU30"/>
    <mergeCell ref="AS27:AS28"/>
    <mergeCell ref="AM73:AM74"/>
    <mergeCell ref="AI51:AL51"/>
    <mergeCell ref="AK29:AK30"/>
    <mergeCell ref="AM29:AM30"/>
    <mergeCell ref="AJ29:AJ30"/>
    <mergeCell ref="AO37:AQ37"/>
    <mergeCell ref="AN67:AP67"/>
    <mergeCell ref="AE57:AE58"/>
    <mergeCell ref="AD78:AE78"/>
    <mergeCell ref="E75:V75"/>
    <mergeCell ref="AB59:AB60"/>
    <mergeCell ref="L72:M72"/>
    <mergeCell ref="U72:V72"/>
    <mergeCell ref="W21:W22"/>
    <mergeCell ref="R27:R28"/>
    <mergeCell ref="AT23:AT24"/>
    <mergeCell ref="AL27:AL28"/>
    <mergeCell ref="S65:U65"/>
    <mergeCell ref="AD76:AE77"/>
    <mergeCell ref="B21:B22"/>
    <mergeCell ref="C21:C22"/>
    <mergeCell ref="W75:AG75"/>
    <mergeCell ref="S64:U64"/>
    <mergeCell ref="AK52:AK53"/>
    <mergeCell ref="Z29:Z30"/>
    <mergeCell ref="AT25:AT26"/>
    <mergeCell ref="AT64:AV64"/>
    <mergeCell ref="AX64:AZ64"/>
    <mergeCell ref="AR54:AS54"/>
    <mergeCell ref="AN74:BA74"/>
    <mergeCell ref="AI55:AT55"/>
    <mergeCell ref="AM27:AM28"/>
    <mergeCell ref="AP31:AP32"/>
    <mergeCell ref="AO31:AO32"/>
    <mergeCell ref="AL31:AL32"/>
    <mergeCell ref="AF61:AG62"/>
    <mergeCell ref="AR29:AR30"/>
    <mergeCell ref="AM31:AM32"/>
    <mergeCell ref="AA31:AA32"/>
    <mergeCell ref="AQ31:AQ32"/>
    <mergeCell ref="AN31:AN32"/>
    <mergeCell ref="AL45:AN46"/>
    <mergeCell ref="AI52:AI53"/>
    <mergeCell ref="AI29:AI30"/>
    <mergeCell ref="AJ27:AJ28"/>
    <mergeCell ref="AI45:AK45"/>
    <mergeCell ref="AR38:AR39"/>
    <mergeCell ref="AR27:AR28"/>
    <mergeCell ref="AA73:AA74"/>
    <mergeCell ref="AV32:AX32"/>
    <mergeCell ref="AZ34:BA34"/>
    <mergeCell ref="AU38:AU39"/>
    <mergeCell ref="AU25:AU26"/>
    <mergeCell ref="AP53:AQ53"/>
    <mergeCell ref="W76:Z76"/>
    <mergeCell ref="AG37:AG39"/>
    <mergeCell ref="AC76:AC77"/>
    <mergeCell ref="AV25:AV26"/>
    <mergeCell ref="X21:X22"/>
    <mergeCell ref="Z21:Z22"/>
    <mergeCell ref="AA21:AA22"/>
    <mergeCell ref="AZ137:AZ138"/>
    <mergeCell ref="V23:V24"/>
    <mergeCell ref="Z25:Z26"/>
    <mergeCell ref="S25:S26"/>
    <mergeCell ref="V25:V26"/>
    <mergeCell ref="AA27:AA28"/>
    <mergeCell ref="AI23:AI24"/>
    <mergeCell ref="AI113:AJ113"/>
    <mergeCell ref="AW123:AY123"/>
    <mergeCell ref="S133:S135"/>
    <mergeCell ref="Y131:AA131"/>
    <mergeCell ref="AI127:AJ127"/>
    <mergeCell ref="AZ126:BA126"/>
    <mergeCell ref="AO21:AO22"/>
    <mergeCell ref="AO23:AO24"/>
    <mergeCell ref="BA65:BC65"/>
    <mergeCell ref="X31:X32"/>
    <mergeCell ref="T27:T28"/>
    <mergeCell ref="U27:U28"/>
    <mergeCell ref="R37:T37"/>
    <mergeCell ref="AC38:AC39"/>
    <mergeCell ref="S21:S22"/>
    <mergeCell ref="R21:R22"/>
    <mergeCell ref="BB25:BB26"/>
    <mergeCell ref="BC38:BC39"/>
    <mergeCell ref="A11:A12"/>
    <mergeCell ref="A13:A14"/>
    <mergeCell ref="B13:B14"/>
    <mergeCell ref="C13:C14"/>
    <mergeCell ref="Z27:Z28"/>
    <mergeCell ref="W23:W24"/>
    <mergeCell ref="S23:S24"/>
    <mergeCell ref="U25:U26"/>
    <mergeCell ref="AB23:AB24"/>
    <mergeCell ref="X23:X24"/>
    <mergeCell ref="A15:A16"/>
    <mergeCell ref="F15:F16"/>
    <mergeCell ref="M17:M18"/>
    <mergeCell ref="P19:P20"/>
    <mergeCell ref="Q17:Q18"/>
    <mergeCell ref="G21:G22"/>
    <mergeCell ref="J21:J22"/>
    <mergeCell ref="K21:K22"/>
    <mergeCell ref="M19:M20"/>
    <mergeCell ref="O21:O22"/>
    <mergeCell ref="F13:F14"/>
    <mergeCell ref="R23:R24"/>
    <mergeCell ref="C17:C18"/>
    <mergeCell ref="P17:P18"/>
    <mergeCell ref="G19:G20"/>
    <mergeCell ref="B25:B26"/>
    <mergeCell ref="C25:C26"/>
    <mergeCell ref="G23:G24"/>
    <mergeCell ref="Q21:Q22"/>
    <mergeCell ref="H17:H18"/>
    <mergeCell ref="T21:T22"/>
    <mergeCell ref="F19:F20"/>
    <mergeCell ref="B19:B20"/>
    <mergeCell ref="K23:K24"/>
    <mergeCell ref="C15:C16"/>
    <mergeCell ref="S15:S16"/>
    <mergeCell ref="I15:I16"/>
    <mergeCell ref="G15:G16"/>
    <mergeCell ref="H15:H16"/>
    <mergeCell ref="J15:J16"/>
    <mergeCell ref="D19:D20"/>
    <mergeCell ref="E19:E20"/>
    <mergeCell ref="H19:H20"/>
    <mergeCell ref="J23:J24"/>
    <mergeCell ref="N23:N24"/>
    <mergeCell ref="O23:O24"/>
    <mergeCell ref="K17:K18"/>
    <mergeCell ref="L17:L18"/>
    <mergeCell ref="U17:U18"/>
    <mergeCell ref="O19:O20"/>
    <mergeCell ref="E21:E22"/>
    <mergeCell ref="H21:H22"/>
    <mergeCell ref="I21:I22"/>
    <mergeCell ref="D21:D22"/>
    <mergeCell ref="F21:F22"/>
    <mergeCell ref="D17:D18"/>
    <mergeCell ref="E23:E24"/>
    <mergeCell ref="L21:L22"/>
    <mergeCell ref="R17:R18"/>
    <mergeCell ref="N19:N20"/>
    <mergeCell ref="E15:E16"/>
    <mergeCell ref="B15:B16"/>
    <mergeCell ref="B17:B18"/>
    <mergeCell ref="U19:U20"/>
    <mergeCell ref="BR15:BW16"/>
    <mergeCell ref="I19:I20"/>
    <mergeCell ref="K19:K20"/>
    <mergeCell ref="BG21:BG22"/>
    <mergeCell ref="W19:W20"/>
    <mergeCell ref="Y17:Y18"/>
    <mergeCell ref="X19:X20"/>
    <mergeCell ref="Z19:Z20"/>
    <mergeCell ref="AR15:AR16"/>
    <mergeCell ref="BD21:BD22"/>
    <mergeCell ref="BH21:BH22"/>
    <mergeCell ref="AU21:AU22"/>
    <mergeCell ref="BA23:BA24"/>
    <mergeCell ref="BB21:BB22"/>
    <mergeCell ref="AR21:AR22"/>
    <mergeCell ref="AQ19:AQ20"/>
    <mergeCell ref="D23:D24"/>
    <mergeCell ref="P21:P22"/>
    <mergeCell ref="Q23:Q24"/>
    <mergeCell ref="L19:L20"/>
    <mergeCell ref="AQ17:AQ18"/>
    <mergeCell ref="N21:N22"/>
    <mergeCell ref="P23:P24"/>
    <mergeCell ref="M23:M24"/>
    <mergeCell ref="Q15:Q16"/>
    <mergeCell ref="BI15:BI16"/>
    <mergeCell ref="G17:G18"/>
    <mergeCell ref="I17:I18"/>
    <mergeCell ref="F17:F18"/>
    <mergeCell ref="D15:D16"/>
    <mergeCell ref="BD19:BD20"/>
    <mergeCell ref="AX21:AX22"/>
    <mergeCell ref="AQ9:AQ10"/>
    <mergeCell ref="X13:X14"/>
    <mergeCell ref="Y13:Y14"/>
    <mergeCell ref="Z13:Z14"/>
    <mergeCell ref="AQ11:AQ12"/>
    <mergeCell ref="AO17:AO18"/>
    <mergeCell ref="AL17:AL18"/>
    <mergeCell ref="BG11:BG12"/>
    <mergeCell ref="BH11:BH12"/>
    <mergeCell ref="BG15:BG16"/>
    <mergeCell ref="AS17:AS18"/>
    <mergeCell ref="AT17:AT18"/>
    <mergeCell ref="AX11:AX12"/>
    <mergeCell ref="Y15:Y16"/>
    <mergeCell ref="AI17:AI18"/>
    <mergeCell ref="BG13:BG14"/>
    <mergeCell ref="BF15:BF16"/>
    <mergeCell ref="BF11:BF12"/>
    <mergeCell ref="X11:X12"/>
    <mergeCell ref="AZ17:AZ18"/>
    <mergeCell ref="BA17:BA18"/>
    <mergeCell ref="BK2:BN2"/>
    <mergeCell ref="AA19:AA20"/>
    <mergeCell ref="AB19:AB20"/>
    <mergeCell ref="AI19:AI20"/>
    <mergeCell ref="AO19:AO20"/>
    <mergeCell ref="AS21:AS22"/>
    <mergeCell ref="AZ11:AZ12"/>
    <mergeCell ref="BB15:BB16"/>
    <mergeCell ref="BA15:BA16"/>
    <mergeCell ref="BG7:BJ7"/>
    <mergeCell ref="AV15:AV16"/>
    <mergeCell ref="AX13:AX14"/>
    <mergeCell ref="AY9:AY10"/>
    <mergeCell ref="BB17:BB18"/>
    <mergeCell ref="BC17:BC18"/>
    <mergeCell ref="AW9:AW10"/>
    <mergeCell ref="M13:M14"/>
    <mergeCell ref="AL15:AL16"/>
    <mergeCell ref="BI19:BI20"/>
    <mergeCell ref="BJ19:BJ20"/>
    <mergeCell ref="N9:N10"/>
    <mergeCell ref="U21:U22"/>
    <mergeCell ref="V21:V22"/>
    <mergeCell ref="T19:T20"/>
    <mergeCell ref="AN21:AN22"/>
    <mergeCell ref="BA19:BA20"/>
    <mergeCell ref="AP1:BJ2"/>
    <mergeCell ref="K6:AB6"/>
    <mergeCell ref="AA15:AA16"/>
    <mergeCell ref="AJ15:AJ16"/>
    <mergeCell ref="AB15:AB16"/>
    <mergeCell ref="AM15:AM16"/>
    <mergeCell ref="H1:AB2"/>
    <mergeCell ref="BE9:BE10"/>
    <mergeCell ref="BB11:BB12"/>
    <mergeCell ref="BD9:BD10"/>
    <mergeCell ref="BD13:BD14"/>
    <mergeCell ref="AY11:AY12"/>
    <mergeCell ref="AN15:AN16"/>
    <mergeCell ref="AO15:AO16"/>
    <mergeCell ref="AQ13:AQ14"/>
    <mergeCell ref="AR13:AR14"/>
    <mergeCell ref="AC2:AF2"/>
    <mergeCell ref="AY7:BB7"/>
    <mergeCell ref="BC7:BF7"/>
    <mergeCell ref="AX9:AX10"/>
    <mergeCell ref="AL9:AL10"/>
    <mergeCell ref="AV9:AV10"/>
    <mergeCell ref="AO9:AO10"/>
    <mergeCell ref="H13:H14"/>
    <mergeCell ref="L15:L16"/>
    <mergeCell ref="L4:M4"/>
    <mergeCell ref="M11:M12"/>
    <mergeCell ref="Q13:Q14"/>
    <mergeCell ref="W13:W14"/>
    <mergeCell ref="U9:U10"/>
    <mergeCell ref="BD11:BD12"/>
    <mergeCell ref="BF13:BF14"/>
    <mergeCell ref="BE15:BE16"/>
    <mergeCell ref="R13:R14"/>
    <mergeCell ref="R15:R16"/>
    <mergeCell ref="K13:K14"/>
    <mergeCell ref="M15:M16"/>
    <mergeCell ref="AP15:AP16"/>
    <mergeCell ref="AN5:AO5"/>
    <mergeCell ref="AO13:AO14"/>
    <mergeCell ref="P13:P14"/>
    <mergeCell ref="V15:V16"/>
    <mergeCell ref="Z9:Z10"/>
    <mergeCell ref="E17:E18"/>
    <mergeCell ref="N17:N18"/>
    <mergeCell ref="J17:J18"/>
    <mergeCell ref="E9:E10"/>
    <mergeCell ref="J9:J10"/>
    <mergeCell ref="AB13:AB14"/>
    <mergeCell ref="U13:U14"/>
    <mergeCell ref="X15:X16"/>
    <mergeCell ref="X9:X10"/>
    <mergeCell ref="AB17:AB18"/>
    <mergeCell ref="G13:G14"/>
    <mergeCell ref="S17:S18"/>
    <mergeCell ref="V11:V12"/>
    <mergeCell ref="AI13:AI14"/>
    <mergeCell ref="V17:V18"/>
    <mergeCell ref="AJ17:AJ18"/>
    <mergeCell ref="M9:M10"/>
    <mergeCell ref="AM17:AM18"/>
    <mergeCell ref="AV4:AW4"/>
    <mergeCell ref="AY4:AZ4"/>
    <mergeCell ref="BC4:BD4"/>
    <mergeCell ref="AV5:AW5"/>
    <mergeCell ref="AY5:AZ5"/>
    <mergeCell ref="AT5:AU5"/>
    <mergeCell ref="AJ9:AJ10"/>
    <mergeCell ref="Q5:R5"/>
    <mergeCell ref="L11:L12"/>
    <mergeCell ref="AI11:AI12"/>
    <mergeCell ref="U11:U12"/>
    <mergeCell ref="AB11:AB12"/>
    <mergeCell ref="Y9:Y10"/>
    <mergeCell ref="AR17:AR18"/>
    <mergeCell ref="AK11:AK12"/>
    <mergeCell ref="AT4:AU4"/>
    <mergeCell ref="AY13:AY14"/>
    <mergeCell ref="O17:O18"/>
    <mergeCell ref="T17:T18"/>
    <mergeCell ref="AU11:AU12"/>
    <mergeCell ref="AS7:AU7"/>
    <mergeCell ref="AS11:AS12"/>
    <mergeCell ref="AK17:AK18"/>
    <mergeCell ref="AM13:AM14"/>
    <mergeCell ref="AP11:AP12"/>
    <mergeCell ref="BC11:BC12"/>
    <mergeCell ref="AW15:AW16"/>
    <mergeCell ref="AQ15:AQ16"/>
    <mergeCell ref="AT15:AT16"/>
    <mergeCell ref="AZ13:AZ14"/>
    <mergeCell ref="AZ15:AZ16"/>
    <mergeCell ref="AX15:AX16"/>
    <mergeCell ref="CY6:DA6"/>
    <mergeCell ref="A7:A8"/>
    <mergeCell ref="B7:C7"/>
    <mergeCell ref="D7:F7"/>
    <mergeCell ref="G7:J7"/>
    <mergeCell ref="K7:M7"/>
    <mergeCell ref="N7:P7"/>
    <mergeCell ref="Q7:T7"/>
    <mergeCell ref="U7:X7"/>
    <mergeCell ref="B6:J6"/>
    <mergeCell ref="AJ6:AR6"/>
    <mergeCell ref="AJ7:AK7"/>
    <mergeCell ref="O9:O10"/>
    <mergeCell ref="P9:P10"/>
    <mergeCell ref="Q9:Q10"/>
    <mergeCell ref="R9:R10"/>
    <mergeCell ref="AS9:AS10"/>
    <mergeCell ref="BG9:BG10"/>
    <mergeCell ref="BH9:BH10"/>
    <mergeCell ref="CN8:CS8"/>
    <mergeCell ref="CN9:CS10"/>
    <mergeCell ref="CN7:CS7"/>
    <mergeCell ref="BR8:BR10"/>
    <mergeCell ref="Y7:AB7"/>
    <mergeCell ref="BA9:BA10"/>
    <mergeCell ref="BB9:BB10"/>
    <mergeCell ref="BC9:BC10"/>
    <mergeCell ref="AR9:AR10"/>
    <mergeCell ref="AP9:AP10"/>
    <mergeCell ref="L9:L10"/>
    <mergeCell ref="AL7:AN7"/>
    <mergeCell ref="BJ9:BJ10"/>
    <mergeCell ref="B11:B12"/>
    <mergeCell ref="C11:C12"/>
    <mergeCell ref="N5:O5"/>
    <mergeCell ref="AN3:AO3"/>
    <mergeCell ref="A3:D3"/>
    <mergeCell ref="Z11:Z12"/>
    <mergeCell ref="F3:G3"/>
    <mergeCell ref="C9:C10"/>
    <mergeCell ref="F9:F10"/>
    <mergeCell ref="AI3:AL3"/>
    <mergeCell ref="B9:B10"/>
    <mergeCell ref="D11:D12"/>
    <mergeCell ref="D13:D14"/>
    <mergeCell ref="N4:O4"/>
    <mergeCell ref="Q4:R4"/>
    <mergeCell ref="U4:V4"/>
    <mergeCell ref="E13:E14"/>
    <mergeCell ref="AO7:AR7"/>
    <mergeCell ref="Q11:Q12"/>
    <mergeCell ref="P11:P12"/>
    <mergeCell ref="I13:I14"/>
    <mergeCell ref="Y11:Y12"/>
    <mergeCell ref="R11:R12"/>
    <mergeCell ref="AB9:AB10"/>
    <mergeCell ref="AI9:AI10"/>
    <mergeCell ref="T11:T12"/>
    <mergeCell ref="S11:S12"/>
    <mergeCell ref="G9:G10"/>
    <mergeCell ref="H9:H10"/>
    <mergeCell ref="I9:I10"/>
    <mergeCell ref="L5:M5"/>
    <mergeCell ref="U5:V5"/>
    <mergeCell ref="AN4:AO4"/>
    <mergeCell ref="AL11:AL12"/>
    <mergeCell ref="E11:E12"/>
    <mergeCell ref="F11:F12"/>
    <mergeCell ref="G11:G12"/>
    <mergeCell ref="H11:H12"/>
    <mergeCell ref="P15:P16"/>
    <mergeCell ref="T15:T16"/>
    <mergeCell ref="AI15:AI16"/>
    <mergeCell ref="N15:N16"/>
    <mergeCell ref="O15:O16"/>
    <mergeCell ref="U15:U16"/>
    <mergeCell ref="O11:O12"/>
    <mergeCell ref="S9:S10"/>
    <mergeCell ref="AJ11:AJ12"/>
    <mergeCell ref="T13:T14"/>
    <mergeCell ref="K15:K16"/>
    <mergeCell ref="N11:N12"/>
    <mergeCell ref="Z15:Z16"/>
    <mergeCell ref="K9:K10"/>
    <mergeCell ref="AI5:AL5"/>
    <mergeCell ref="V9:V10"/>
    <mergeCell ref="O13:O14"/>
    <mergeCell ref="N13:N14"/>
    <mergeCell ref="V13:V14"/>
    <mergeCell ref="W11:W12"/>
    <mergeCell ref="I11:I12"/>
    <mergeCell ref="J11:J12"/>
    <mergeCell ref="K11:K12"/>
    <mergeCell ref="S13:S14"/>
    <mergeCell ref="AM11:AM12"/>
    <mergeCell ref="F5:G5"/>
    <mergeCell ref="A2:D2"/>
    <mergeCell ref="AI2:AL2"/>
    <mergeCell ref="AI7:AI8"/>
    <mergeCell ref="AJ13:AJ14"/>
    <mergeCell ref="A4:D4"/>
    <mergeCell ref="AI4:AL4"/>
    <mergeCell ref="T9:T10"/>
    <mergeCell ref="J13:J14"/>
    <mergeCell ref="L13:L14"/>
    <mergeCell ref="A5:D5"/>
    <mergeCell ref="F4:G4"/>
    <mergeCell ref="AR11:AR12"/>
    <mergeCell ref="AU17:AU18"/>
    <mergeCell ref="AU15:AU16"/>
    <mergeCell ref="AK9:AK10"/>
    <mergeCell ref="AK13:AK14"/>
    <mergeCell ref="AL13:AL14"/>
    <mergeCell ref="AM9:AM10"/>
    <mergeCell ref="AN9:AN10"/>
    <mergeCell ref="AA9:AA10"/>
    <mergeCell ref="AK15:AK16"/>
    <mergeCell ref="AP13:AP14"/>
    <mergeCell ref="AA11:AA12"/>
    <mergeCell ref="W9:W10"/>
    <mergeCell ref="AA13:AA14"/>
    <mergeCell ref="AP17:AP18"/>
    <mergeCell ref="AN13:AN14"/>
    <mergeCell ref="W15:W16"/>
    <mergeCell ref="AT11:AT12"/>
    <mergeCell ref="AN11:AN12"/>
    <mergeCell ref="A9:A10"/>
    <mergeCell ref="D9:D10"/>
    <mergeCell ref="BC5:BD5"/>
    <mergeCell ref="AS6:BJ6"/>
    <mergeCell ref="BG19:BG20"/>
    <mergeCell ref="BJ15:BJ16"/>
    <mergeCell ref="AV7:AX7"/>
    <mergeCell ref="BG17:BG18"/>
    <mergeCell ref="BF9:BF10"/>
    <mergeCell ref="BH19:BH20"/>
    <mergeCell ref="BE17:BE18"/>
    <mergeCell ref="BI9:BI10"/>
    <mergeCell ref="BH17:BH18"/>
    <mergeCell ref="BE19:BE20"/>
    <mergeCell ref="AV13:AV14"/>
    <mergeCell ref="AW13:AW14"/>
    <mergeCell ref="BD15:BD16"/>
    <mergeCell ref="BC19:BC20"/>
    <mergeCell ref="AT13:AT14"/>
    <mergeCell ref="AV11:AV12"/>
    <mergeCell ref="AW11:AW12"/>
    <mergeCell ref="AS13:AS14"/>
    <mergeCell ref="AS15:AS16"/>
    <mergeCell ref="AZ9:AZ10"/>
    <mergeCell ref="AT9:AT10"/>
    <mergeCell ref="AU9:AU10"/>
    <mergeCell ref="BH15:BH16"/>
    <mergeCell ref="BH13:BH14"/>
    <mergeCell ref="BE11:BE12"/>
    <mergeCell ref="BE13:BE14"/>
    <mergeCell ref="BI17:BI18"/>
    <mergeCell ref="AU19:AU20"/>
    <mergeCell ref="AV19:AV20"/>
    <mergeCell ref="AY19:AY20"/>
    <mergeCell ref="BE64:BG64"/>
    <mergeCell ref="AZ27:AZ28"/>
    <mergeCell ref="BG29:BG30"/>
    <mergeCell ref="BG27:BG28"/>
    <mergeCell ref="V19:V20"/>
    <mergeCell ref="AO11:AO12"/>
    <mergeCell ref="AM19:AM20"/>
    <mergeCell ref="AN17:AN18"/>
    <mergeCell ref="AN19:AN20"/>
    <mergeCell ref="AL19:AL20"/>
    <mergeCell ref="Y19:Y20"/>
    <mergeCell ref="W17:W18"/>
    <mergeCell ref="X17:X18"/>
    <mergeCell ref="Z17:Z18"/>
    <mergeCell ref="AJ25:AJ26"/>
    <mergeCell ref="AQ23:AQ24"/>
    <mergeCell ref="AN23:AN24"/>
    <mergeCell ref="AZ19:AZ20"/>
    <mergeCell ref="AX19:AX20"/>
    <mergeCell ref="BC13:BC14"/>
    <mergeCell ref="AV17:AV18"/>
    <mergeCell ref="AW17:AW18"/>
    <mergeCell ref="AU13:AU14"/>
    <mergeCell ref="BA13:BA14"/>
    <mergeCell ref="AY15:AY16"/>
    <mergeCell ref="AN25:AN26"/>
    <mergeCell ref="AP23:AP24"/>
    <mergeCell ref="AM25:AM26"/>
    <mergeCell ref="AQ21:AQ22"/>
    <mergeCell ref="AK21:AK22"/>
    <mergeCell ref="Y21:Y22"/>
    <mergeCell ref="AW38:AW39"/>
    <mergeCell ref="AL21:AL22"/>
    <mergeCell ref="BD23:BD24"/>
    <mergeCell ref="AK19:AK20"/>
    <mergeCell ref="AJ19:AJ20"/>
    <mergeCell ref="AW21:AW22"/>
    <mergeCell ref="AW25:AW26"/>
    <mergeCell ref="AS23:AS24"/>
    <mergeCell ref="AT19:AT20"/>
    <mergeCell ref="AP19:AP20"/>
    <mergeCell ref="AR19:AR20"/>
    <mergeCell ref="AL23:AL24"/>
    <mergeCell ref="AS19:AS20"/>
    <mergeCell ref="BB19:BB20"/>
    <mergeCell ref="AW19:AW20"/>
    <mergeCell ref="AX23:AX24"/>
    <mergeCell ref="AY21:AY22"/>
    <mergeCell ref="AT21:AT22"/>
    <mergeCell ref="BC25:BC26"/>
    <mergeCell ref="AO25:AO26"/>
    <mergeCell ref="AV21:AV22"/>
    <mergeCell ref="AM23:AM24"/>
    <mergeCell ref="AV23:AV24"/>
    <mergeCell ref="AP21:AP22"/>
    <mergeCell ref="AJ21:AJ22"/>
    <mergeCell ref="BJ57:BJ58"/>
    <mergeCell ref="BE27:BE28"/>
    <mergeCell ref="BJ65:BJ66"/>
    <mergeCell ref="BM65:BM66"/>
    <mergeCell ref="BR96:BS97"/>
    <mergeCell ref="AW27:AW28"/>
    <mergeCell ref="BA27:BA28"/>
    <mergeCell ref="BB23:BB24"/>
    <mergeCell ref="BC23:BC24"/>
    <mergeCell ref="BJ13:BJ14"/>
    <mergeCell ref="BI13:BI14"/>
    <mergeCell ref="BJ11:BJ12"/>
    <mergeCell ref="BI11:BI12"/>
    <mergeCell ref="AX66:AZ66"/>
    <mergeCell ref="BF31:BF32"/>
    <mergeCell ref="BC29:BC30"/>
    <mergeCell ref="BD29:BD30"/>
    <mergeCell ref="BA31:BA32"/>
    <mergeCell ref="BB54:BB55"/>
    <mergeCell ref="BA63:BC63"/>
    <mergeCell ref="BG23:BG24"/>
    <mergeCell ref="BC21:BC22"/>
    <mergeCell ref="BC31:BC32"/>
    <mergeCell ref="BA38:BA39"/>
    <mergeCell ref="BD17:BD18"/>
    <mergeCell ref="BD25:BD26"/>
    <mergeCell ref="BJ31:BJ32"/>
    <mergeCell ref="BE38:BE39"/>
    <mergeCell ref="AZ38:AZ39"/>
    <mergeCell ref="AZ31:AZ32"/>
    <mergeCell ref="BF21:BF22"/>
    <mergeCell ref="BF38:BF39"/>
    <mergeCell ref="BR98:BS98"/>
    <mergeCell ref="BW61:BW62"/>
    <mergeCell ref="BX96:BY98"/>
    <mergeCell ref="BR55:BS56"/>
    <mergeCell ref="BR105:BS105"/>
    <mergeCell ref="BN76:BO76"/>
    <mergeCell ref="BT105:BU105"/>
    <mergeCell ref="BV96:BW98"/>
    <mergeCell ref="BW55:BW56"/>
    <mergeCell ref="BR70:BS70"/>
    <mergeCell ref="BN56:BO58"/>
    <mergeCell ref="BB27:BB28"/>
    <mergeCell ref="BJ59:BJ60"/>
    <mergeCell ref="BD27:BD28"/>
    <mergeCell ref="BI29:BI30"/>
    <mergeCell ref="BE29:BE30"/>
    <mergeCell ref="BF29:BF30"/>
    <mergeCell ref="BG38:BG39"/>
    <mergeCell ref="BJ61:BK62"/>
    <mergeCell ref="BE54:BE55"/>
    <mergeCell ref="BJ63:BJ64"/>
    <mergeCell ref="BJ27:BJ28"/>
    <mergeCell ref="BT96:BU98"/>
    <mergeCell ref="BO59:BO60"/>
    <mergeCell ref="BR53:BS54"/>
    <mergeCell ref="BT50:BU52"/>
    <mergeCell ref="BR22:BS29"/>
    <mergeCell ref="BR47:BS49"/>
    <mergeCell ref="BE63:BG63"/>
    <mergeCell ref="BI71:BI72"/>
    <mergeCell ref="AN69:BL70"/>
    <mergeCell ref="AV72:AW72"/>
    <mergeCell ref="CT40:CU41"/>
    <mergeCell ref="CR23:CS24"/>
    <mergeCell ref="BV44:BW46"/>
    <mergeCell ref="BT44:BU46"/>
    <mergeCell ref="BV34:BW36"/>
    <mergeCell ref="CR21:CS22"/>
    <mergeCell ref="CN27:CO31"/>
    <mergeCell ref="CP37:CQ41"/>
    <mergeCell ref="CR25:CS26"/>
    <mergeCell ref="BT34:BU36"/>
    <mergeCell ref="BL87:BM87"/>
    <mergeCell ref="CP25:CQ26"/>
    <mergeCell ref="CR37:CS41"/>
    <mergeCell ref="CP27:CQ31"/>
    <mergeCell ref="CR27:CS31"/>
    <mergeCell ref="CN44:CO44"/>
    <mergeCell ref="CN37:CO41"/>
    <mergeCell ref="BN61:BO62"/>
    <mergeCell ref="BR50:BS52"/>
    <mergeCell ref="BR37:BS39"/>
    <mergeCell ref="BN38:BN39"/>
    <mergeCell ref="BL83:BM83"/>
    <mergeCell ref="BL76:BM77"/>
    <mergeCell ref="BM59:BM60"/>
    <mergeCell ref="BL82:BM82"/>
    <mergeCell ref="BT22:BW23"/>
    <mergeCell ref="CP23:CQ24"/>
    <mergeCell ref="BJ56:BM56"/>
    <mergeCell ref="BM57:BM58"/>
    <mergeCell ref="BL61:BM62"/>
    <mergeCell ref="AV36:BO36"/>
    <mergeCell ref="BD34:BE34"/>
    <mergeCell ref="CX109:CY109"/>
    <mergeCell ref="CT58:CU58"/>
    <mergeCell ref="CS76:CW76"/>
    <mergeCell ref="CX94:CY94"/>
    <mergeCell ref="CT66:CU67"/>
    <mergeCell ref="CT65:CU65"/>
    <mergeCell ref="CN64:CP64"/>
    <mergeCell ref="CQ64:CS64"/>
    <mergeCell ref="CN65:CP65"/>
    <mergeCell ref="CX104:CY104"/>
    <mergeCell ref="CN63:CP63"/>
    <mergeCell ref="CN76:CR76"/>
    <mergeCell ref="CN59:CP59"/>
    <mergeCell ref="CQ66:CS67"/>
    <mergeCell ref="CQ65:CS65"/>
    <mergeCell ref="CQ59:CS60"/>
    <mergeCell ref="BV50:BW52"/>
    <mergeCell ref="BX105:BY105"/>
    <mergeCell ref="BV105:BW105"/>
    <mergeCell ref="CN62:CP62"/>
    <mergeCell ref="CN58:CP58"/>
    <mergeCell ref="CX108:CY108"/>
    <mergeCell ref="CX96:CY96"/>
    <mergeCell ref="CN60:CP60"/>
    <mergeCell ref="CT59:CU60"/>
    <mergeCell ref="CQ58:CS58"/>
    <mergeCell ref="BV37:BW39"/>
    <mergeCell ref="BV26:BW27"/>
    <mergeCell ref="BR30:BS33"/>
    <mergeCell ref="AJ36:AU36"/>
    <mergeCell ref="BT28:BU29"/>
    <mergeCell ref="BI23:BI24"/>
    <mergeCell ref="BH29:BH30"/>
    <mergeCell ref="BJ23:BJ24"/>
    <mergeCell ref="BT26:BU27"/>
    <mergeCell ref="BR34:BS36"/>
    <mergeCell ref="BT24:BU25"/>
    <mergeCell ref="BI38:BI39"/>
    <mergeCell ref="BF23:BF24"/>
    <mergeCell ref="BJ25:BJ26"/>
    <mergeCell ref="BE25:BE26"/>
    <mergeCell ref="BT30:BU33"/>
    <mergeCell ref="BJ38:BJ39"/>
    <mergeCell ref="BG25:BG26"/>
    <mergeCell ref="BH25:BH26"/>
    <mergeCell ref="AJ31:AJ32"/>
    <mergeCell ref="BE23:BE24"/>
    <mergeCell ref="BF27:BF28"/>
    <mergeCell ref="BB29:BB30"/>
    <mergeCell ref="AY29:AY30"/>
    <mergeCell ref="BL38:BL39"/>
    <mergeCell ref="AK37:AK39"/>
    <mergeCell ref="AL37:AL39"/>
    <mergeCell ref="BE37:BF37"/>
    <mergeCell ref="BH27:BH28"/>
    <mergeCell ref="AM33:AM34"/>
    <mergeCell ref="AN33:AN34"/>
    <mergeCell ref="BH37:BN37"/>
    <mergeCell ref="BV40:BW43"/>
    <mergeCell ref="AW47:AY47"/>
    <mergeCell ref="AL52:AL53"/>
    <mergeCell ref="BI31:BI32"/>
    <mergeCell ref="BD38:BD39"/>
    <mergeCell ref="BD31:BD32"/>
    <mergeCell ref="AR25:AR26"/>
    <mergeCell ref="AY23:AY24"/>
    <mergeCell ref="BM38:BM39"/>
    <mergeCell ref="BI25:BI26"/>
    <mergeCell ref="AP27:AP28"/>
    <mergeCell ref="BH23:BH24"/>
    <mergeCell ref="AX27:AX28"/>
    <mergeCell ref="BI27:BI28"/>
    <mergeCell ref="BE75:BO75"/>
    <mergeCell ref="BE111:BF111"/>
    <mergeCell ref="BE110:BF110"/>
    <mergeCell ref="BK76:BK77"/>
    <mergeCell ref="BL80:BM80"/>
    <mergeCell ref="BL79:BM79"/>
    <mergeCell ref="BL78:BM78"/>
    <mergeCell ref="BC90:BD90"/>
    <mergeCell ref="BL81:BM81"/>
    <mergeCell ref="AZ93:BC93"/>
    <mergeCell ref="BB31:BB32"/>
    <mergeCell ref="AS38:AS39"/>
    <mergeCell ref="BL86:BM86"/>
    <mergeCell ref="AU23:AU24"/>
    <mergeCell ref="BI76:BI77"/>
    <mergeCell ref="BI73:BI74"/>
    <mergeCell ref="AX38:AX39"/>
    <mergeCell ref="BF56:BF57"/>
    <mergeCell ref="BJ154:BK154"/>
    <mergeCell ref="BH154:BI154"/>
    <mergeCell ref="AI116:AJ116"/>
    <mergeCell ref="BO37:BO39"/>
    <mergeCell ref="BC54:BC55"/>
    <mergeCell ref="AJ37:AJ39"/>
    <mergeCell ref="AL29:AL30"/>
    <mergeCell ref="AN64:AP64"/>
    <mergeCell ref="AM37:AM39"/>
    <mergeCell ref="AK31:AK32"/>
    <mergeCell ref="BL84:BM84"/>
    <mergeCell ref="AV136:BI136"/>
    <mergeCell ref="AV137:AV138"/>
    <mergeCell ref="AW137:AW138"/>
    <mergeCell ref="AX137:AX138"/>
    <mergeCell ref="BI137:BI138"/>
    <mergeCell ref="BH137:BH138"/>
    <mergeCell ref="BM63:BM64"/>
    <mergeCell ref="AV144:AZ144"/>
    <mergeCell ref="BD54:BD55"/>
    <mergeCell ref="BM70:BO70"/>
    <mergeCell ref="AV38:AV39"/>
    <mergeCell ref="AV30:AX30"/>
    <mergeCell ref="AN66:AP66"/>
    <mergeCell ref="AK148:AM148"/>
    <mergeCell ref="AV143:BJ143"/>
    <mergeCell ref="AT38:AT39"/>
    <mergeCell ref="BL88:BM88"/>
    <mergeCell ref="BG56:BG57"/>
    <mergeCell ref="AI112:AJ112"/>
    <mergeCell ref="BE65:BG65"/>
    <mergeCell ref="BD93:BG93"/>
    <mergeCell ref="CN12:CS13"/>
    <mergeCell ref="CO15:CO16"/>
    <mergeCell ref="BE31:BE32"/>
    <mergeCell ref="BJ17:BJ18"/>
    <mergeCell ref="CR32:CS36"/>
    <mergeCell ref="CQ54:CS54"/>
    <mergeCell ref="CN52:CP52"/>
    <mergeCell ref="BV28:BW29"/>
    <mergeCell ref="CN32:CO36"/>
    <mergeCell ref="CP32:CQ36"/>
    <mergeCell ref="AX17:AX18"/>
    <mergeCell ref="AY17:AY18"/>
    <mergeCell ref="BB13:BB14"/>
    <mergeCell ref="BK38:BK39"/>
    <mergeCell ref="BF17:BF18"/>
    <mergeCell ref="BE21:BE22"/>
    <mergeCell ref="CN54:CP54"/>
    <mergeCell ref="BR40:BS43"/>
    <mergeCell ref="BV24:BW25"/>
    <mergeCell ref="CN42:CO42"/>
    <mergeCell ref="CN53:CP53"/>
    <mergeCell ref="CN47:CO47"/>
    <mergeCell ref="CN51:CO51"/>
    <mergeCell ref="CN50:CO50"/>
    <mergeCell ref="CN49:CO49"/>
    <mergeCell ref="CN19:CO26"/>
    <mergeCell ref="BT47:BU49"/>
    <mergeCell ref="BC27:BC28"/>
    <mergeCell ref="BR44:BS46"/>
    <mergeCell ref="BV47:BW49"/>
    <mergeCell ref="BA11:BA12"/>
    <mergeCell ref="BR17:BW17"/>
    <mergeCell ref="BU18:BU19"/>
    <mergeCell ref="CP21:CQ22"/>
    <mergeCell ref="AX212:AZ212"/>
    <mergeCell ref="AS212:AW212"/>
    <mergeCell ref="AN212:AR212"/>
    <mergeCell ref="AC192:AD192"/>
    <mergeCell ref="A198:C198"/>
    <mergeCell ref="E198:J198"/>
    <mergeCell ref="K198:M198"/>
    <mergeCell ref="N198:P198"/>
    <mergeCell ref="R198:T198"/>
    <mergeCell ref="U198:W198"/>
    <mergeCell ref="X198:Z198"/>
    <mergeCell ref="AB198:AD198"/>
    <mergeCell ref="AE198:AG198"/>
    <mergeCell ref="AI198:AQ198"/>
    <mergeCell ref="AR198:AZ198"/>
    <mergeCell ref="AJ154:AN154"/>
    <mergeCell ref="AH192:AH193"/>
    <mergeCell ref="AS192:AT192"/>
    <mergeCell ref="Y192:Y193"/>
    <mergeCell ref="Z192:Z193"/>
    <mergeCell ref="AA192:AB192"/>
    <mergeCell ref="L192:L193"/>
    <mergeCell ref="AH148:AJ148"/>
    <mergeCell ref="AO154:AR154"/>
    <mergeCell ref="B212:E212"/>
    <mergeCell ref="BE66:BG66"/>
    <mergeCell ref="BA66:BC66"/>
    <mergeCell ref="BM148:BN149"/>
    <mergeCell ref="AT72:AU72"/>
    <mergeCell ref="F212:J212"/>
    <mergeCell ref="CN11:CS11"/>
    <mergeCell ref="BV30:BW33"/>
    <mergeCell ref="CP19:CS20"/>
    <mergeCell ref="BI21:BI22"/>
    <mergeCell ref="BJ21:BJ22"/>
    <mergeCell ref="BF19:BF20"/>
    <mergeCell ref="BF25:BF26"/>
    <mergeCell ref="AY25:AY26"/>
    <mergeCell ref="AZ25:AZ26"/>
    <mergeCell ref="BA25:BA26"/>
    <mergeCell ref="AZ21:AZ22"/>
    <mergeCell ref="BA21:BA22"/>
    <mergeCell ref="BJ29:BJ30"/>
    <mergeCell ref="BC76:BD76"/>
    <mergeCell ref="CP15:CP16"/>
    <mergeCell ref="BC15:BC16"/>
    <mergeCell ref="BA198:BC198"/>
    <mergeCell ref="BD198:BD199"/>
    <mergeCell ref="BE119:BF121"/>
    <mergeCell ref="BJ192:BK192"/>
    <mergeCell ref="BH160:BJ160"/>
    <mergeCell ref="BC148:BF148"/>
    <mergeCell ref="BE154:BG154"/>
    <mergeCell ref="BH192:BI192"/>
    <mergeCell ref="BE144:BH144"/>
    <mergeCell ref="BC154:BD154"/>
    <mergeCell ref="BH148:BH149"/>
    <mergeCell ref="BI150:BJ150"/>
    <mergeCell ref="BG31:BG32"/>
    <mergeCell ref="BH31:BH32"/>
    <mergeCell ref="BT40:BU43"/>
    <mergeCell ref="BT37:BU39"/>
    <mergeCell ref="I154:M154"/>
    <mergeCell ref="O154:S154"/>
    <mergeCell ref="T154:X154"/>
    <mergeCell ref="BB192:BG192"/>
    <mergeCell ref="H192:J192"/>
    <mergeCell ref="Y154:Z154"/>
    <mergeCell ref="AM165:AO165"/>
    <mergeCell ref="AE154:AF154"/>
    <mergeCell ref="AV148:AX148"/>
    <mergeCell ref="AN148:AP148"/>
    <mergeCell ref="AS154:AV154"/>
    <mergeCell ref="AQ192:AR192"/>
    <mergeCell ref="Y149:Z149"/>
    <mergeCell ref="M192:M193"/>
    <mergeCell ref="N192:N193"/>
    <mergeCell ref="P192:P193"/>
    <mergeCell ref="AL160:AP160"/>
    <mergeCell ref="AG160:AK160"/>
    <mergeCell ref="AX154:AY154"/>
    <mergeCell ref="AB160:AF160"/>
    <mergeCell ref="AR159:AT159"/>
    <mergeCell ref="AI165:AL165"/>
    <mergeCell ref="AE148:AG148"/>
    <mergeCell ref="AX192:AZ192"/>
    <mergeCell ref="G187:J187"/>
    <mergeCell ref="AD94:AG94"/>
    <mergeCell ref="CK187:CM187"/>
    <mergeCell ref="CN187:CO187"/>
    <mergeCell ref="CP187:CR187"/>
    <mergeCell ref="CS187:CU187"/>
    <mergeCell ref="CV187:DD187"/>
    <mergeCell ref="X187:AB187"/>
    <mergeCell ref="AC187:AG187"/>
    <mergeCell ref="AH187:AM187"/>
    <mergeCell ref="AN187:AS187"/>
    <mergeCell ref="AT187:AY187"/>
    <mergeCell ref="AZ187:BD187"/>
    <mergeCell ref="BE187:BG187"/>
    <mergeCell ref="BH187:BJ187"/>
    <mergeCell ref="BK187:BM187"/>
    <mergeCell ref="BN187:BP187"/>
    <mergeCell ref="BQ187:BR187"/>
    <mergeCell ref="BS187:BV187"/>
    <mergeCell ref="BW187:BY187"/>
    <mergeCell ref="BZ187:CA187"/>
    <mergeCell ref="CB187:CD187"/>
    <mergeCell ref="CE187:CG187"/>
    <mergeCell ref="CH187:CJ187"/>
    <mergeCell ref="AY148:BB148"/>
    <mergeCell ref="V149:X149"/>
    <mergeCell ref="AQ160:AS160"/>
    <mergeCell ref="AC155:AD155"/>
    <mergeCell ref="AG154:AI154"/>
    <mergeCell ref="AY150:BB150"/>
    <mergeCell ref="AY151:BB151"/>
    <mergeCell ref="BN154:BO154"/>
    <mergeCell ref="BL154:BM154"/>
  </mergeCells>
  <printOptions horizontalCentered="1"/>
  <pageMargins left="0" right="0" top="0" bottom="0" header="0" footer="0"/>
  <pageSetup paperSize="9" scale="35" orientation="landscape" r:id="rId7"/>
  <headerFooter alignWithMargins="0"/>
  <rowBreaks count="3" manualBreakCount="3">
    <brk id="68" max="219" man="1"/>
    <brk id="129" max="219" man="1"/>
    <brk id="185" max="219" man="1"/>
  </rowBreaks>
  <colBreaks count="6" manualBreakCount="6">
    <brk id="33" max="194" man="1"/>
    <brk id="67" max="203" man="1"/>
    <brk id="69" max="1048575" man="1"/>
    <brk id="75" max="1048575" man="1"/>
    <brk id="91" max="1048575" man="1"/>
    <brk id="9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AQ25"/>
  <sheetViews>
    <sheetView workbookViewId="0">
      <selection activeCell="I22" sqref="I22"/>
    </sheetView>
  </sheetViews>
  <sheetFormatPr defaultRowHeight="15.6" x14ac:dyDescent="0.3"/>
  <cols>
    <col min="1" max="43" width="9.109375" style="71"/>
  </cols>
  <sheetData>
    <row r="1" ht="15.75" customHeight="1" x14ac:dyDescent="0.3"/>
    <row r="2" ht="15.75" customHeight="1" x14ac:dyDescent="0.3"/>
    <row r="3" ht="15.75" customHeight="1" x14ac:dyDescent="0.3"/>
    <row r="4" ht="15.75" customHeight="1" x14ac:dyDescent="0.3"/>
    <row r="5" ht="15.75" customHeight="1" x14ac:dyDescent="0.3"/>
    <row r="6" ht="15.75" customHeight="1" x14ac:dyDescent="0.3"/>
    <row r="7" ht="15.75" customHeight="1" x14ac:dyDescent="0.3"/>
    <row r="8" ht="15.75" customHeight="1" x14ac:dyDescent="0.3"/>
    <row r="9" ht="15.75" customHeight="1" x14ac:dyDescent="0.3"/>
    <row r="10" ht="15.75" customHeight="1" x14ac:dyDescent="0.3"/>
    <row r="11" ht="15.75" customHeight="1" x14ac:dyDescent="0.3"/>
    <row r="12" ht="15.75" customHeight="1" x14ac:dyDescent="0.3"/>
    <row r="13" ht="15.75" customHeight="1" x14ac:dyDescent="0.3"/>
    <row r="14" ht="15.75" customHeight="1" x14ac:dyDescent="0.3"/>
    <row r="15" ht="15.75" customHeight="1" x14ac:dyDescent="0.3"/>
    <row r="16" ht="15.75" customHeight="1" x14ac:dyDescent="0.3"/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</sheetData>
  <customSheetViews>
    <customSheetView guid="{9AA7F8D2-F967-49D0-A431-45AC7CAADBAA}">
      <selection sqref="A1:K1048576"/>
      <pageMargins left="0.7" right="0.7" top="0.75" bottom="0.75" header="0.3" footer="0.3"/>
    </customSheetView>
    <customSheetView guid="{088AEEB3-F71F-4FD6-B49B-55643D920FC6}">
      <selection activeCell="P36" sqref="P36"/>
      <pageMargins left="0.7" right="0.7" top="0.75" bottom="0.75" header="0.3" footer="0.3"/>
    </customSheetView>
    <customSheetView guid="{29BD9A5E-D50F-4A88-A654-39BA9D666C53}">
      <selection activeCell="P36" sqref="P36"/>
      <pageMargins left="0.7" right="0.7" top="0.75" bottom="0.75" header="0.3" footer="0.3"/>
    </customSheetView>
    <customSheetView guid="{D9EA6DAB-3BBE-4AEB-835D-410DB85E8702}">
      <selection activeCell="P36" sqref="P36"/>
      <pageMargins left="0.7" right="0.7" top="0.75" bottom="0.75" header="0.3" footer="0.3"/>
    </customSheetView>
    <customSheetView guid="{CFB4A573-2790-4D20-894C-21E3B146481E}">
      <selection activeCell="P36" sqref="P36"/>
      <pageMargins left="0.7" right="0.7" top="0.75" bottom="0.75" header="0.3" footer="0.3"/>
    </customSheetView>
    <customSheetView guid="{B2A463F0-D351-4C59-A7CF-DC4487562EFC}">
      <selection activeCell="P36" sqref="P3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Z46"/>
  <sheetViews>
    <sheetView workbookViewId="0">
      <selection activeCell="J26" sqref="J26"/>
    </sheetView>
  </sheetViews>
  <sheetFormatPr defaultRowHeight="13.8" x14ac:dyDescent="0.25"/>
  <cols>
    <col min="1" max="1" width="13.33203125" style="75" customWidth="1"/>
    <col min="2" max="8" width="9.5546875" style="75" customWidth="1"/>
    <col min="9" max="10" width="9.5546875" customWidth="1"/>
    <col min="11" max="11" width="11" customWidth="1"/>
    <col min="12" max="13" width="10.6640625" customWidth="1"/>
    <col min="14" max="22" width="6.88671875" customWidth="1"/>
    <col min="23" max="23" width="8.5546875" customWidth="1"/>
    <col min="24" max="24" width="9" customWidth="1"/>
    <col min="25" max="25" width="8.6640625" customWidth="1"/>
    <col min="26" max="26" width="37.5546875" customWidth="1"/>
  </cols>
  <sheetData>
    <row r="1" spans="1:26" ht="24.75" customHeight="1" x14ac:dyDescent="0.25">
      <c r="A1" s="2349" t="s">
        <v>254</v>
      </c>
      <c r="B1" s="2351" t="s">
        <v>1071</v>
      </c>
      <c r="C1" s="2351"/>
      <c r="D1" s="2351"/>
      <c r="E1" s="2351"/>
      <c r="F1" s="2351"/>
      <c r="G1" s="2351"/>
      <c r="H1" s="2351"/>
      <c r="I1" s="2351"/>
      <c r="J1" s="2351"/>
      <c r="K1" s="2351" t="s">
        <v>1447</v>
      </c>
      <c r="L1" s="2351"/>
      <c r="M1" s="2351"/>
      <c r="N1" s="890"/>
      <c r="O1" s="890"/>
      <c r="P1" s="890"/>
      <c r="W1" s="2347"/>
      <c r="X1" s="2347"/>
      <c r="Y1" s="2347"/>
      <c r="Z1" s="2348"/>
    </row>
    <row r="2" spans="1:26" ht="22.5" customHeight="1" x14ac:dyDescent="0.25">
      <c r="A2" s="2350"/>
      <c r="B2" s="2352" t="s">
        <v>1072</v>
      </c>
      <c r="C2" s="2353"/>
      <c r="D2" s="2354"/>
      <c r="E2" s="2352" t="s">
        <v>1073</v>
      </c>
      <c r="F2" s="2353"/>
      <c r="G2" s="2354"/>
      <c r="H2" s="2352" t="s">
        <v>1074</v>
      </c>
      <c r="I2" s="2353"/>
      <c r="J2" s="2354"/>
      <c r="K2" s="1440" t="s">
        <v>1444</v>
      </c>
      <c r="L2" s="1440" t="s">
        <v>1445</v>
      </c>
      <c r="M2" s="1440" t="s">
        <v>1446</v>
      </c>
      <c r="N2" s="890"/>
      <c r="O2" s="890"/>
      <c r="P2" s="890"/>
      <c r="Q2" s="587"/>
      <c r="W2" s="758"/>
      <c r="X2" s="758"/>
      <c r="Y2" s="758"/>
      <c r="Z2" s="2348"/>
    </row>
    <row r="3" spans="1:26" ht="37.5" customHeight="1" x14ac:dyDescent="0.25">
      <c r="A3" s="2350"/>
      <c r="B3" s="759" t="s">
        <v>1158</v>
      </c>
      <c r="C3" s="759" t="s">
        <v>1159</v>
      </c>
      <c r="D3" s="759" t="s">
        <v>1160</v>
      </c>
      <c r="E3" s="759" t="s">
        <v>1158</v>
      </c>
      <c r="F3" s="759" t="s">
        <v>1159</v>
      </c>
      <c r="G3" s="759" t="s">
        <v>1160</v>
      </c>
      <c r="H3" s="759" t="s">
        <v>1158</v>
      </c>
      <c r="I3" s="759" t="s">
        <v>1159</v>
      </c>
      <c r="J3" s="759" t="s">
        <v>1160</v>
      </c>
      <c r="K3" s="759" t="s">
        <v>1158</v>
      </c>
      <c r="L3" s="759" t="s">
        <v>1158</v>
      </c>
      <c r="M3" s="759" t="s">
        <v>1158</v>
      </c>
      <c r="N3" s="890"/>
      <c r="O3" s="890"/>
      <c r="P3" s="890"/>
      <c r="Q3" s="587"/>
      <c r="W3" s="756"/>
      <c r="X3" s="756"/>
      <c r="Y3" s="756"/>
      <c r="Z3" s="2348"/>
    </row>
    <row r="4" spans="1:26" ht="27" customHeight="1" x14ac:dyDescent="0.3">
      <c r="A4" s="1026">
        <v>0.35416666666666669</v>
      </c>
      <c r="B4" s="1027">
        <v>71</v>
      </c>
      <c r="C4" s="1027">
        <v>0.4</v>
      </c>
      <c r="D4" s="1027">
        <v>4</v>
      </c>
      <c r="E4" s="1027">
        <v>80</v>
      </c>
      <c r="F4" s="1027">
        <v>0.6</v>
      </c>
      <c r="G4" s="1027">
        <v>9</v>
      </c>
      <c r="H4" s="1027">
        <v>82</v>
      </c>
      <c r="I4" s="1027">
        <v>0.8</v>
      </c>
      <c r="J4" s="1027">
        <v>11</v>
      </c>
      <c r="K4" s="2355" t="s">
        <v>1734</v>
      </c>
      <c r="L4" s="2356"/>
      <c r="M4" s="2357"/>
      <c r="N4" s="1441"/>
      <c r="O4" s="758" t="str">
        <f>K4</f>
        <v>не работает лифт</v>
      </c>
      <c r="P4" s="758">
        <f>L4</f>
        <v>0</v>
      </c>
      <c r="Q4" s="758">
        <f t="shared" ref="Q4" si="0">M4</f>
        <v>0</v>
      </c>
      <c r="R4" s="1442">
        <f>B4</f>
        <v>71</v>
      </c>
      <c r="S4" s="1442">
        <f>E4</f>
        <v>80</v>
      </c>
      <c r="T4" s="1442">
        <f>H4</f>
        <v>82</v>
      </c>
      <c r="W4" s="757"/>
      <c r="X4" s="757"/>
      <c r="Y4" s="757"/>
      <c r="Z4" s="757"/>
    </row>
    <row r="5" spans="1:26" ht="17.399999999999999" x14ac:dyDescent="0.3">
      <c r="A5" s="1025"/>
      <c r="B5" s="1025"/>
      <c r="C5" s="757"/>
      <c r="D5" s="757"/>
      <c r="E5" s="757"/>
      <c r="F5" s="757"/>
      <c r="G5" s="757"/>
      <c r="H5" s="757"/>
      <c r="I5" s="757"/>
      <c r="J5" s="757"/>
      <c r="K5" s="757"/>
      <c r="L5" s="890"/>
      <c r="M5" s="890"/>
      <c r="N5" s="890"/>
      <c r="O5" s="890"/>
      <c r="P5" s="890"/>
      <c r="Q5" s="587"/>
      <c r="W5" s="757"/>
      <c r="X5" s="757"/>
      <c r="Y5" s="757"/>
      <c r="Z5" s="757"/>
    </row>
    <row r="6" spans="1:26" ht="17.399999999999999" x14ac:dyDescent="0.3">
      <c r="A6" s="1025"/>
      <c r="B6" s="1025"/>
      <c r="C6" s="757"/>
      <c r="D6" s="757"/>
      <c r="E6" s="757"/>
      <c r="F6" s="757"/>
      <c r="G6" s="757"/>
      <c r="H6" s="757"/>
      <c r="I6" s="757"/>
      <c r="J6" s="757"/>
      <c r="K6" s="757"/>
      <c r="L6" s="890"/>
      <c r="M6" s="890"/>
      <c r="N6" s="890"/>
      <c r="O6" s="890"/>
      <c r="P6" s="890"/>
      <c r="Q6" s="587"/>
      <c r="W6" s="757"/>
      <c r="X6" s="757"/>
      <c r="Y6" s="757"/>
      <c r="Z6" s="757"/>
    </row>
    <row r="7" spans="1:26" ht="17.399999999999999" x14ac:dyDescent="0.25">
      <c r="L7" s="890"/>
      <c r="M7" s="890"/>
      <c r="N7" s="890"/>
      <c r="O7" s="890"/>
      <c r="P7" s="890"/>
      <c r="Q7" s="587"/>
    </row>
    <row r="8" spans="1:26" ht="15" customHeight="1" x14ac:dyDescent="0.25">
      <c r="A8" s="2339" t="s">
        <v>253</v>
      </c>
      <c r="B8" s="2254" t="s">
        <v>254</v>
      </c>
      <c r="C8" s="2341" t="s">
        <v>255</v>
      </c>
      <c r="D8" s="2341"/>
      <c r="E8" s="2341"/>
      <c r="F8" s="2341"/>
      <c r="G8" s="846"/>
      <c r="H8" s="846"/>
      <c r="I8" s="846"/>
      <c r="J8" s="890"/>
      <c r="K8" s="890"/>
      <c r="L8" s="890"/>
      <c r="M8" s="890"/>
      <c r="N8" s="890"/>
      <c r="O8" s="587"/>
    </row>
    <row r="9" spans="1:26" ht="32.25" customHeight="1" x14ac:dyDescent="0.25">
      <c r="A9" s="2340"/>
      <c r="B9" s="2340"/>
      <c r="C9" s="2342"/>
      <c r="D9" s="2342"/>
      <c r="E9" s="2342"/>
      <c r="F9" s="2342"/>
      <c r="G9" s="846"/>
      <c r="H9" s="846"/>
      <c r="I9" s="846"/>
      <c r="J9" s="890"/>
      <c r="K9" s="890"/>
      <c r="L9" s="890"/>
      <c r="M9" s="890"/>
      <c r="N9" s="890"/>
      <c r="O9" s="587"/>
    </row>
    <row r="10" spans="1:26" ht="29.25" customHeight="1" x14ac:dyDescent="0.25">
      <c r="A10" s="2340"/>
      <c r="B10" s="2340"/>
      <c r="C10" s="2343" t="s">
        <v>256</v>
      </c>
      <c r="D10" s="2343"/>
      <c r="E10" s="2343" t="s">
        <v>257</v>
      </c>
      <c r="F10" s="2343"/>
      <c r="G10" s="847"/>
      <c r="H10" s="847"/>
      <c r="I10" s="847"/>
      <c r="J10" s="847"/>
    </row>
    <row r="11" spans="1:26" ht="28.5" customHeight="1" x14ac:dyDescent="0.25">
      <c r="A11" s="2340"/>
      <c r="B11" s="2340"/>
      <c r="C11" s="1078" t="s">
        <v>259</v>
      </c>
      <c r="D11" s="1078" t="s">
        <v>258</v>
      </c>
      <c r="E11" s="1078" t="s">
        <v>259</v>
      </c>
      <c r="F11" s="1078" t="s">
        <v>258</v>
      </c>
      <c r="G11" s="847"/>
      <c r="H11" s="847"/>
      <c r="I11" s="847"/>
      <c r="J11" s="847"/>
    </row>
    <row r="12" spans="1:26" ht="26.25" customHeight="1" x14ac:dyDescent="0.25">
      <c r="A12" s="82">
        <v>46085</v>
      </c>
      <c r="B12" s="1024">
        <v>0.35416666666666669</v>
      </c>
      <c r="C12" s="77">
        <v>55</v>
      </c>
      <c r="D12" s="77">
        <v>0</v>
      </c>
      <c r="E12" s="77">
        <v>57</v>
      </c>
      <c r="F12" s="77">
        <v>0</v>
      </c>
      <c r="G12" s="847"/>
      <c r="H12" s="847"/>
      <c r="I12" s="847"/>
      <c r="J12" s="847"/>
    </row>
    <row r="16" spans="1:26" ht="34.5" customHeight="1" x14ac:dyDescent="0.25">
      <c r="A16" s="1082" t="s">
        <v>59</v>
      </c>
      <c r="B16" s="759" t="s">
        <v>254</v>
      </c>
      <c r="C16" s="2365" t="s">
        <v>403</v>
      </c>
      <c r="D16" s="2365"/>
      <c r="E16" s="2365"/>
      <c r="F16" s="2365" t="s">
        <v>404</v>
      </c>
      <c r="G16" s="2365"/>
      <c r="H16" s="759" t="s">
        <v>1158</v>
      </c>
      <c r="I16" s="759" t="s">
        <v>1159</v>
      </c>
      <c r="J16" s="759" t="s">
        <v>1160</v>
      </c>
      <c r="K16" s="759" t="s">
        <v>1161</v>
      </c>
    </row>
    <row r="17" spans="1:11" x14ac:dyDescent="0.25">
      <c r="A17" s="83">
        <v>46085</v>
      </c>
      <c r="B17" s="194">
        <v>0.33333333333333331</v>
      </c>
      <c r="C17" s="2361" t="s">
        <v>1735</v>
      </c>
      <c r="D17" s="2362"/>
      <c r="E17" s="2363"/>
      <c r="F17" s="2345">
        <v>19</v>
      </c>
      <c r="G17" s="2346"/>
      <c r="H17" s="81">
        <v>42</v>
      </c>
      <c r="I17" s="74">
        <v>0.2</v>
      </c>
      <c r="J17" s="74">
        <v>4</v>
      </c>
      <c r="K17" s="74">
        <v>20.9</v>
      </c>
    </row>
    <row r="18" spans="1:11" x14ac:dyDescent="0.25">
      <c r="A18" s="83">
        <v>46085</v>
      </c>
      <c r="B18" s="194">
        <v>0.33680555555555558</v>
      </c>
      <c r="C18" s="2358" t="s">
        <v>1736</v>
      </c>
      <c r="D18" s="2359"/>
      <c r="E18" s="2360"/>
      <c r="F18" s="2344">
        <v>17</v>
      </c>
      <c r="G18" s="2344"/>
      <c r="H18" s="77">
        <v>67</v>
      </c>
      <c r="I18" s="72">
        <v>0.2</v>
      </c>
      <c r="J18" s="72">
        <v>4</v>
      </c>
      <c r="K18" s="72">
        <v>20.9</v>
      </c>
    </row>
    <row r="19" spans="1:11" ht="15" customHeight="1" x14ac:dyDescent="0.25">
      <c r="A19" s="83">
        <v>46085</v>
      </c>
      <c r="B19" s="194">
        <v>0.35416666666666669</v>
      </c>
      <c r="C19" s="2361" t="s">
        <v>1740</v>
      </c>
      <c r="D19" s="2362"/>
      <c r="E19" s="2363"/>
      <c r="F19" s="2345">
        <v>874</v>
      </c>
      <c r="G19" s="2346"/>
      <c r="H19" s="81">
        <v>20</v>
      </c>
      <c r="I19" s="74"/>
      <c r="J19" s="74">
        <v>0</v>
      </c>
      <c r="K19" s="74">
        <v>20.8</v>
      </c>
    </row>
    <row r="20" spans="1:11" x14ac:dyDescent="0.25">
      <c r="A20" s="83">
        <v>46085</v>
      </c>
      <c r="B20" s="194">
        <v>0.35416666666666669</v>
      </c>
      <c r="C20" s="2358" t="s">
        <v>1740</v>
      </c>
      <c r="D20" s="2359"/>
      <c r="E20" s="2360"/>
      <c r="F20" s="2344">
        <v>279</v>
      </c>
      <c r="G20" s="2344"/>
      <c r="H20" s="77">
        <v>20</v>
      </c>
      <c r="I20" s="72"/>
      <c r="J20" s="72">
        <v>0</v>
      </c>
      <c r="K20" s="72">
        <v>20.8</v>
      </c>
    </row>
    <row r="21" spans="1:11" x14ac:dyDescent="0.25">
      <c r="A21" s="83">
        <v>46085</v>
      </c>
      <c r="B21" s="194">
        <v>0.53819444444444442</v>
      </c>
      <c r="C21" s="2361" t="s">
        <v>1735</v>
      </c>
      <c r="D21" s="2362"/>
      <c r="E21" s="2363"/>
      <c r="F21" s="2345">
        <v>19</v>
      </c>
      <c r="G21" s="2346"/>
      <c r="H21" s="77">
        <v>56</v>
      </c>
      <c r="I21" s="72">
        <v>0.2</v>
      </c>
      <c r="J21" s="72">
        <v>5</v>
      </c>
      <c r="K21" s="72">
        <v>20.9</v>
      </c>
    </row>
    <row r="22" spans="1:11" x14ac:dyDescent="0.25">
      <c r="A22" s="83">
        <v>46085</v>
      </c>
      <c r="B22" s="194">
        <v>0.54166666666666663</v>
      </c>
      <c r="C22" s="2358" t="s">
        <v>1736</v>
      </c>
      <c r="D22" s="2359"/>
      <c r="E22" s="2360"/>
      <c r="F22" s="2344">
        <v>17</v>
      </c>
      <c r="G22" s="2344"/>
      <c r="H22" s="77">
        <v>105</v>
      </c>
      <c r="I22" s="72">
        <v>0.2</v>
      </c>
      <c r="J22" s="72">
        <v>7</v>
      </c>
      <c r="K22" s="72">
        <v>20.9</v>
      </c>
    </row>
    <row r="23" spans="1:11" x14ac:dyDescent="0.25">
      <c r="A23" s="83"/>
      <c r="B23" s="194"/>
      <c r="C23" s="2344"/>
      <c r="D23" s="2344"/>
      <c r="E23" s="2344"/>
      <c r="F23" s="2344"/>
      <c r="G23" s="2344"/>
      <c r="H23" s="77"/>
      <c r="I23" s="72"/>
      <c r="J23" s="72"/>
      <c r="K23" s="72"/>
    </row>
    <row r="24" spans="1:11" x14ac:dyDescent="0.25">
      <c r="A24" s="83"/>
      <c r="B24" s="194"/>
      <c r="C24" s="2345"/>
      <c r="D24" s="2364"/>
      <c r="E24" s="2346"/>
      <c r="F24" s="2344"/>
      <c r="G24" s="2344"/>
      <c r="H24" s="77"/>
      <c r="I24" s="72"/>
      <c r="J24" s="72"/>
      <c r="K24" s="72"/>
    </row>
    <row r="25" spans="1:11" x14ac:dyDescent="0.25">
      <c r="A25" s="82"/>
      <c r="B25" s="77"/>
      <c r="C25" s="2344"/>
      <c r="D25" s="2344"/>
      <c r="E25" s="2344"/>
      <c r="F25" s="2344"/>
      <c r="G25" s="2344"/>
      <c r="H25" s="77"/>
      <c r="I25" s="72"/>
      <c r="J25" s="72"/>
      <c r="K25" s="72"/>
    </row>
    <row r="26" spans="1:11" x14ac:dyDescent="0.25">
      <c r="A26" s="82"/>
      <c r="B26" s="77"/>
      <c r="C26" s="2336"/>
      <c r="D26" s="2337"/>
      <c r="E26" s="2338"/>
      <c r="F26" s="2336"/>
      <c r="G26" s="2338"/>
      <c r="H26" s="77"/>
      <c r="I26" s="72"/>
      <c r="J26" s="72"/>
      <c r="K26" s="72"/>
    </row>
    <row r="27" spans="1:11" x14ac:dyDescent="0.25">
      <c r="A27" s="82"/>
      <c r="B27" s="77"/>
      <c r="C27" s="2336"/>
      <c r="D27" s="2337"/>
      <c r="E27" s="2338"/>
      <c r="F27" s="2336"/>
      <c r="G27" s="2338"/>
      <c r="H27" s="77"/>
      <c r="I27" s="72"/>
      <c r="J27" s="72"/>
      <c r="K27" s="72"/>
    </row>
    <row r="28" spans="1:11" x14ac:dyDescent="0.25">
      <c r="A28" s="82"/>
      <c r="B28" s="77"/>
      <c r="C28" s="2336"/>
      <c r="D28" s="2337"/>
      <c r="E28" s="2338"/>
      <c r="F28" s="2336"/>
      <c r="G28" s="2338"/>
      <c r="H28" s="77"/>
      <c r="I28" s="72"/>
      <c r="J28" s="72"/>
      <c r="K28" s="72"/>
    </row>
    <row r="29" spans="1:11" x14ac:dyDescent="0.25">
      <c r="A29" s="82"/>
      <c r="B29" s="77"/>
      <c r="C29" s="2336"/>
      <c r="D29" s="2337"/>
      <c r="E29" s="2338"/>
      <c r="F29" s="2336"/>
      <c r="G29" s="2338"/>
      <c r="H29" s="77"/>
      <c r="I29" s="72"/>
      <c r="J29" s="72"/>
      <c r="K29" s="72"/>
    </row>
    <row r="30" spans="1:11" x14ac:dyDescent="0.25">
      <c r="A30" s="82"/>
      <c r="B30" s="77"/>
      <c r="C30" s="2336"/>
      <c r="D30" s="2337"/>
      <c r="E30" s="2338"/>
      <c r="F30" s="2336"/>
      <c r="G30" s="2338"/>
      <c r="H30" s="77"/>
      <c r="I30" s="72"/>
      <c r="J30" s="72"/>
      <c r="K30" s="72"/>
    </row>
    <row r="31" spans="1:11" x14ac:dyDescent="0.25">
      <c r="A31" s="82"/>
      <c r="B31" s="77"/>
      <c r="C31" s="2336"/>
      <c r="D31" s="2337"/>
      <c r="E31" s="2338"/>
      <c r="F31" s="2336"/>
      <c r="G31" s="2338"/>
      <c r="H31" s="77"/>
      <c r="I31" s="72"/>
      <c r="J31" s="72"/>
      <c r="K31" s="72"/>
    </row>
    <row r="32" spans="1:11" x14ac:dyDescent="0.25">
      <c r="A32" s="82"/>
      <c r="B32" s="77"/>
      <c r="C32" s="2336"/>
      <c r="D32" s="2337"/>
      <c r="E32" s="2338"/>
      <c r="F32" s="2336"/>
      <c r="G32" s="2338"/>
      <c r="H32" s="77"/>
      <c r="I32" s="72"/>
      <c r="J32" s="72"/>
      <c r="K32" s="72"/>
    </row>
    <row r="33" spans="1:11" x14ac:dyDescent="0.25">
      <c r="A33" s="82"/>
      <c r="B33" s="77"/>
      <c r="C33" s="2336"/>
      <c r="D33" s="2337"/>
      <c r="E33" s="2338"/>
      <c r="F33" s="2336"/>
      <c r="G33" s="2338"/>
      <c r="H33" s="77"/>
      <c r="I33" s="72"/>
      <c r="J33" s="72"/>
      <c r="K33" s="72"/>
    </row>
    <row r="34" spans="1:11" x14ac:dyDescent="0.25">
      <c r="A34" s="82"/>
      <c r="B34" s="77"/>
      <c r="C34" s="2336"/>
      <c r="D34" s="2337"/>
      <c r="E34" s="2338"/>
      <c r="F34" s="2336"/>
      <c r="G34" s="2338"/>
      <c r="H34" s="77"/>
      <c r="I34" s="72"/>
      <c r="J34" s="72"/>
      <c r="K34" s="72"/>
    </row>
    <row r="35" spans="1:11" x14ac:dyDescent="0.25">
      <c r="A35" s="82"/>
      <c r="B35" s="77"/>
      <c r="C35" s="2336"/>
      <c r="D35" s="2337"/>
      <c r="E35" s="2338"/>
      <c r="F35" s="2336"/>
      <c r="G35" s="2338"/>
      <c r="H35" s="77"/>
      <c r="I35" s="72"/>
      <c r="J35" s="72"/>
      <c r="K35" s="72"/>
    </row>
    <row r="36" spans="1:11" x14ac:dyDescent="0.25">
      <c r="A36" s="82"/>
      <c r="B36" s="77"/>
      <c r="C36" s="2336"/>
      <c r="D36" s="2337"/>
      <c r="E36" s="2338"/>
      <c r="F36" s="2336"/>
      <c r="G36" s="2338"/>
      <c r="H36" s="77"/>
      <c r="I36" s="72"/>
      <c r="J36" s="72"/>
      <c r="K36" s="72"/>
    </row>
    <row r="37" spans="1:11" x14ac:dyDescent="0.25">
      <c r="A37" s="82"/>
      <c r="B37" s="77"/>
      <c r="C37" s="2336"/>
      <c r="D37" s="2337"/>
      <c r="E37" s="2338"/>
      <c r="F37" s="2336"/>
      <c r="G37" s="2338"/>
      <c r="H37" s="77"/>
      <c r="I37" s="72"/>
      <c r="J37" s="72"/>
      <c r="K37" s="72"/>
    </row>
    <row r="38" spans="1:11" x14ac:dyDescent="0.25">
      <c r="A38" s="82"/>
      <c r="B38" s="77"/>
      <c r="C38" s="2336"/>
      <c r="D38" s="2337"/>
      <c r="E38" s="2338"/>
      <c r="F38" s="2336"/>
      <c r="G38" s="2338"/>
      <c r="H38" s="77"/>
      <c r="I38" s="72"/>
      <c r="J38" s="72"/>
      <c r="K38" s="72"/>
    </row>
    <row r="39" spans="1:11" x14ac:dyDescent="0.25">
      <c r="A39" s="82"/>
      <c r="B39" s="77"/>
      <c r="C39" s="2336"/>
      <c r="D39" s="2337"/>
      <c r="E39" s="2338"/>
      <c r="F39" s="2336"/>
      <c r="G39" s="2338"/>
      <c r="H39" s="77"/>
      <c r="I39" s="72"/>
      <c r="J39" s="72"/>
      <c r="K39" s="72"/>
    </row>
    <row r="40" spans="1:11" x14ac:dyDescent="0.25">
      <c r="A40" s="82"/>
      <c r="B40" s="77"/>
      <c r="C40" s="2336"/>
      <c r="D40" s="2337"/>
      <c r="E40" s="2338"/>
      <c r="F40" s="2336"/>
      <c r="G40" s="2338"/>
      <c r="H40" s="77"/>
      <c r="I40" s="72"/>
      <c r="J40" s="72"/>
      <c r="K40" s="72"/>
    </row>
    <row r="41" spans="1:11" x14ac:dyDescent="0.25">
      <c r="A41" s="82"/>
      <c r="B41" s="77"/>
      <c r="C41" s="2336"/>
      <c r="D41" s="2337"/>
      <c r="E41" s="2338"/>
      <c r="F41" s="2336"/>
      <c r="G41" s="2338"/>
      <c r="H41" s="77"/>
      <c r="I41" s="72"/>
      <c r="J41" s="72"/>
      <c r="K41" s="72"/>
    </row>
    <row r="42" spans="1:11" x14ac:dyDescent="0.25">
      <c r="A42" s="82"/>
      <c r="B42" s="77"/>
      <c r="C42" s="2336"/>
      <c r="D42" s="2337"/>
      <c r="E42" s="2338"/>
      <c r="F42" s="2336"/>
      <c r="G42" s="2338"/>
      <c r="H42" s="77"/>
      <c r="I42" s="72"/>
      <c r="J42" s="72"/>
      <c r="K42" s="72"/>
    </row>
    <row r="43" spans="1:11" x14ac:dyDescent="0.25">
      <c r="A43" s="82"/>
      <c r="B43" s="77"/>
      <c r="C43" s="2336"/>
      <c r="D43" s="2337"/>
      <c r="E43" s="2338"/>
      <c r="F43" s="2336"/>
      <c r="G43" s="2338"/>
      <c r="H43" s="77"/>
      <c r="I43" s="72"/>
      <c r="J43" s="72"/>
      <c r="K43" s="72"/>
    </row>
    <row r="44" spans="1:11" x14ac:dyDescent="0.25">
      <c r="A44" s="82"/>
      <c r="B44" s="77"/>
      <c r="C44" s="2336"/>
      <c r="D44" s="2337"/>
      <c r="E44" s="2338"/>
      <c r="F44" s="2336"/>
      <c r="G44" s="2338"/>
      <c r="H44" s="77"/>
      <c r="I44" s="72"/>
      <c r="J44" s="72"/>
      <c r="K44" s="72"/>
    </row>
    <row r="45" spans="1:11" x14ac:dyDescent="0.25">
      <c r="A45" s="82"/>
      <c r="B45" s="77"/>
      <c r="C45" s="2336"/>
      <c r="D45" s="2337"/>
      <c r="E45" s="2338"/>
      <c r="F45" s="2336"/>
      <c r="G45" s="2338"/>
      <c r="H45" s="77"/>
      <c r="I45" s="72"/>
      <c r="J45" s="72"/>
      <c r="K45" s="72"/>
    </row>
    <row r="46" spans="1:11" x14ac:dyDescent="0.25">
      <c r="A46" s="82"/>
      <c r="B46" s="77"/>
      <c r="C46" s="2336"/>
      <c r="D46" s="2337"/>
      <c r="E46" s="2338"/>
      <c r="F46" s="2336"/>
      <c r="G46" s="2338"/>
      <c r="H46" s="77"/>
      <c r="I46" s="72"/>
      <c r="J46" s="72"/>
      <c r="K46" s="72"/>
    </row>
  </sheetData>
  <customSheetViews>
    <customSheetView guid="{9AA7F8D2-F967-49D0-A431-45AC7CAADBAA}">
      <selection activeCell="A4" sqref="A4:Z4"/>
      <pageMargins left="0.7" right="0.7" top="0.75" bottom="0.75" header="0.3" footer="0.3"/>
    </customSheetView>
    <customSheetView guid="{088AEEB3-F71F-4FD6-B49B-55643D920FC6}">
      <selection activeCell="Q23" sqref="Q23"/>
      <pageMargins left="0.7" right="0.7" top="0.75" bottom="0.75" header="0.3" footer="0.3"/>
    </customSheetView>
    <customSheetView guid="{29BD9A5E-D50F-4A88-A654-39BA9D666C53}">
      <selection activeCell="Q23" sqref="Q23"/>
      <pageMargins left="0.7" right="0.7" top="0.75" bottom="0.75" header="0.3" footer="0.3"/>
    </customSheetView>
    <customSheetView guid="{D9EA6DAB-3BBE-4AEB-835D-410DB85E8702}">
      <selection activeCell="Q23" sqref="Q23"/>
      <pageMargins left="0.7" right="0.7" top="0.75" bottom="0.75" header="0.3" footer="0.3"/>
    </customSheetView>
    <customSheetView guid="{CFB4A573-2790-4D20-894C-21E3B146481E}">
      <selection activeCell="Q23" sqref="Q23"/>
      <pageMargins left="0.7" right="0.7" top="0.75" bottom="0.75" header="0.3" footer="0.3"/>
    </customSheetView>
    <customSheetView guid="{B2A463F0-D351-4C59-A7CF-DC4487562EFC}">
      <selection activeCell="Q23" sqref="Q23"/>
      <pageMargins left="0.7" right="0.7" top="0.75" bottom="0.75" header="0.3" footer="0.3"/>
    </customSheetView>
  </customSheetViews>
  <mergeCells count="76">
    <mergeCell ref="K4:M4"/>
    <mergeCell ref="C25:E25"/>
    <mergeCell ref="C26:E26"/>
    <mergeCell ref="C20:E20"/>
    <mergeCell ref="C21:E21"/>
    <mergeCell ref="C22:E22"/>
    <mergeCell ref="C23:E23"/>
    <mergeCell ref="C24:E24"/>
    <mergeCell ref="C16:E16"/>
    <mergeCell ref="F16:G16"/>
    <mergeCell ref="C17:E17"/>
    <mergeCell ref="C18:E18"/>
    <mergeCell ref="C19:E19"/>
    <mergeCell ref="F17:G17"/>
    <mergeCell ref="F18:G18"/>
    <mergeCell ref="F19:G19"/>
    <mergeCell ref="W1:Y1"/>
    <mergeCell ref="Z1:Z3"/>
    <mergeCell ref="A1:A3"/>
    <mergeCell ref="B1:J1"/>
    <mergeCell ref="B2:D2"/>
    <mergeCell ref="E2:G2"/>
    <mergeCell ref="H2:J2"/>
    <mergeCell ref="K1:M1"/>
    <mergeCell ref="F25:G25"/>
    <mergeCell ref="F26:G26"/>
    <mergeCell ref="F20:G20"/>
    <mergeCell ref="F21:G21"/>
    <mergeCell ref="F22:G22"/>
    <mergeCell ref="F23:G23"/>
    <mergeCell ref="F24:G24"/>
    <mergeCell ref="A8:A11"/>
    <mergeCell ref="B8:B11"/>
    <mergeCell ref="C8:F9"/>
    <mergeCell ref="E10:F10"/>
    <mergeCell ref="C10:D10"/>
    <mergeCell ref="C27:E27"/>
    <mergeCell ref="F27:G27"/>
    <mergeCell ref="C28:E28"/>
    <mergeCell ref="F28:G28"/>
    <mergeCell ref="C29:E29"/>
    <mergeCell ref="F29:G29"/>
    <mergeCell ref="C30:E30"/>
    <mergeCell ref="F30:G30"/>
    <mergeCell ref="C31:E31"/>
    <mergeCell ref="F31:G31"/>
    <mergeCell ref="C32:E32"/>
    <mergeCell ref="F32:G32"/>
    <mergeCell ref="C33:E33"/>
    <mergeCell ref="F33:G33"/>
    <mergeCell ref="C34:E34"/>
    <mergeCell ref="F34:G34"/>
    <mergeCell ref="C35:E35"/>
    <mergeCell ref="F35:G35"/>
    <mergeCell ref="C36:E36"/>
    <mergeCell ref="F36:G36"/>
    <mergeCell ref="C37:E37"/>
    <mergeCell ref="F37:G37"/>
    <mergeCell ref="C38:E38"/>
    <mergeCell ref="F38:G38"/>
    <mergeCell ref="C39:E39"/>
    <mergeCell ref="F39:G39"/>
    <mergeCell ref="C40:E40"/>
    <mergeCell ref="F40:G40"/>
    <mergeCell ref="C41:E41"/>
    <mergeCell ref="F41:G41"/>
    <mergeCell ref="C45:E45"/>
    <mergeCell ref="F45:G45"/>
    <mergeCell ref="C46:E46"/>
    <mergeCell ref="F46:G46"/>
    <mergeCell ref="C42:E42"/>
    <mergeCell ref="F42:G42"/>
    <mergeCell ref="C43:E43"/>
    <mergeCell ref="F43:G43"/>
    <mergeCell ref="C44:E44"/>
    <mergeCell ref="F44:G4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A1:T10"/>
  <sheetViews>
    <sheetView workbookViewId="0">
      <selection activeCell="C1" sqref="C1:D1"/>
    </sheetView>
  </sheetViews>
  <sheetFormatPr defaultRowHeight="13.8" x14ac:dyDescent="0.25"/>
  <cols>
    <col min="1" max="1" width="12.33203125" style="75" customWidth="1"/>
    <col min="2" max="2" width="6.6640625" style="75" customWidth="1"/>
    <col min="3" max="3" width="11.44140625" style="75" customWidth="1"/>
    <col min="4" max="4" width="10.88671875" style="75" customWidth="1"/>
    <col min="5" max="6" width="10.6640625" style="75" customWidth="1"/>
    <col min="7" max="7" width="12" style="75" customWidth="1"/>
    <col min="8" max="9" width="10.109375" style="75" customWidth="1"/>
    <col min="10" max="10" width="10" style="75" customWidth="1"/>
    <col min="11" max="11" width="10.5546875" style="75" customWidth="1"/>
    <col min="12" max="12" width="10" style="75" customWidth="1"/>
    <col min="13" max="13" width="10.5546875" style="76" customWidth="1"/>
    <col min="14" max="14" width="11.33203125" style="75" customWidth="1"/>
    <col min="15" max="16" width="10.44140625" style="75" customWidth="1"/>
    <col min="17" max="17" width="9.88671875" style="75" customWidth="1"/>
    <col min="18" max="18" width="10.44140625" style="75" customWidth="1"/>
    <col min="19" max="19" width="9.33203125" style="75" customWidth="1"/>
    <col min="20" max="20" width="10.5546875" style="75" customWidth="1"/>
  </cols>
  <sheetData>
    <row r="1" spans="1:20" s="587" customFormat="1" ht="25.5" customHeight="1" x14ac:dyDescent="0.25">
      <c r="A1" s="2366" t="s">
        <v>59</v>
      </c>
      <c r="B1" s="2371" t="s">
        <v>1190</v>
      </c>
      <c r="C1" s="2368" t="s">
        <v>1172</v>
      </c>
      <c r="D1" s="2370"/>
      <c r="E1" s="2368" t="s">
        <v>1173</v>
      </c>
      <c r="F1" s="2370"/>
      <c r="G1" s="2368" t="s">
        <v>1180</v>
      </c>
      <c r="H1" s="2369"/>
      <c r="I1" s="2369"/>
      <c r="J1" s="2369"/>
      <c r="K1" s="2369"/>
      <c r="L1" s="2369"/>
      <c r="M1" s="2370"/>
      <c r="N1" s="2368" t="s">
        <v>1179</v>
      </c>
      <c r="O1" s="2369"/>
      <c r="P1" s="2369"/>
      <c r="Q1" s="2369"/>
      <c r="R1" s="2369"/>
      <c r="S1" s="2369"/>
      <c r="T1" s="2370"/>
    </row>
    <row r="2" spans="1:20" ht="95.25" customHeight="1" x14ac:dyDescent="0.25">
      <c r="A2" s="2367"/>
      <c r="B2" s="2372"/>
      <c r="C2" s="1113" t="s">
        <v>1182</v>
      </c>
      <c r="D2" s="1114" t="s">
        <v>1174</v>
      </c>
      <c r="E2" s="1113" t="s">
        <v>1182</v>
      </c>
      <c r="F2" s="1114" t="s">
        <v>1175</v>
      </c>
      <c r="G2" s="1113" t="s">
        <v>1181</v>
      </c>
      <c r="H2" s="1107" t="s">
        <v>1176</v>
      </c>
      <c r="I2" s="1108" t="s">
        <v>1182</v>
      </c>
      <c r="J2" s="1107" t="s">
        <v>1175</v>
      </c>
      <c r="K2" s="1108" t="s">
        <v>1182</v>
      </c>
      <c r="L2" s="1107" t="s">
        <v>1177</v>
      </c>
      <c r="M2" s="1114" t="s">
        <v>1178</v>
      </c>
      <c r="N2" s="1113" t="s">
        <v>1181</v>
      </c>
      <c r="O2" s="1107" t="s">
        <v>1176</v>
      </c>
      <c r="P2" s="1108" t="s">
        <v>1182</v>
      </c>
      <c r="Q2" s="1107" t="s">
        <v>1175</v>
      </c>
      <c r="R2" s="1108" t="s">
        <v>1182</v>
      </c>
      <c r="S2" s="1107" t="s">
        <v>1177</v>
      </c>
      <c r="T2" s="1114" t="s">
        <v>1178</v>
      </c>
    </row>
    <row r="3" spans="1:20" s="1081" customFormat="1" ht="21.75" customHeight="1" x14ac:dyDescent="0.25">
      <c r="A3" s="1117"/>
      <c r="B3" s="1116" t="s">
        <v>1183</v>
      </c>
      <c r="C3" s="1115"/>
      <c r="D3" s="1116"/>
      <c r="E3" s="1115"/>
      <c r="F3" s="1116"/>
      <c r="G3" s="1115"/>
      <c r="H3" s="1109"/>
      <c r="I3" s="1109"/>
      <c r="J3" s="1109"/>
      <c r="K3" s="1109"/>
      <c r="L3" s="1109"/>
      <c r="M3" s="1123">
        <f>L3-J3</f>
        <v>0</v>
      </c>
      <c r="N3" s="1125"/>
      <c r="O3" s="1110"/>
      <c r="P3" s="1110"/>
      <c r="Q3" s="1110"/>
      <c r="R3" s="1110"/>
      <c r="S3" s="1110"/>
      <c r="T3" s="1126">
        <f>S3-Q3</f>
        <v>0</v>
      </c>
    </row>
    <row r="4" spans="1:20" s="1081" customFormat="1" ht="21.75" customHeight="1" x14ac:dyDescent="0.25">
      <c r="A4" s="1161"/>
      <c r="B4" s="1118" t="s">
        <v>1184</v>
      </c>
      <c r="C4" s="1117"/>
      <c r="D4" s="1118"/>
      <c r="E4" s="1117"/>
      <c r="F4" s="1118"/>
      <c r="G4" s="1117"/>
      <c r="H4" s="1080"/>
      <c r="I4" s="1080"/>
      <c r="J4" s="1080"/>
      <c r="K4" s="1080"/>
      <c r="L4" s="1080"/>
      <c r="M4" s="1124">
        <f t="shared" ref="M4:M9" si="0">L4-J4</f>
        <v>0</v>
      </c>
      <c r="N4" s="1127"/>
      <c r="O4" s="1111"/>
      <c r="P4" s="1111"/>
      <c r="Q4" s="1111"/>
      <c r="R4" s="1111"/>
      <c r="S4" s="1111"/>
      <c r="T4" s="1128">
        <f t="shared" ref="T4:T9" si="1">S4-Q4</f>
        <v>0</v>
      </c>
    </row>
    <row r="5" spans="1:20" s="1081" customFormat="1" ht="21.75" customHeight="1" x14ac:dyDescent="0.25">
      <c r="A5" s="1161"/>
      <c r="B5" s="1116" t="s">
        <v>1185</v>
      </c>
      <c r="C5" s="1117"/>
      <c r="D5" s="1118"/>
      <c r="E5" s="1117"/>
      <c r="F5" s="1118"/>
      <c r="G5" s="1117"/>
      <c r="H5" s="1080"/>
      <c r="I5" s="1080"/>
      <c r="J5" s="1080"/>
      <c r="K5" s="1080"/>
      <c r="L5" s="1080"/>
      <c r="M5" s="1124">
        <f t="shared" si="0"/>
        <v>0</v>
      </c>
      <c r="N5" s="1127"/>
      <c r="O5" s="1111"/>
      <c r="P5" s="1111"/>
      <c r="Q5" s="1111"/>
      <c r="R5" s="1111"/>
      <c r="S5" s="1111"/>
      <c r="T5" s="1128">
        <f t="shared" si="1"/>
        <v>0</v>
      </c>
    </row>
    <row r="6" spans="1:20" s="1081" customFormat="1" ht="21.75" customHeight="1" x14ac:dyDescent="0.25">
      <c r="A6" s="1161"/>
      <c r="B6" s="1118" t="s">
        <v>1186</v>
      </c>
      <c r="C6" s="1117"/>
      <c r="D6" s="1118"/>
      <c r="E6" s="1117"/>
      <c r="F6" s="1118"/>
      <c r="G6" s="1117"/>
      <c r="H6" s="1080"/>
      <c r="I6" s="1080"/>
      <c r="J6" s="1080"/>
      <c r="K6" s="1080"/>
      <c r="L6" s="1080"/>
      <c r="M6" s="1124">
        <f t="shared" si="0"/>
        <v>0</v>
      </c>
      <c r="N6" s="1127"/>
      <c r="O6" s="1111"/>
      <c r="P6" s="1111"/>
      <c r="Q6" s="1111"/>
      <c r="R6" s="1111"/>
      <c r="S6" s="1111"/>
      <c r="T6" s="1128">
        <f t="shared" si="1"/>
        <v>0</v>
      </c>
    </row>
    <row r="7" spans="1:20" s="1081" customFormat="1" ht="21.75" customHeight="1" x14ac:dyDescent="0.25">
      <c r="A7" s="1161"/>
      <c r="B7" s="1116" t="s">
        <v>1187</v>
      </c>
      <c r="C7" s="1117"/>
      <c r="D7" s="1118"/>
      <c r="E7" s="1117"/>
      <c r="F7" s="1118"/>
      <c r="G7" s="1117"/>
      <c r="H7" s="1080"/>
      <c r="I7" s="1080"/>
      <c r="J7" s="1080"/>
      <c r="K7" s="1080"/>
      <c r="L7" s="1080"/>
      <c r="M7" s="1124">
        <f t="shared" si="0"/>
        <v>0</v>
      </c>
      <c r="N7" s="1127"/>
      <c r="O7" s="1111"/>
      <c r="P7" s="1111"/>
      <c r="Q7" s="1111"/>
      <c r="R7" s="1111"/>
      <c r="S7" s="1111"/>
      <c r="T7" s="1128">
        <f t="shared" si="1"/>
        <v>0</v>
      </c>
    </row>
    <row r="8" spans="1:20" s="1081" customFormat="1" ht="21.75" customHeight="1" x14ac:dyDescent="0.25">
      <c r="A8" s="1161"/>
      <c r="B8" s="1118" t="s">
        <v>1188</v>
      </c>
      <c r="C8" s="1117"/>
      <c r="D8" s="1118"/>
      <c r="E8" s="1117"/>
      <c r="F8" s="1118"/>
      <c r="G8" s="1117"/>
      <c r="H8" s="1080"/>
      <c r="I8" s="1080"/>
      <c r="J8" s="1080"/>
      <c r="K8" s="1080"/>
      <c r="L8" s="1080"/>
      <c r="M8" s="1124">
        <f t="shared" si="0"/>
        <v>0</v>
      </c>
      <c r="N8" s="1127"/>
      <c r="O8" s="1111"/>
      <c r="P8" s="1111"/>
      <c r="Q8" s="1111"/>
      <c r="R8" s="1111"/>
      <c r="S8" s="1111"/>
      <c r="T8" s="1128">
        <f t="shared" si="1"/>
        <v>0</v>
      </c>
    </row>
    <row r="9" spans="1:20" s="1081" customFormat="1" ht="21.75" customHeight="1" thickBot="1" x14ac:dyDescent="0.3">
      <c r="A9" s="1161"/>
      <c r="B9" s="1116" t="s">
        <v>1189</v>
      </c>
      <c r="C9" s="1120"/>
      <c r="D9" s="1121"/>
      <c r="E9" s="1120"/>
      <c r="F9" s="1121"/>
      <c r="G9" s="1120"/>
      <c r="H9" s="1129"/>
      <c r="I9" s="1129"/>
      <c r="J9" s="1129"/>
      <c r="K9" s="1129"/>
      <c r="L9" s="1129"/>
      <c r="M9" s="1130">
        <f t="shared" si="0"/>
        <v>0</v>
      </c>
      <c r="N9" s="1131"/>
      <c r="O9" s="1132"/>
      <c r="P9" s="1132"/>
      <c r="Q9" s="1132"/>
      <c r="R9" s="1132"/>
      <c r="S9" s="1132"/>
      <c r="T9" s="1133">
        <f t="shared" si="1"/>
        <v>0</v>
      </c>
    </row>
    <row r="10" spans="1:20" s="1112" customFormat="1" ht="24" customHeight="1" thickBot="1" x14ac:dyDescent="0.3">
      <c r="A10" s="1155"/>
      <c r="B10" s="1119"/>
      <c r="C10" s="1122"/>
      <c r="D10" s="1156" t="e">
        <f>AVERAGE(D3:D9)</f>
        <v>#DIV/0!</v>
      </c>
      <c r="E10" s="1157"/>
      <c r="F10" s="1156" t="e">
        <f>AVERAGE(F3:F9)</f>
        <v>#DIV/0!</v>
      </c>
      <c r="G10" s="1157"/>
      <c r="H10" s="1158" t="e">
        <f>AVERAGE(H3:H9)</f>
        <v>#DIV/0!</v>
      </c>
      <c r="I10" s="1159"/>
      <c r="J10" s="1158" t="e">
        <f>AVERAGE(J3:J9)</f>
        <v>#DIV/0!</v>
      </c>
      <c r="K10" s="1159"/>
      <c r="L10" s="1158" t="e">
        <f>AVERAGE(L3:L9)</f>
        <v>#DIV/0!</v>
      </c>
      <c r="M10" s="1160">
        <f>AVERAGE(M3:M9)</f>
        <v>0</v>
      </c>
      <c r="N10" s="1157"/>
      <c r="O10" s="1158" t="e">
        <f>AVERAGE(O3:O9)</f>
        <v>#DIV/0!</v>
      </c>
      <c r="P10" s="1159"/>
      <c r="Q10" s="1158" t="e">
        <f>AVERAGE(Q3:Q9)</f>
        <v>#DIV/0!</v>
      </c>
      <c r="R10" s="1159"/>
      <c r="S10" s="1158" t="e">
        <f>AVERAGE(S3:S9)</f>
        <v>#DIV/0!</v>
      </c>
      <c r="T10" s="1160">
        <f>AVERAGE(T3:T9)</f>
        <v>0</v>
      </c>
    </row>
  </sheetData>
  <customSheetViews>
    <customSheetView guid="{9AA7F8D2-F967-49D0-A431-45AC7CAADBAA}">
      <selection activeCell="O33" sqref="O33"/>
      <pageMargins left="0.7" right="0.7" top="0.75" bottom="0.75" header="0.3" footer="0.3"/>
    </customSheetView>
    <customSheetView guid="{088AEEB3-F71F-4FD6-B49B-55643D920FC6}">
      <selection activeCell="O33" sqref="O33"/>
      <pageMargins left="0.7" right="0.7" top="0.75" bottom="0.75" header="0.3" footer="0.3"/>
    </customSheetView>
    <customSheetView guid="{29BD9A5E-D50F-4A88-A654-39BA9D666C53}">
      <selection activeCell="O33" sqref="O33"/>
      <pageMargins left="0.7" right="0.7" top="0.75" bottom="0.75" header="0.3" footer="0.3"/>
    </customSheetView>
    <customSheetView guid="{D9EA6DAB-3BBE-4AEB-835D-410DB85E8702}">
      <selection activeCell="O33" sqref="O33"/>
      <pageMargins left="0.7" right="0.7" top="0.75" bottom="0.75" header="0.3" footer="0.3"/>
    </customSheetView>
    <customSheetView guid="{CFB4A573-2790-4D20-894C-21E3B146481E}">
      <selection activeCell="O33" sqref="O33"/>
      <pageMargins left="0.7" right="0.7" top="0.75" bottom="0.75" header="0.3" footer="0.3"/>
    </customSheetView>
    <customSheetView guid="{B2A463F0-D351-4C59-A7CF-DC4487562EFC}">
      <selection activeCell="O33" sqref="O33"/>
      <pageMargins left="0.7" right="0.7" top="0.75" bottom="0.75" header="0.3" footer="0.3"/>
    </customSheetView>
  </customSheetViews>
  <mergeCells count="6">
    <mergeCell ref="A1:A2"/>
    <mergeCell ref="G1:M1"/>
    <mergeCell ref="N1:T1"/>
    <mergeCell ref="E1:F1"/>
    <mergeCell ref="C1:D1"/>
    <mergeCell ref="B1:B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45"/>
  <sheetViews>
    <sheetView view="pageBreakPreview" zoomScale="80" zoomScaleNormal="100" zoomScaleSheetLayoutView="80" workbookViewId="0">
      <selection activeCell="B2" sqref="B2"/>
    </sheetView>
  </sheetViews>
  <sheetFormatPr defaultRowHeight="18" x14ac:dyDescent="0.35"/>
  <cols>
    <col min="1" max="1" width="14.88671875" style="78" customWidth="1"/>
    <col min="2" max="2" width="14.33203125" style="78" customWidth="1"/>
    <col min="3" max="11" width="12.6640625" style="78" customWidth="1"/>
  </cols>
  <sheetData>
    <row r="1" spans="1:11" ht="60" customHeight="1" x14ac:dyDescent="0.25">
      <c r="A1" s="2376" t="s">
        <v>956</v>
      </c>
      <c r="B1" s="2376"/>
      <c r="C1" s="2376"/>
      <c r="D1" s="2376"/>
      <c r="E1" s="2376"/>
      <c r="F1" s="2376"/>
      <c r="G1" s="2376"/>
      <c r="H1" s="2376"/>
      <c r="I1" s="2376"/>
      <c r="J1" s="2376"/>
      <c r="K1" s="2376"/>
    </row>
    <row r="2" spans="1:11" ht="25.5" customHeight="1" x14ac:dyDescent="0.35">
      <c r="A2" s="1069" t="s">
        <v>1130</v>
      </c>
      <c r="B2" s="1070"/>
      <c r="C2" s="925"/>
      <c r="D2" s="1068" t="s">
        <v>246</v>
      </c>
      <c r="E2" s="1071">
        <v>1</v>
      </c>
      <c r="F2" s="925"/>
      <c r="G2" s="925"/>
      <c r="H2" s="1068" t="s">
        <v>61</v>
      </c>
      <c r="I2" s="1072"/>
      <c r="J2" s="723"/>
    </row>
    <row r="3" spans="1:11" s="587" customFormat="1" ht="25.5" customHeight="1" x14ac:dyDescent="0.35">
      <c r="A3" s="4"/>
      <c r="B3" s="924"/>
      <c r="C3" s="925"/>
      <c r="D3" s="926"/>
      <c r="E3" s="925"/>
      <c r="F3" s="925"/>
      <c r="G3" s="78"/>
      <c r="H3" s="723"/>
      <c r="I3" s="723"/>
      <c r="J3" s="723"/>
      <c r="K3" s="78"/>
    </row>
    <row r="4" spans="1:11" ht="25.5" customHeight="1" x14ac:dyDescent="0.35">
      <c r="A4" s="927" t="s">
        <v>4</v>
      </c>
      <c r="B4" s="928">
        <v>1059</v>
      </c>
      <c r="C4" s="929" t="s">
        <v>14</v>
      </c>
      <c r="D4" s="928" t="s">
        <v>7</v>
      </c>
      <c r="E4" s="928" t="s">
        <v>164</v>
      </c>
      <c r="F4" s="928" t="s">
        <v>15</v>
      </c>
      <c r="G4" s="928" t="s">
        <v>574</v>
      </c>
      <c r="H4" s="928">
        <v>12</v>
      </c>
      <c r="I4" s="928">
        <v>1859</v>
      </c>
      <c r="J4" s="928" t="s">
        <v>171</v>
      </c>
      <c r="K4" s="928" t="s">
        <v>18</v>
      </c>
    </row>
    <row r="5" spans="1:11" ht="25.5" customHeight="1" x14ac:dyDescent="0.35">
      <c r="A5" s="726">
        <v>0.83333333333333337</v>
      </c>
      <c r="B5" s="228"/>
      <c r="C5" s="228"/>
      <c r="D5" s="228"/>
      <c r="E5" s="228"/>
      <c r="F5" s="228"/>
      <c r="G5" s="228"/>
      <c r="H5" s="228"/>
      <c r="I5" s="228"/>
      <c r="J5" s="405"/>
      <c r="K5" s="362"/>
    </row>
    <row r="6" spans="1:11" s="587" customFormat="1" ht="25.5" customHeight="1" x14ac:dyDescent="0.35">
      <c r="A6" s="726">
        <v>0.875</v>
      </c>
      <c r="B6" s="228"/>
      <c r="C6" s="228"/>
      <c r="D6" s="228"/>
      <c r="E6" s="228"/>
      <c r="F6" s="228"/>
      <c r="G6" s="228"/>
      <c r="H6" s="228"/>
      <c r="I6" s="228"/>
      <c r="J6" s="405"/>
      <c r="K6" s="362"/>
    </row>
    <row r="7" spans="1:11" s="587" customFormat="1" ht="25.5" customHeight="1" x14ac:dyDescent="0.35">
      <c r="A7" s="726">
        <v>0.91666666666666696</v>
      </c>
      <c r="B7" s="228"/>
      <c r="C7" s="228"/>
      <c r="D7" s="228"/>
      <c r="E7" s="228"/>
      <c r="F7" s="228"/>
      <c r="G7" s="228"/>
      <c r="H7" s="228"/>
      <c r="I7" s="228"/>
      <c r="J7" s="405"/>
      <c r="K7" s="362"/>
    </row>
    <row r="8" spans="1:11" s="587" customFormat="1" ht="25.5" customHeight="1" x14ac:dyDescent="0.35">
      <c r="A8" s="726">
        <v>0.95833333333333304</v>
      </c>
      <c r="B8" s="228"/>
      <c r="C8" s="228"/>
      <c r="D8" s="228"/>
      <c r="E8" s="228"/>
      <c r="F8" s="228"/>
      <c r="G8" s="228"/>
      <c r="H8" s="228"/>
      <c r="I8" s="228"/>
      <c r="J8" s="405"/>
      <c r="K8" s="362"/>
    </row>
    <row r="9" spans="1:11" s="587" customFormat="1" ht="25.5" customHeight="1" x14ac:dyDescent="0.35">
      <c r="A9" s="726">
        <v>1</v>
      </c>
      <c r="B9" s="228"/>
      <c r="C9" s="228"/>
      <c r="D9" s="228"/>
      <c r="E9" s="228"/>
      <c r="F9" s="228"/>
      <c r="G9" s="228"/>
      <c r="H9" s="228"/>
      <c r="I9" s="228"/>
      <c r="J9" s="405"/>
      <c r="K9" s="362"/>
    </row>
    <row r="10" spans="1:11" ht="25.5" customHeight="1" x14ac:dyDescent="0.35">
      <c r="A10" s="726">
        <v>1.0416666666666701</v>
      </c>
      <c r="B10" s="228"/>
      <c r="C10" s="228"/>
      <c r="D10" s="228"/>
      <c r="E10" s="228"/>
      <c r="F10" s="228"/>
      <c r="G10" s="228"/>
      <c r="H10" s="228"/>
      <c r="I10" s="228"/>
      <c r="J10" s="405"/>
      <c r="K10" s="362"/>
    </row>
    <row r="11" spans="1:11" ht="25.5" customHeight="1" x14ac:dyDescent="0.35">
      <c r="A11" s="726">
        <v>1.0833333333333399</v>
      </c>
      <c r="B11" s="228"/>
      <c r="C11" s="228"/>
      <c r="D11" s="228"/>
      <c r="E11" s="228"/>
      <c r="F11" s="228"/>
      <c r="G11" s="228"/>
      <c r="H11" s="228"/>
      <c r="I11" s="228"/>
      <c r="J11" s="405"/>
      <c r="K11" s="362"/>
    </row>
    <row r="12" spans="1:11" ht="25.5" customHeight="1" x14ac:dyDescent="0.35">
      <c r="A12" s="726">
        <v>1.125</v>
      </c>
      <c r="B12" s="228"/>
      <c r="C12" s="228"/>
      <c r="D12" s="228"/>
      <c r="E12" s="228"/>
      <c r="F12" s="228"/>
      <c r="G12" s="228"/>
      <c r="H12" s="228"/>
      <c r="I12" s="228"/>
      <c r="J12" s="405"/>
      <c r="K12" s="362"/>
    </row>
    <row r="13" spans="1:11" ht="25.5" customHeight="1" x14ac:dyDescent="0.35">
      <c r="A13" s="726">
        <v>1.1666666666666701</v>
      </c>
      <c r="B13" s="228"/>
      <c r="C13" s="228"/>
      <c r="D13" s="228"/>
      <c r="E13" s="228"/>
      <c r="F13" s="228"/>
      <c r="G13" s="228"/>
      <c r="H13" s="228"/>
      <c r="I13" s="228"/>
      <c r="J13" s="405"/>
      <c r="K13" s="362"/>
    </row>
    <row r="14" spans="1:11" ht="25.5" customHeight="1" x14ac:dyDescent="0.35">
      <c r="A14" s="726">
        <v>1.2083333333333299</v>
      </c>
      <c r="B14" s="228"/>
      <c r="C14" s="228"/>
      <c r="D14" s="228"/>
      <c r="E14" s="228"/>
      <c r="F14" s="228"/>
      <c r="G14" s="228"/>
      <c r="H14" s="228"/>
      <c r="I14" s="228"/>
      <c r="J14" s="405"/>
      <c r="K14" s="362"/>
    </row>
    <row r="15" spans="1:11" ht="25.5" customHeight="1" x14ac:dyDescent="0.35">
      <c r="A15" s="726">
        <v>1.25</v>
      </c>
      <c r="B15" s="228"/>
      <c r="C15" s="228"/>
      <c r="D15" s="228"/>
      <c r="E15" s="228"/>
      <c r="F15" s="228"/>
      <c r="G15" s="228"/>
      <c r="H15" s="228"/>
      <c r="I15" s="228"/>
      <c r="J15" s="405"/>
      <c r="K15" s="362"/>
    </row>
    <row r="16" spans="1:11" ht="25.5" customHeight="1" thickBot="1" x14ac:dyDescent="0.4">
      <c r="A16" s="934">
        <v>1.2916666666666701</v>
      </c>
      <c r="B16" s="228"/>
      <c r="C16" s="228"/>
      <c r="D16" s="228"/>
      <c r="E16" s="228"/>
      <c r="F16" s="228"/>
      <c r="G16" s="228"/>
      <c r="H16" s="228"/>
      <c r="I16" s="228"/>
      <c r="J16" s="1073"/>
      <c r="K16" s="362"/>
    </row>
    <row r="17" spans="1:11" ht="25.5" customHeight="1" thickBot="1" x14ac:dyDescent="0.4">
      <c r="A17" s="930" t="s">
        <v>151</v>
      </c>
      <c r="B17" s="931" t="e">
        <f>AVERAGE(B5:B16)</f>
        <v>#DIV/0!</v>
      </c>
      <c r="C17" s="931" t="e">
        <f t="shared" ref="C17:J17" si="0">AVERAGE(C5:C16)</f>
        <v>#DIV/0!</v>
      </c>
      <c r="D17" s="931" t="e">
        <f t="shared" si="0"/>
        <v>#DIV/0!</v>
      </c>
      <c r="E17" s="931" t="e">
        <f t="shared" si="0"/>
        <v>#DIV/0!</v>
      </c>
      <c r="F17" s="931" t="e">
        <f t="shared" si="0"/>
        <v>#DIV/0!</v>
      </c>
      <c r="G17" s="931" t="e">
        <f t="shared" si="0"/>
        <v>#DIV/0!</v>
      </c>
      <c r="H17" s="931" t="e">
        <f t="shared" si="0"/>
        <v>#DIV/0!</v>
      </c>
      <c r="I17" s="931" t="e">
        <f t="shared" si="0"/>
        <v>#DIV/0!</v>
      </c>
      <c r="J17" s="1074" t="e">
        <f t="shared" si="0"/>
        <v>#DIV/0!</v>
      </c>
      <c r="K17" s="932" t="e">
        <f t="shared" ref="K17" si="1">AVERAGE(K5:K16)</f>
        <v>#DIV/0!</v>
      </c>
    </row>
    <row r="18" spans="1:11" ht="25.5" customHeight="1" x14ac:dyDescent="0.35"/>
    <row r="19" spans="1:11" ht="25.5" customHeight="1" x14ac:dyDescent="0.35">
      <c r="C19" s="2374" t="s">
        <v>1131</v>
      </c>
      <c r="D19" s="2374"/>
      <c r="F19" s="725"/>
      <c r="G19" s="2374" t="s">
        <v>199</v>
      </c>
      <c r="H19" s="2374"/>
    </row>
    <row r="20" spans="1:11" ht="25.5" customHeight="1" x14ac:dyDescent="0.35">
      <c r="A20" s="2375" t="s">
        <v>1132</v>
      </c>
      <c r="B20" s="2375"/>
      <c r="C20" s="2373"/>
      <c r="D20" s="2373"/>
      <c r="F20" s="725"/>
      <c r="G20" s="1916"/>
      <c r="H20" s="1916"/>
    </row>
    <row r="21" spans="1:11" ht="25.5" customHeight="1" x14ac:dyDescent="0.35">
      <c r="C21" s="2373"/>
      <c r="D21" s="2373"/>
      <c r="F21" s="725"/>
      <c r="G21" s="1916"/>
      <c r="H21" s="1916"/>
    </row>
    <row r="22" spans="1:11" ht="25.5" customHeight="1" x14ac:dyDescent="0.35">
      <c r="C22" s="2373"/>
      <c r="D22" s="2373"/>
      <c r="G22" s="2374"/>
      <c r="H22" s="2374"/>
    </row>
    <row r="23" spans="1:11" ht="25.5" customHeight="1" x14ac:dyDescent="0.35"/>
    <row r="24" spans="1:11" ht="45" customHeight="1" x14ac:dyDescent="0.25">
      <c r="A24" s="2376" t="s">
        <v>956</v>
      </c>
      <c r="B24" s="2376"/>
      <c r="C24" s="2376"/>
      <c r="D24" s="2376"/>
      <c r="E24" s="2376"/>
      <c r="F24" s="2376"/>
      <c r="G24" s="2376"/>
      <c r="H24" s="2376"/>
      <c r="I24" s="2376"/>
      <c r="J24" s="2376"/>
      <c r="K24" s="2376"/>
    </row>
    <row r="25" spans="1:11" ht="25.5" customHeight="1" x14ac:dyDescent="0.35">
      <c r="A25" s="1069" t="s">
        <v>1130</v>
      </c>
      <c r="B25" s="1070">
        <f>B2</f>
        <v>0</v>
      </c>
      <c r="C25" s="925"/>
      <c r="D25" s="1068" t="s">
        <v>246</v>
      </c>
      <c r="E25" s="1071">
        <v>2</v>
      </c>
      <c r="F25" s="925"/>
      <c r="G25" s="925"/>
      <c r="H25" s="1068" t="s">
        <v>61</v>
      </c>
      <c r="I25" s="1072"/>
      <c r="J25" s="723"/>
    </row>
    <row r="26" spans="1:11" ht="25.5" customHeight="1" x14ac:dyDescent="0.35"/>
    <row r="27" spans="1:11" ht="25.5" customHeight="1" x14ac:dyDescent="0.3">
      <c r="A27" s="933" t="s">
        <v>4</v>
      </c>
      <c r="B27" s="928">
        <v>1059</v>
      </c>
      <c r="C27" s="929" t="s">
        <v>14</v>
      </c>
      <c r="D27" s="928" t="s">
        <v>7</v>
      </c>
      <c r="E27" s="928" t="s">
        <v>164</v>
      </c>
      <c r="F27" s="928" t="s">
        <v>15</v>
      </c>
      <c r="G27" s="928" t="s">
        <v>574</v>
      </c>
      <c r="H27" s="928">
        <v>12</v>
      </c>
      <c r="I27" s="928">
        <v>1859</v>
      </c>
      <c r="J27" s="928" t="s">
        <v>171</v>
      </c>
      <c r="K27" s="928" t="s">
        <v>18</v>
      </c>
    </row>
    <row r="28" spans="1:11" ht="25.5" customHeight="1" x14ac:dyDescent="0.35">
      <c r="A28" s="726">
        <v>0.33333333333333331</v>
      </c>
      <c r="B28" s="228"/>
      <c r="C28" s="228"/>
      <c r="D28" s="228"/>
      <c r="E28" s="228"/>
      <c r="F28" s="228"/>
      <c r="G28" s="362"/>
      <c r="H28" s="228"/>
      <c r="I28" s="228"/>
      <c r="J28" s="228"/>
      <c r="K28" s="362"/>
    </row>
    <row r="29" spans="1:11" ht="25.5" customHeight="1" x14ac:dyDescent="0.35">
      <c r="A29" s="726">
        <v>0.375</v>
      </c>
      <c r="B29" s="228"/>
      <c r="C29" s="228"/>
      <c r="D29" s="228"/>
      <c r="E29" s="228"/>
      <c r="F29" s="228"/>
      <c r="G29" s="362"/>
      <c r="H29" s="228"/>
      <c r="I29" s="228"/>
      <c r="J29" s="228"/>
      <c r="K29" s="362"/>
    </row>
    <row r="30" spans="1:11" s="587" customFormat="1" ht="25.5" customHeight="1" x14ac:dyDescent="0.35">
      <c r="A30" s="726">
        <v>0.41666666666666702</v>
      </c>
      <c r="B30" s="228"/>
      <c r="C30" s="228"/>
      <c r="D30" s="228"/>
      <c r="E30" s="228"/>
      <c r="F30" s="228"/>
      <c r="G30" s="362"/>
      <c r="H30" s="228"/>
      <c r="I30" s="228"/>
      <c r="J30" s="228"/>
      <c r="K30" s="362"/>
    </row>
    <row r="31" spans="1:11" s="587" customFormat="1" ht="25.5" customHeight="1" x14ac:dyDescent="0.35">
      <c r="A31" s="726">
        <v>0.45833333333333298</v>
      </c>
      <c r="B31" s="228"/>
      <c r="C31" s="228"/>
      <c r="D31" s="228"/>
      <c r="E31" s="228"/>
      <c r="F31" s="228"/>
      <c r="G31" s="362"/>
      <c r="H31" s="228"/>
      <c r="I31" s="228"/>
      <c r="J31" s="228"/>
      <c r="K31" s="362"/>
    </row>
    <row r="32" spans="1:11" s="587" customFormat="1" ht="25.5" customHeight="1" x14ac:dyDescent="0.35">
      <c r="A32" s="726">
        <v>0.5</v>
      </c>
      <c r="B32" s="228"/>
      <c r="C32" s="228"/>
      <c r="D32" s="228"/>
      <c r="E32" s="228"/>
      <c r="F32" s="228"/>
      <c r="G32" s="362"/>
      <c r="H32" s="228"/>
      <c r="I32" s="228"/>
      <c r="J32" s="228"/>
      <c r="K32" s="362"/>
    </row>
    <row r="33" spans="1:11" s="587" customFormat="1" ht="25.5" customHeight="1" x14ac:dyDescent="0.35">
      <c r="A33" s="726">
        <v>0.54166666666666696</v>
      </c>
      <c r="B33" s="228"/>
      <c r="C33" s="228"/>
      <c r="D33" s="228"/>
      <c r="E33" s="228"/>
      <c r="F33" s="228"/>
      <c r="G33" s="362"/>
      <c r="H33" s="228"/>
      <c r="I33" s="228"/>
      <c r="J33" s="228"/>
      <c r="K33" s="362"/>
    </row>
    <row r="34" spans="1:11" ht="25.5" customHeight="1" x14ac:dyDescent="0.35">
      <c r="A34" s="726">
        <v>0.58333333333333304</v>
      </c>
      <c r="B34" s="228"/>
      <c r="C34" s="228"/>
      <c r="D34" s="228"/>
      <c r="E34" s="228"/>
      <c r="F34" s="228"/>
      <c r="G34" s="362"/>
      <c r="H34" s="228"/>
      <c r="I34" s="228"/>
      <c r="J34" s="228"/>
      <c r="K34" s="362"/>
    </row>
    <row r="35" spans="1:11" ht="25.5" customHeight="1" x14ac:dyDescent="0.35">
      <c r="A35" s="726">
        <v>0.625</v>
      </c>
      <c r="B35" s="228"/>
      <c r="C35" s="228"/>
      <c r="D35" s="228"/>
      <c r="E35" s="362"/>
      <c r="F35" s="228"/>
      <c r="G35" s="362"/>
      <c r="H35" s="228"/>
      <c r="I35" s="228"/>
      <c r="J35" s="228"/>
      <c r="K35" s="362"/>
    </row>
    <row r="36" spans="1:11" ht="25.5" customHeight="1" x14ac:dyDescent="0.35">
      <c r="A36" s="726">
        <v>0.66666666666666696</v>
      </c>
      <c r="B36" s="362"/>
      <c r="C36" s="228"/>
      <c r="D36" s="228"/>
      <c r="E36" s="228"/>
      <c r="F36" s="228"/>
      <c r="G36" s="362"/>
      <c r="H36" s="362"/>
      <c r="I36" s="228"/>
      <c r="J36" s="228"/>
      <c r="K36" s="362"/>
    </row>
    <row r="37" spans="1:11" ht="25.5" customHeight="1" x14ac:dyDescent="0.35">
      <c r="A37" s="726">
        <v>0.70833333333333304</v>
      </c>
      <c r="B37" s="228"/>
      <c r="C37" s="228"/>
      <c r="D37" s="228"/>
      <c r="E37" s="228"/>
      <c r="F37" s="228"/>
      <c r="G37" s="362"/>
      <c r="H37" s="228"/>
      <c r="I37" s="228"/>
      <c r="J37" s="228"/>
      <c r="K37" s="362"/>
    </row>
    <row r="38" spans="1:11" ht="25.5" customHeight="1" x14ac:dyDescent="0.35">
      <c r="A38" s="726">
        <v>0.75</v>
      </c>
      <c r="B38" s="228"/>
      <c r="C38" s="228"/>
      <c r="D38" s="228"/>
      <c r="E38" s="228"/>
      <c r="F38" s="228"/>
      <c r="G38" s="362"/>
      <c r="H38" s="228"/>
      <c r="I38" s="228"/>
      <c r="J38" s="228"/>
      <c r="K38" s="362"/>
    </row>
    <row r="39" spans="1:11" ht="25.5" customHeight="1" thickBot="1" x14ac:dyDescent="0.4">
      <c r="A39" s="934">
        <v>0.79166666666666696</v>
      </c>
      <c r="B39" s="935"/>
      <c r="C39" s="365"/>
      <c r="D39" s="365"/>
      <c r="E39" s="365"/>
      <c r="F39" s="365"/>
      <c r="G39" s="935"/>
      <c r="H39" s="365"/>
      <c r="I39" s="365"/>
      <c r="J39" s="365"/>
      <c r="K39" s="935"/>
    </row>
    <row r="40" spans="1:11" ht="25.5" customHeight="1" thickBot="1" x14ac:dyDescent="0.4">
      <c r="A40" s="930" t="s">
        <v>151</v>
      </c>
      <c r="B40" s="936" t="e">
        <f>AVERAGE(B28:B39)</f>
        <v>#DIV/0!</v>
      </c>
      <c r="C40" s="936" t="e">
        <f t="shared" ref="C40:K40" si="2">AVERAGE(C28:C39)</f>
        <v>#DIV/0!</v>
      </c>
      <c r="D40" s="936" t="e">
        <f t="shared" si="2"/>
        <v>#DIV/0!</v>
      </c>
      <c r="E40" s="936" t="e">
        <f t="shared" si="2"/>
        <v>#DIV/0!</v>
      </c>
      <c r="F40" s="936" t="e">
        <f t="shared" si="2"/>
        <v>#DIV/0!</v>
      </c>
      <c r="G40" s="936" t="e">
        <f t="shared" si="2"/>
        <v>#DIV/0!</v>
      </c>
      <c r="H40" s="936" t="e">
        <f t="shared" si="2"/>
        <v>#DIV/0!</v>
      </c>
      <c r="I40" s="936" t="e">
        <f t="shared" si="2"/>
        <v>#DIV/0!</v>
      </c>
      <c r="J40" s="378" t="e">
        <f t="shared" si="2"/>
        <v>#DIV/0!</v>
      </c>
      <c r="K40" s="932" t="e">
        <f t="shared" si="2"/>
        <v>#DIV/0!</v>
      </c>
    </row>
    <row r="41" spans="1:11" ht="25.5" customHeight="1" x14ac:dyDescent="0.35"/>
    <row r="42" spans="1:11" ht="25.5" customHeight="1" x14ac:dyDescent="0.35">
      <c r="C42" s="2374" t="s">
        <v>1131</v>
      </c>
      <c r="D42" s="2374"/>
      <c r="F42" s="725"/>
      <c r="G42" s="2374" t="s">
        <v>199</v>
      </c>
      <c r="H42" s="2374"/>
    </row>
    <row r="43" spans="1:11" ht="22.5" customHeight="1" x14ac:dyDescent="0.35">
      <c r="A43" s="2375" t="s">
        <v>1132</v>
      </c>
      <c r="B43" s="2375"/>
      <c r="C43" s="2373"/>
      <c r="D43" s="2373"/>
      <c r="F43" s="725"/>
      <c r="G43" s="1916"/>
      <c r="H43" s="1916"/>
    </row>
    <row r="44" spans="1:11" ht="22.5" customHeight="1" x14ac:dyDescent="0.35">
      <c r="C44" s="2373"/>
      <c r="D44" s="2373"/>
      <c r="F44" s="725"/>
      <c r="G44" s="1916"/>
      <c r="H44" s="1916"/>
    </row>
    <row r="45" spans="1:11" ht="22.5" customHeight="1" x14ac:dyDescent="0.35">
      <c r="C45" s="2373"/>
      <c r="D45" s="2373"/>
      <c r="G45" s="2374"/>
      <c r="H45" s="2374"/>
    </row>
  </sheetData>
  <protectedRanges>
    <protectedRange password="CC51" sqref="B17:K17 B40:K40" name="Диапазон24"/>
  </protectedRanges>
  <customSheetViews>
    <customSheetView guid="{9AA7F8D2-F967-49D0-A431-45AC7CAADBAA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  <customSheetView guid="{088AEEB3-F71F-4FD6-B49B-55643D920FC6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  <customSheetView guid="{29BD9A5E-D50F-4A88-A654-39BA9D666C53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  <customSheetView guid="{D9EA6DAB-3BBE-4AEB-835D-410DB85E8702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  <customSheetView guid="{CFB4A573-2790-4D20-894C-21E3B146481E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  <customSheetView guid="{B2A463F0-D351-4C59-A7CF-DC4487562EFC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</customSheetViews>
  <mergeCells count="20">
    <mergeCell ref="A1:K1"/>
    <mergeCell ref="C42:D42"/>
    <mergeCell ref="G42:H42"/>
    <mergeCell ref="C19:D19"/>
    <mergeCell ref="G19:H19"/>
    <mergeCell ref="A20:B20"/>
    <mergeCell ref="C20:D20"/>
    <mergeCell ref="G20:H20"/>
    <mergeCell ref="A24:K24"/>
    <mergeCell ref="C21:D21"/>
    <mergeCell ref="G21:H21"/>
    <mergeCell ref="C22:D22"/>
    <mergeCell ref="G22:H22"/>
    <mergeCell ref="C45:D45"/>
    <mergeCell ref="G45:H45"/>
    <mergeCell ref="A43:B43"/>
    <mergeCell ref="C43:D43"/>
    <mergeCell ref="G43:H43"/>
    <mergeCell ref="C44:D44"/>
    <mergeCell ref="G44:H44"/>
  </mergeCells>
  <pageMargins left="0.7" right="0.7" top="0.75" bottom="0.75" header="0.3" footer="0.3"/>
  <rowBreaks count="1" manualBreakCount="1">
    <brk id="23" max="1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T238"/>
  <sheetViews>
    <sheetView view="pageBreakPreview" topLeftCell="A46" zoomScale="68" zoomScaleNormal="60" zoomScaleSheetLayoutView="68" workbookViewId="0">
      <selection activeCell="A3" sqref="A3:G3"/>
    </sheetView>
  </sheetViews>
  <sheetFormatPr defaultColWidth="9.109375" defaultRowHeight="16.8" x14ac:dyDescent="0.3"/>
  <cols>
    <col min="1" max="1" width="10" style="597" customWidth="1"/>
    <col min="2" max="2" width="47.44140625" style="598" customWidth="1"/>
    <col min="3" max="3" width="51.6640625" style="599" customWidth="1"/>
    <col min="4" max="4" width="30.44140625" style="598" customWidth="1"/>
    <col min="5" max="5" width="21.5546875" style="598" customWidth="1"/>
    <col min="6" max="6" width="57.5546875" style="598" customWidth="1"/>
    <col min="7" max="7" width="28.88671875" style="598" customWidth="1"/>
    <col min="8" max="8" width="14.88671875" style="587" customWidth="1"/>
    <col min="9" max="16384" width="9.109375" style="587"/>
  </cols>
  <sheetData>
    <row r="1" spans="1:8" s="722" customFormat="1" ht="21" customHeight="1" x14ac:dyDescent="0.25">
      <c r="A1" s="2440" t="s">
        <v>374</v>
      </c>
      <c r="B1" s="2440"/>
      <c r="C1" s="2440"/>
      <c r="D1" s="2440"/>
      <c r="E1" s="2440"/>
      <c r="F1" s="2440"/>
      <c r="G1" s="2440"/>
      <c r="H1" s="1083"/>
    </row>
    <row r="2" spans="1:8" s="722" customFormat="1" ht="21" customHeight="1" x14ac:dyDescent="0.25">
      <c r="A2" s="2440" t="s">
        <v>483</v>
      </c>
      <c r="B2" s="2440"/>
      <c r="C2" s="2440"/>
      <c r="D2" s="2440"/>
      <c r="E2" s="2440"/>
      <c r="F2" s="2440"/>
      <c r="G2" s="2440"/>
    </row>
    <row r="3" spans="1:8" s="722" customFormat="1" ht="21" customHeight="1" x14ac:dyDescent="0.25">
      <c r="A3" s="2441" t="s">
        <v>1516</v>
      </c>
      <c r="B3" s="2441"/>
      <c r="C3" s="2441"/>
      <c r="D3" s="2441"/>
      <c r="E3" s="2441"/>
      <c r="F3" s="2441"/>
      <c r="G3" s="2441"/>
      <c r="H3" s="1453" t="s">
        <v>1518</v>
      </c>
    </row>
    <row r="4" spans="1:8" ht="82.5" customHeight="1" x14ac:dyDescent="0.3">
      <c r="A4" s="1095" t="s">
        <v>447</v>
      </c>
      <c r="B4" s="1096" t="s">
        <v>229</v>
      </c>
      <c r="C4" s="1096" t="s">
        <v>230</v>
      </c>
      <c r="D4" s="1096" t="s">
        <v>231</v>
      </c>
      <c r="E4" s="1096" t="s">
        <v>487</v>
      </c>
      <c r="F4" s="1096" t="s">
        <v>193</v>
      </c>
      <c r="G4" s="1096" t="s">
        <v>446</v>
      </c>
      <c r="H4" s="114"/>
    </row>
    <row r="5" spans="1:8" x14ac:dyDescent="0.3">
      <c r="A5" s="1097">
        <v>1</v>
      </c>
      <c r="B5" s="1098">
        <v>2</v>
      </c>
      <c r="C5" s="1099">
        <v>3</v>
      </c>
      <c r="D5" s="1098">
        <v>4</v>
      </c>
      <c r="E5" s="1098">
        <v>5</v>
      </c>
      <c r="F5" s="1098">
        <v>6</v>
      </c>
      <c r="G5" s="1098">
        <v>7</v>
      </c>
      <c r="H5" s="110"/>
    </row>
    <row r="6" spans="1:8" ht="24" customHeight="1" x14ac:dyDescent="0.3">
      <c r="A6" s="2426" t="s">
        <v>1162</v>
      </c>
      <c r="B6" s="2427"/>
      <c r="C6" s="2427"/>
      <c r="D6" s="2427"/>
      <c r="E6" s="2427"/>
      <c r="F6" s="2427"/>
      <c r="G6" s="2428"/>
      <c r="H6" s="110"/>
    </row>
    <row r="7" spans="1:8" s="193" customFormat="1" ht="17.25" customHeight="1" x14ac:dyDescent="0.3">
      <c r="A7" s="2408" t="s">
        <v>196</v>
      </c>
      <c r="B7" s="2396" t="s">
        <v>489</v>
      </c>
      <c r="C7" s="1090" t="s">
        <v>808</v>
      </c>
      <c r="D7" s="1100" t="s">
        <v>197</v>
      </c>
      <c r="E7" s="1100"/>
      <c r="F7" s="1100" t="s">
        <v>809</v>
      </c>
      <c r="G7" s="1100" t="s">
        <v>208</v>
      </c>
      <c r="H7" s="110"/>
    </row>
    <row r="8" spans="1:8" s="596" customFormat="1" ht="35.25" customHeight="1" x14ac:dyDescent="0.25">
      <c r="A8" s="2410"/>
      <c r="B8" s="2398"/>
      <c r="C8" s="1090" t="s">
        <v>490</v>
      </c>
      <c r="D8" s="1100" t="s">
        <v>197</v>
      </c>
      <c r="E8" s="1100">
        <v>25</v>
      </c>
      <c r="F8" s="1100" t="s">
        <v>198</v>
      </c>
      <c r="G8" s="1100" t="s">
        <v>199</v>
      </c>
      <c r="H8" s="589"/>
    </row>
    <row r="9" spans="1:8" s="596" customFormat="1" ht="20.25" customHeight="1" x14ac:dyDescent="0.25">
      <c r="A9" s="2408" t="s">
        <v>200</v>
      </c>
      <c r="B9" s="2396" t="s">
        <v>201</v>
      </c>
      <c r="C9" s="1090" t="s">
        <v>808</v>
      </c>
      <c r="D9" s="1100" t="s">
        <v>197</v>
      </c>
      <c r="E9" s="1100"/>
      <c r="F9" s="1100" t="s">
        <v>809</v>
      </c>
      <c r="G9" s="1100" t="s">
        <v>208</v>
      </c>
      <c r="H9" s="589"/>
    </row>
    <row r="10" spans="1:8" s="596" customFormat="1" ht="35.25" customHeight="1" x14ac:dyDescent="0.25">
      <c r="A10" s="2409"/>
      <c r="B10" s="2397"/>
      <c r="C10" s="1090" t="s">
        <v>228</v>
      </c>
      <c r="D10" s="1100" t="s">
        <v>202</v>
      </c>
      <c r="E10" s="1101">
        <v>30</v>
      </c>
      <c r="F10" s="2442" t="s">
        <v>1524</v>
      </c>
      <c r="G10" s="2442" t="s">
        <v>203</v>
      </c>
      <c r="H10" s="589"/>
    </row>
    <row r="11" spans="1:8" s="596" customFormat="1" ht="82.5" customHeight="1" x14ac:dyDescent="0.25">
      <c r="A11" s="2410"/>
      <c r="B11" s="2398"/>
      <c r="C11" s="1090" t="s">
        <v>491</v>
      </c>
      <c r="D11" s="1100" t="s">
        <v>810</v>
      </c>
      <c r="E11" s="1101">
        <v>1</v>
      </c>
      <c r="F11" s="2443"/>
      <c r="G11" s="2443"/>
      <c r="H11" s="589"/>
    </row>
    <row r="12" spans="1:8" s="596" customFormat="1" ht="18" customHeight="1" x14ac:dyDescent="0.25">
      <c r="A12" s="2408" t="s">
        <v>811</v>
      </c>
      <c r="B12" s="2396" t="s">
        <v>812</v>
      </c>
      <c r="C12" s="1090" t="s">
        <v>808</v>
      </c>
      <c r="D12" s="1100" t="s">
        <v>197</v>
      </c>
      <c r="E12" s="1100"/>
      <c r="F12" s="1100" t="s">
        <v>809</v>
      </c>
      <c r="G12" s="1100" t="s">
        <v>208</v>
      </c>
      <c r="H12" s="589"/>
    </row>
    <row r="13" spans="1:8" s="596" customFormat="1" ht="35.25" customHeight="1" x14ac:dyDescent="0.25">
      <c r="A13" s="2409"/>
      <c r="B13" s="2397"/>
      <c r="C13" s="1090" t="s">
        <v>813</v>
      </c>
      <c r="D13" s="1100" t="s">
        <v>202</v>
      </c>
      <c r="E13" s="1101" t="s">
        <v>1522</v>
      </c>
      <c r="F13" s="2442" t="s">
        <v>814</v>
      </c>
      <c r="G13" s="2442" t="s">
        <v>203</v>
      </c>
      <c r="H13" s="589"/>
    </row>
    <row r="14" spans="1:8" s="596" customFormat="1" ht="109.5" customHeight="1" x14ac:dyDescent="0.25">
      <c r="A14" s="2410"/>
      <c r="B14" s="2398"/>
      <c r="C14" s="1102" t="s">
        <v>815</v>
      </c>
      <c r="D14" s="1100" t="s">
        <v>810</v>
      </c>
      <c r="E14" s="1101" t="s">
        <v>1523</v>
      </c>
      <c r="F14" s="2443"/>
      <c r="G14" s="2443"/>
      <c r="H14" s="589"/>
    </row>
    <row r="15" spans="1:8" s="596" customFormat="1" ht="22.5" customHeight="1" x14ac:dyDescent="0.25">
      <c r="A15" s="2408" t="s">
        <v>816</v>
      </c>
      <c r="B15" s="2396" t="s">
        <v>817</v>
      </c>
      <c r="C15" s="1090" t="s">
        <v>808</v>
      </c>
      <c r="D15" s="1100" t="s">
        <v>197</v>
      </c>
      <c r="E15" s="1100"/>
      <c r="F15" s="1100" t="s">
        <v>809</v>
      </c>
      <c r="G15" s="1100" t="s">
        <v>208</v>
      </c>
      <c r="H15" s="589"/>
    </row>
    <row r="16" spans="1:8" s="596" customFormat="1" ht="38.25" customHeight="1" x14ac:dyDescent="0.25">
      <c r="A16" s="2409"/>
      <c r="B16" s="2397"/>
      <c r="C16" s="1090" t="s">
        <v>813</v>
      </c>
      <c r="D16" s="1100" t="s">
        <v>202</v>
      </c>
      <c r="E16" s="1103">
        <v>22</v>
      </c>
      <c r="F16" s="2442" t="s">
        <v>818</v>
      </c>
      <c r="G16" s="2442" t="s">
        <v>203</v>
      </c>
      <c r="H16" s="589"/>
    </row>
    <row r="17" spans="1:8" s="596" customFormat="1" ht="102" customHeight="1" x14ac:dyDescent="0.25">
      <c r="A17" s="2410"/>
      <c r="B17" s="2398"/>
      <c r="C17" s="1090" t="s">
        <v>815</v>
      </c>
      <c r="D17" s="1100" t="s">
        <v>810</v>
      </c>
      <c r="E17" s="1103">
        <v>3</v>
      </c>
      <c r="F17" s="2443"/>
      <c r="G17" s="2443"/>
      <c r="H17" s="589"/>
    </row>
    <row r="18" spans="1:8" s="596" customFormat="1" ht="100.5" customHeight="1" x14ac:dyDescent="0.25">
      <c r="A18" s="2437" t="s">
        <v>819</v>
      </c>
      <c r="B18" s="2438" t="s">
        <v>204</v>
      </c>
      <c r="C18" s="1090" t="s">
        <v>820</v>
      </c>
      <c r="D18" s="1454" t="s">
        <v>1527</v>
      </c>
      <c r="E18" s="1091" t="s">
        <v>1525</v>
      </c>
      <c r="F18" s="1454" t="s">
        <v>1526</v>
      </c>
      <c r="G18" s="1454" t="s">
        <v>1528</v>
      </c>
      <c r="H18" s="588"/>
    </row>
    <row r="19" spans="1:8" s="596" customFormat="1" ht="100.5" customHeight="1" x14ac:dyDescent="0.25">
      <c r="A19" s="2437"/>
      <c r="B19" s="2438"/>
      <c r="C19" s="1090" t="s">
        <v>821</v>
      </c>
      <c r="D19" s="1454" t="s">
        <v>1532</v>
      </c>
      <c r="E19" s="1454" t="s">
        <v>1530</v>
      </c>
      <c r="F19" s="1454" t="s">
        <v>1531</v>
      </c>
      <c r="G19" s="1454" t="s">
        <v>1533</v>
      </c>
      <c r="H19" s="589"/>
    </row>
    <row r="20" spans="1:8" s="596" customFormat="1" ht="105" customHeight="1" x14ac:dyDescent="0.25">
      <c r="A20" s="2437"/>
      <c r="B20" s="2438"/>
      <c r="C20" s="1090" t="s">
        <v>822</v>
      </c>
      <c r="D20" s="2439" t="s">
        <v>1534</v>
      </c>
      <c r="E20" s="1104" t="s">
        <v>1529</v>
      </c>
      <c r="F20" s="1454" t="s">
        <v>1535</v>
      </c>
      <c r="G20" s="2439" t="s">
        <v>206</v>
      </c>
      <c r="H20" s="588"/>
    </row>
    <row r="21" spans="1:8" s="596" customFormat="1" ht="66" customHeight="1" x14ac:dyDescent="0.25">
      <c r="A21" s="2437"/>
      <c r="B21" s="2438"/>
      <c r="C21" s="1090" t="s">
        <v>823</v>
      </c>
      <c r="D21" s="2439"/>
      <c r="E21" s="1104" t="s">
        <v>1521</v>
      </c>
      <c r="F21" s="1455" t="s">
        <v>1536</v>
      </c>
      <c r="G21" s="2439"/>
      <c r="H21" s="111"/>
    </row>
    <row r="22" spans="1:8" s="115" customFormat="1" ht="102" customHeight="1" x14ac:dyDescent="0.25">
      <c r="A22" s="2437"/>
      <c r="B22" s="2438"/>
      <c r="C22" s="1090" t="s">
        <v>824</v>
      </c>
      <c r="D22" s="2439"/>
      <c r="E22" s="1455" t="s">
        <v>1537</v>
      </c>
      <c r="F22" s="1455" t="s">
        <v>1538</v>
      </c>
      <c r="G22" s="2439"/>
      <c r="H22" s="589"/>
    </row>
    <row r="23" spans="1:8" s="115" customFormat="1" ht="102" customHeight="1" x14ac:dyDescent="0.25">
      <c r="A23" s="2437"/>
      <c r="B23" s="2438"/>
      <c r="C23" s="1090" t="s">
        <v>825</v>
      </c>
      <c r="D23" s="2439"/>
      <c r="E23" s="1455" t="s">
        <v>1539</v>
      </c>
      <c r="F23" s="1455" t="s">
        <v>1540</v>
      </c>
      <c r="G23" s="2439"/>
      <c r="H23" s="588"/>
    </row>
    <row r="24" spans="1:8" s="115" customFormat="1" ht="61.5" customHeight="1" x14ac:dyDescent="0.25">
      <c r="A24" s="2437"/>
      <c r="B24" s="2438"/>
      <c r="C24" s="1090" t="s">
        <v>826</v>
      </c>
      <c r="D24" s="2439"/>
      <c r="E24" s="1100" t="s">
        <v>405</v>
      </c>
      <c r="F24" s="1100" t="s">
        <v>827</v>
      </c>
      <c r="G24" s="2439"/>
      <c r="H24" s="588"/>
    </row>
    <row r="25" spans="1:8" s="115" customFormat="1" ht="24" customHeight="1" x14ac:dyDescent="0.25">
      <c r="A25" s="2426" t="s">
        <v>1475</v>
      </c>
      <c r="B25" s="2427"/>
      <c r="C25" s="2427"/>
      <c r="D25" s="2427"/>
      <c r="E25" s="2427"/>
      <c r="F25" s="2427"/>
      <c r="G25" s="2428"/>
      <c r="H25" s="113"/>
    </row>
    <row r="26" spans="1:8" s="115" customFormat="1" ht="21.75" customHeight="1" x14ac:dyDescent="0.25">
      <c r="A26" s="2408" t="s">
        <v>494</v>
      </c>
      <c r="B26" s="2434" t="s">
        <v>1451</v>
      </c>
      <c r="C26" s="1090" t="s">
        <v>207</v>
      </c>
      <c r="D26" s="1100" t="s">
        <v>210</v>
      </c>
      <c r="E26" s="1100"/>
      <c r="F26" s="1447" t="s">
        <v>1467</v>
      </c>
      <c r="G26" s="1100" t="s">
        <v>208</v>
      </c>
      <c r="H26" s="113"/>
    </row>
    <row r="27" spans="1:8" s="115" customFormat="1" ht="82.5" customHeight="1" x14ac:dyDescent="0.25">
      <c r="A27" s="2409"/>
      <c r="B27" s="2436"/>
      <c r="C27" s="1090" t="s">
        <v>492</v>
      </c>
      <c r="D27" s="1455" t="s">
        <v>1541</v>
      </c>
      <c r="E27" s="1100" t="s">
        <v>493</v>
      </c>
      <c r="F27" s="1447" t="s">
        <v>1468</v>
      </c>
      <c r="G27" s="1454" t="s">
        <v>1480</v>
      </c>
      <c r="H27" s="588"/>
    </row>
    <row r="28" spans="1:8" s="115" customFormat="1" ht="54.75" customHeight="1" x14ac:dyDescent="0.25">
      <c r="A28" s="2409"/>
      <c r="B28" s="2436"/>
      <c r="C28" s="1090" t="s">
        <v>828</v>
      </c>
      <c r="D28" s="1455" t="s">
        <v>1542</v>
      </c>
      <c r="E28" s="1454" t="s">
        <v>1521</v>
      </c>
      <c r="F28" s="1100" t="s">
        <v>829</v>
      </c>
      <c r="G28" s="1100" t="s">
        <v>203</v>
      </c>
      <c r="H28" s="588"/>
    </row>
    <row r="29" spans="1:8" s="115" customFormat="1" ht="57.75" customHeight="1" x14ac:dyDescent="0.25">
      <c r="A29" s="2410"/>
      <c r="B29" s="2435"/>
      <c r="C29" s="1090" t="s">
        <v>1448</v>
      </c>
      <c r="D29" s="1455" t="s">
        <v>1542</v>
      </c>
      <c r="E29" s="1454" t="s">
        <v>1521</v>
      </c>
      <c r="F29" s="1100" t="s">
        <v>830</v>
      </c>
      <c r="G29" s="1100" t="s">
        <v>203</v>
      </c>
      <c r="H29" s="113"/>
    </row>
    <row r="30" spans="1:8" s="115" customFormat="1" ht="35.25" customHeight="1" x14ac:dyDescent="0.25">
      <c r="A30" s="2408" t="s">
        <v>495</v>
      </c>
      <c r="B30" s="2434" t="s">
        <v>553</v>
      </c>
      <c r="C30" s="1090" t="s">
        <v>207</v>
      </c>
      <c r="D30" s="1100" t="s">
        <v>205</v>
      </c>
      <c r="E30" s="1100"/>
      <c r="F30" s="1447" t="s">
        <v>1462</v>
      </c>
      <c r="G30" s="1100" t="s">
        <v>211</v>
      </c>
      <c r="H30" s="588"/>
    </row>
    <row r="31" spans="1:8" s="115" customFormat="1" ht="87.75" customHeight="1" x14ac:dyDescent="0.25">
      <c r="A31" s="2410"/>
      <c r="B31" s="2435"/>
      <c r="C31" s="1090" t="s">
        <v>1458</v>
      </c>
      <c r="D31" s="1100" t="s">
        <v>205</v>
      </c>
      <c r="E31" s="1105">
        <v>0.8</v>
      </c>
      <c r="F31" s="1447" t="s">
        <v>832</v>
      </c>
      <c r="G31" s="1100" t="s">
        <v>203</v>
      </c>
      <c r="H31" s="113"/>
    </row>
    <row r="32" spans="1:8" s="115" customFormat="1" ht="27" customHeight="1" x14ac:dyDescent="0.25">
      <c r="A32" s="2408" t="s">
        <v>496</v>
      </c>
      <c r="B32" s="2434" t="s">
        <v>498</v>
      </c>
      <c r="C32" s="1090" t="s">
        <v>207</v>
      </c>
      <c r="D32" s="1100" t="s">
        <v>210</v>
      </c>
      <c r="E32" s="1100"/>
      <c r="F32" s="1447" t="s">
        <v>1467</v>
      </c>
      <c r="G32" s="1100" t="s">
        <v>208</v>
      </c>
      <c r="H32" s="589"/>
    </row>
    <row r="33" spans="1:8" s="115" customFormat="1" ht="71.25" customHeight="1" x14ac:dyDescent="0.25">
      <c r="A33" s="2409"/>
      <c r="B33" s="2436"/>
      <c r="C33" s="1090" t="s">
        <v>492</v>
      </c>
      <c r="D33" s="1454" t="s">
        <v>1519</v>
      </c>
      <c r="E33" s="1100" t="s">
        <v>902</v>
      </c>
      <c r="F33" s="1447" t="s">
        <v>1464</v>
      </c>
      <c r="G33" s="1454" t="s">
        <v>1520</v>
      </c>
      <c r="H33" s="589"/>
    </row>
    <row r="34" spans="1:8" s="115" customFormat="1" ht="56.25" customHeight="1" x14ac:dyDescent="0.25">
      <c r="A34" s="2409"/>
      <c r="B34" s="2436"/>
      <c r="C34" s="1090" t="s">
        <v>828</v>
      </c>
      <c r="D34" s="1100" t="s">
        <v>406</v>
      </c>
      <c r="E34" s="1454" t="s">
        <v>1521</v>
      </c>
      <c r="F34" s="1100" t="s">
        <v>829</v>
      </c>
      <c r="G34" s="1100" t="s">
        <v>203</v>
      </c>
      <c r="H34" s="588"/>
    </row>
    <row r="35" spans="1:8" s="115" customFormat="1" ht="51.75" customHeight="1" x14ac:dyDescent="0.25">
      <c r="A35" s="2410"/>
      <c r="B35" s="2435"/>
      <c r="C35" s="1090" t="s">
        <v>1448</v>
      </c>
      <c r="D35" s="1455" t="s">
        <v>1543</v>
      </c>
      <c r="E35" s="1454" t="s">
        <v>1521</v>
      </c>
      <c r="F35" s="1100" t="s">
        <v>830</v>
      </c>
      <c r="G35" s="1100" t="s">
        <v>203</v>
      </c>
      <c r="H35" s="588"/>
    </row>
    <row r="36" spans="1:8" s="115" customFormat="1" ht="37.5" customHeight="1" x14ac:dyDescent="0.25">
      <c r="A36" s="2408" t="s">
        <v>497</v>
      </c>
      <c r="B36" s="2434" t="s">
        <v>554</v>
      </c>
      <c r="C36" s="1090" t="s">
        <v>207</v>
      </c>
      <c r="D36" s="1447" t="s">
        <v>212</v>
      </c>
      <c r="E36" s="1100"/>
      <c r="F36" s="1447" t="s">
        <v>1463</v>
      </c>
      <c r="G36" s="1100" t="s">
        <v>211</v>
      </c>
      <c r="H36" s="588"/>
    </row>
    <row r="37" spans="1:8" s="115" customFormat="1" ht="72" customHeight="1" x14ac:dyDescent="0.25">
      <c r="A37" s="2409"/>
      <c r="B37" s="2436"/>
      <c r="C37" s="1090" t="s">
        <v>472</v>
      </c>
      <c r="D37" s="1447" t="s">
        <v>212</v>
      </c>
      <c r="E37" s="1101">
        <v>8</v>
      </c>
      <c r="F37" s="1447" t="s">
        <v>1465</v>
      </c>
      <c r="G37" s="1100" t="s">
        <v>203</v>
      </c>
      <c r="H37" s="588"/>
    </row>
    <row r="38" spans="1:8" s="115" customFormat="1" ht="34.5" customHeight="1" x14ac:dyDescent="0.25">
      <c r="A38" s="2409"/>
      <c r="B38" s="2436"/>
      <c r="C38" s="1090" t="s">
        <v>207</v>
      </c>
      <c r="D38" s="1447" t="s">
        <v>205</v>
      </c>
      <c r="E38" s="1101"/>
      <c r="F38" s="1447" t="s">
        <v>1462</v>
      </c>
      <c r="G38" s="1447" t="s">
        <v>211</v>
      </c>
      <c r="H38" s="1446"/>
    </row>
    <row r="39" spans="1:8" s="115" customFormat="1" ht="87" customHeight="1" x14ac:dyDescent="0.25">
      <c r="A39" s="2410"/>
      <c r="B39" s="2435"/>
      <c r="C39" s="1090" t="s">
        <v>1459</v>
      </c>
      <c r="D39" s="1100" t="s">
        <v>205</v>
      </c>
      <c r="E39" s="1105">
        <v>0.8</v>
      </c>
      <c r="F39" s="1100" t="s">
        <v>832</v>
      </c>
      <c r="G39" s="1100" t="s">
        <v>203</v>
      </c>
      <c r="H39" s="589"/>
    </row>
    <row r="40" spans="1:8" s="115" customFormat="1" ht="21.75" customHeight="1" x14ac:dyDescent="0.25">
      <c r="A40" s="2408" t="s">
        <v>500</v>
      </c>
      <c r="B40" s="2434" t="s">
        <v>501</v>
      </c>
      <c r="C40" s="1090" t="s">
        <v>207</v>
      </c>
      <c r="D40" s="1100" t="s">
        <v>210</v>
      </c>
      <c r="E40" s="1100"/>
      <c r="F40" s="1447" t="s">
        <v>1467</v>
      </c>
      <c r="G40" s="1100" t="s">
        <v>208</v>
      </c>
      <c r="H40" s="111"/>
    </row>
    <row r="41" spans="1:8" s="115" customFormat="1" ht="69" customHeight="1" x14ac:dyDescent="0.25">
      <c r="A41" s="2409"/>
      <c r="B41" s="2436"/>
      <c r="C41" s="1090" t="s">
        <v>471</v>
      </c>
      <c r="D41" s="1100" t="s">
        <v>499</v>
      </c>
      <c r="E41" s="1101" t="s">
        <v>903</v>
      </c>
      <c r="F41" s="1447" t="s">
        <v>1452</v>
      </c>
      <c r="G41" s="1100" t="s">
        <v>233</v>
      </c>
      <c r="H41" s="589"/>
    </row>
    <row r="42" spans="1:8" s="115" customFormat="1" ht="54.75" customHeight="1" x14ac:dyDescent="0.25">
      <c r="A42" s="2409"/>
      <c r="B42" s="2436"/>
      <c r="C42" s="1090" t="s">
        <v>828</v>
      </c>
      <c r="D42" s="1455" t="s">
        <v>1542</v>
      </c>
      <c r="E42" s="1454" t="s">
        <v>1521</v>
      </c>
      <c r="F42" s="1100" t="s">
        <v>829</v>
      </c>
      <c r="G42" s="1100" t="s">
        <v>203</v>
      </c>
      <c r="H42" s="589"/>
    </row>
    <row r="43" spans="1:8" s="115" customFormat="1" ht="54" customHeight="1" x14ac:dyDescent="0.25">
      <c r="A43" s="2410"/>
      <c r="B43" s="2435"/>
      <c r="C43" s="1090" t="s">
        <v>1448</v>
      </c>
      <c r="D43" s="1455" t="s">
        <v>1542</v>
      </c>
      <c r="E43" s="1454" t="s">
        <v>1521</v>
      </c>
      <c r="F43" s="1100" t="s">
        <v>830</v>
      </c>
      <c r="G43" s="1100" t="s">
        <v>203</v>
      </c>
      <c r="H43" s="588"/>
    </row>
    <row r="44" spans="1:8" s="115" customFormat="1" ht="35.25" customHeight="1" x14ac:dyDescent="0.25">
      <c r="A44" s="2408" t="s">
        <v>502</v>
      </c>
      <c r="B44" s="2434" t="s">
        <v>503</v>
      </c>
      <c r="C44" s="1090" t="s">
        <v>207</v>
      </c>
      <c r="D44" s="1100" t="s">
        <v>210</v>
      </c>
      <c r="E44" s="1100"/>
      <c r="F44" s="1447" t="s">
        <v>1463</v>
      </c>
      <c r="G44" s="1100" t="s">
        <v>211</v>
      </c>
      <c r="H44" s="588"/>
    </row>
    <row r="45" spans="1:8" s="115" customFormat="1" ht="71.25" customHeight="1" x14ac:dyDescent="0.25">
      <c r="A45" s="2410"/>
      <c r="B45" s="2435"/>
      <c r="C45" s="1090" t="s">
        <v>473</v>
      </c>
      <c r="D45" s="1100" t="s">
        <v>210</v>
      </c>
      <c r="E45" s="1101">
        <v>90</v>
      </c>
      <c r="F45" s="1447" t="s">
        <v>1465</v>
      </c>
      <c r="G45" s="1100" t="s">
        <v>203</v>
      </c>
      <c r="H45" s="589"/>
    </row>
    <row r="46" spans="1:8" s="115" customFormat="1" ht="25.5" customHeight="1" x14ac:dyDescent="0.25">
      <c r="A46" s="2408" t="s">
        <v>504</v>
      </c>
      <c r="B46" s="2434" t="s">
        <v>1460</v>
      </c>
      <c r="C46" s="1090" t="s">
        <v>207</v>
      </c>
      <c r="D46" s="1100" t="s">
        <v>210</v>
      </c>
      <c r="E46" s="1100"/>
      <c r="F46" s="1447" t="s">
        <v>1467</v>
      </c>
      <c r="G46" s="1100" t="s">
        <v>208</v>
      </c>
      <c r="H46" s="111"/>
    </row>
    <row r="47" spans="1:8" s="115" customFormat="1" ht="87" customHeight="1" x14ac:dyDescent="0.25">
      <c r="A47" s="2409"/>
      <c r="B47" s="2436"/>
      <c r="C47" s="1090" t="s">
        <v>833</v>
      </c>
      <c r="D47" s="1455" t="s">
        <v>1544</v>
      </c>
      <c r="E47" s="1100" t="s">
        <v>904</v>
      </c>
      <c r="F47" s="1447" t="s">
        <v>1476</v>
      </c>
      <c r="G47" s="1447" t="s">
        <v>1480</v>
      </c>
      <c r="H47" s="588"/>
    </row>
    <row r="48" spans="1:8" s="115" customFormat="1" ht="55.5" customHeight="1" x14ac:dyDescent="0.25">
      <c r="A48" s="2409"/>
      <c r="B48" s="2436"/>
      <c r="C48" s="1090" t="s">
        <v>834</v>
      </c>
      <c r="D48" s="1455" t="s">
        <v>1545</v>
      </c>
      <c r="E48" s="1100" t="s">
        <v>506</v>
      </c>
      <c r="F48" s="1100" t="s">
        <v>829</v>
      </c>
      <c r="G48" s="1100" t="s">
        <v>203</v>
      </c>
      <c r="H48" s="589"/>
    </row>
    <row r="49" spans="1:8" s="115" customFormat="1" ht="51.75" customHeight="1" x14ac:dyDescent="0.25">
      <c r="A49" s="2410"/>
      <c r="B49" s="2435"/>
      <c r="C49" s="1090" t="s">
        <v>1448</v>
      </c>
      <c r="D49" s="1455" t="s">
        <v>1545</v>
      </c>
      <c r="E49" s="1454" t="s">
        <v>1521</v>
      </c>
      <c r="F49" s="1100" t="s">
        <v>830</v>
      </c>
      <c r="G49" s="1100" t="s">
        <v>203</v>
      </c>
      <c r="H49" s="589"/>
    </row>
    <row r="50" spans="1:8" s="115" customFormat="1" ht="24" customHeight="1" x14ac:dyDescent="0.25">
      <c r="A50" s="2408" t="s">
        <v>505</v>
      </c>
      <c r="B50" s="2434" t="s">
        <v>1461</v>
      </c>
      <c r="C50" s="1090" t="s">
        <v>207</v>
      </c>
      <c r="D50" s="1100" t="s">
        <v>835</v>
      </c>
      <c r="E50" s="1100"/>
      <c r="F50" s="1447" t="s">
        <v>1467</v>
      </c>
      <c r="G50" s="1100" t="s">
        <v>208</v>
      </c>
      <c r="H50" s="113"/>
    </row>
    <row r="51" spans="1:8" s="115" customFormat="1" ht="88.5" customHeight="1" x14ac:dyDescent="0.25">
      <c r="A51" s="2409"/>
      <c r="B51" s="2436"/>
      <c r="C51" s="1090" t="s">
        <v>474</v>
      </c>
      <c r="D51" s="1447" t="s">
        <v>1481</v>
      </c>
      <c r="E51" s="1100" t="s">
        <v>905</v>
      </c>
      <c r="F51" s="1447" t="s">
        <v>1477</v>
      </c>
      <c r="G51" s="1447" t="s">
        <v>1482</v>
      </c>
      <c r="H51" s="588"/>
    </row>
    <row r="52" spans="1:8" s="115" customFormat="1" ht="51.75" customHeight="1" x14ac:dyDescent="0.25">
      <c r="A52" s="2409"/>
      <c r="B52" s="2436"/>
      <c r="C52" s="1090" t="s">
        <v>1466</v>
      </c>
      <c r="D52" s="1447" t="s">
        <v>876</v>
      </c>
      <c r="E52" s="1100" t="s">
        <v>906</v>
      </c>
      <c r="F52" s="1100" t="s">
        <v>829</v>
      </c>
      <c r="G52" s="1100" t="s">
        <v>203</v>
      </c>
      <c r="H52" s="589"/>
    </row>
    <row r="53" spans="1:8" s="115" customFormat="1" ht="68.25" customHeight="1" x14ac:dyDescent="0.25">
      <c r="A53" s="2409"/>
      <c r="B53" s="2436"/>
      <c r="C53" s="1090" t="s">
        <v>837</v>
      </c>
      <c r="D53" s="1447" t="s">
        <v>1479</v>
      </c>
      <c r="E53" s="1100" t="s">
        <v>507</v>
      </c>
      <c r="F53" s="1100" t="s">
        <v>838</v>
      </c>
      <c r="G53" s="1447" t="s">
        <v>1478</v>
      </c>
      <c r="H53" s="589"/>
    </row>
    <row r="54" spans="1:8" s="115" customFormat="1" ht="53.25" customHeight="1" x14ac:dyDescent="0.25">
      <c r="A54" s="2410"/>
      <c r="B54" s="2435"/>
      <c r="C54" s="1090" t="s">
        <v>1448</v>
      </c>
      <c r="D54" s="1100" t="s">
        <v>839</v>
      </c>
      <c r="E54" s="1100" t="s">
        <v>555</v>
      </c>
      <c r="F54" s="1100" t="s">
        <v>830</v>
      </c>
      <c r="G54" s="1100" t="s">
        <v>203</v>
      </c>
      <c r="H54" s="589"/>
    </row>
    <row r="55" spans="1:8" s="115" customFormat="1" ht="38.25" customHeight="1" x14ac:dyDescent="0.25">
      <c r="A55" s="2408" t="s">
        <v>556</v>
      </c>
      <c r="B55" s="2434" t="s">
        <v>508</v>
      </c>
      <c r="C55" s="1090" t="s">
        <v>207</v>
      </c>
      <c r="D55" s="1447" t="s">
        <v>210</v>
      </c>
      <c r="E55" s="1100"/>
      <c r="F55" s="1447" t="s">
        <v>1474</v>
      </c>
      <c r="G55" s="1100" t="s">
        <v>203</v>
      </c>
      <c r="H55" s="589"/>
    </row>
    <row r="56" spans="1:8" s="115" customFormat="1" ht="72" customHeight="1" x14ac:dyDescent="0.25">
      <c r="A56" s="2410"/>
      <c r="B56" s="2435"/>
      <c r="C56" s="1449" t="s">
        <v>840</v>
      </c>
      <c r="D56" s="1447" t="s">
        <v>210</v>
      </c>
      <c r="E56" s="1100">
        <v>0.5</v>
      </c>
      <c r="F56" s="1447" t="s">
        <v>841</v>
      </c>
      <c r="G56" s="1100" t="s">
        <v>203</v>
      </c>
      <c r="H56" s="589"/>
    </row>
    <row r="57" spans="1:8" s="115" customFormat="1" ht="37.5" customHeight="1" x14ac:dyDescent="0.25">
      <c r="A57" s="2408" t="s">
        <v>509</v>
      </c>
      <c r="B57" s="2434" t="s">
        <v>557</v>
      </c>
      <c r="C57" s="1090" t="s">
        <v>207</v>
      </c>
      <c r="D57" s="1447" t="s">
        <v>210</v>
      </c>
      <c r="E57" s="1100"/>
      <c r="F57" s="1447" t="s">
        <v>1474</v>
      </c>
      <c r="G57" s="1100" t="s">
        <v>203</v>
      </c>
      <c r="H57" s="589"/>
    </row>
    <row r="58" spans="1:8" s="115" customFormat="1" ht="66" customHeight="1" x14ac:dyDescent="0.25">
      <c r="A58" s="2410"/>
      <c r="B58" s="2435"/>
      <c r="C58" s="1090" t="s">
        <v>840</v>
      </c>
      <c r="D58" s="1447" t="s">
        <v>210</v>
      </c>
      <c r="E58" s="1100">
        <v>0.5</v>
      </c>
      <c r="F58" s="1100" t="s">
        <v>841</v>
      </c>
      <c r="G58" s="1100" t="s">
        <v>203</v>
      </c>
      <c r="H58" s="589"/>
    </row>
    <row r="59" spans="1:8" s="115" customFormat="1" ht="36.75" customHeight="1" x14ac:dyDescent="0.25">
      <c r="A59" s="2408" t="s">
        <v>510</v>
      </c>
      <c r="B59" s="2434" t="s">
        <v>565</v>
      </c>
      <c r="C59" s="1090" t="s">
        <v>207</v>
      </c>
      <c r="D59" s="1447" t="s">
        <v>210</v>
      </c>
      <c r="E59" s="1100"/>
      <c r="F59" s="1447" t="s">
        <v>1474</v>
      </c>
      <c r="G59" s="1100" t="s">
        <v>203</v>
      </c>
      <c r="H59" s="589"/>
    </row>
    <row r="60" spans="1:8" s="115" customFormat="1" ht="69" customHeight="1" x14ac:dyDescent="0.25">
      <c r="A60" s="2410"/>
      <c r="B60" s="2435"/>
      <c r="C60" s="1090" t="s">
        <v>840</v>
      </c>
      <c r="D60" s="1447" t="s">
        <v>210</v>
      </c>
      <c r="E60" s="1100">
        <v>0.5</v>
      </c>
      <c r="F60" s="1100" t="s">
        <v>841</v>
      </c>
      <c r="G60" s="1100" t="s">
        <v>203</v>
      </c>
      <c r="H60" s="588"/>
    </row>
    <row r="61" spans="1:8" s="115" customFormat="1" ht="27" customHeight="1" x14ac:dyDescent="0.25">
      <c r="A61" s="2426" t="s">
        <v>1483</v>
      </c>
      <c r="B61" s="2427"/>
      <c r="C61" s="2427"/>
      <c r="D61" s="2427"/>
      <c r="E61" s="2427"/>
      <c r="F61" s="2427"/>
      <c r="G61" s="2428"/>
      <c r="H61" s="111"/>
    </row>
    <row r="62" spans="1:8" s="115" customFormat="1" ht="39.75" customHeight="1" x14ac:dyDescent="0.25">
      <c r="A62" s="2408" t="s">
        <v>513</v>
      </c>
      <c r="B62" s="2396" t="s">
        <v>511</v>
      </c>
      <c r="C62" s="1090" t="s">
        <v>207</v>
      </c>
      <c r="D62" s="1100" t="s">
        <v>842</v>
      </c>
      <c r="E62" s="1100"/>
      <c r="F62" s="1447" t="s">
        <v>1469</v>
      </c>
      <c r="G62" s="1100" t="s">
        <v>208</v>
      </c>
      <c r="H62" s="589"/>
    </row>
    <row r="63" spans="1:8" s="115" customFormat="1" ht="68.25" customHeight="1" x14ac:dyDescent="0.25">
      <c r="A63" s="2409"/>
      <c r="B63" s="2397"/>
      <c r="C63" s="1090" t="s">
        <v>545</v>
      </c>
      <c r="D63" s="1100" t="s">
        <v>212</v>
      </c>
      <c r="E63" s="1454" t="s">
        <v>1521</v>
      </c>
      <c r="F63" s="1447" t="s">
        <v>1453</v>
      </c>
      <c r="G63" s="1100" t="s">
        <v>203</v>
      </c>
      <c r="H63" s="589"/>
    </row>
    <row r="64" spans="1:8" s="115" customFormat="1" ht="72" customHeight="1" x14ac:dyDescent="0.25">
      <c r="A64" s="2409"/>
      <c r="B64" s="2397"/>
      <c r="C64" s="1090" t="s">
        <v>843</v>
      </c>
      <c r="D64" s="1100" t="s">
        <v>212</v>
      </c>
      <c r="E64" s="1454" t="s">
        <v>1521</v>
      </c>
      <c r="F64" s="1447" t="s">
        <v>1456</v>
      </c>
      <c r="G64" s="1100" t="s">
        <v>203</v>
      </c>
      <c r="H64" s="588"/>
    </row>
    <row r="65" spans="1:8" s="115" customFormat="1" ht="58.5" customHeight="1" x14ac:dyDescent="0.25">
      <c r="A65" s="2409"/>
      <c r="B65" s="2397"/>
      <c r="C65" s="1090" t="s">
        <v>828</v>
      </c>
      <c r="D65" s="1100" t="s">
        <v>212</v>
      </c>
      <c r="E65" s="1454" t="s">
        <v>1521</v>
      </c>
      <c r="F65" s="1100" t="s">
        <v>829</v>
      </c>
      <c r="G65" s="1100" t="s">
        <v>203</v>
      </c>
      <c r="H65" s="589"/>
    </row>
    <row r="66" spans="1:8" s="115" customFormat="1" ht="58.5" customHeight="1" x14ac:dyDescent="0.25">
      <c r="A66" s="2410"/>
      <c r="B66" s="2398"/>
      <c r="C66" s="1090" t="s">
        <v>1448</v>
      </c>
      <c r="D66" s="1447" t="s">
        <v>210</v>
      </c>
      <c r="E66" s="1100" t="s">
        <v>512</v>
      </c>
      <c r="F66" s="1100" t="s">
        <v>830</v>
      </c>
      <c r="G66" s="1100" t="s">
        <v>203</v>
      </c>
      <c r="H66" s="589"/>
    </row>
    <row r="67" spans="1:8" s="115" customFormat="1" ht="39.75" customHeight="1" x14ac:dyDescent="0.25">
      <c r="A67" s="2408" t="s">
        <v>514</v>
      </c>
      <c r="B67" s="2396" t="s">
        <v>518</v>
      </c>
      <c r="C67" s="1090" t="s">
        <v>207</v>
      </c>
      <c r="D67" s="1100" t="s">
        <v>213</v>
      </c>
      <c r="E67" s="1100"/>
      <c r="F67" s="1447" t="s">
        <v>1469</v>
      </c>
      <c r="G67" s="1100" t="s">
        <v>208</v>
      </c>
      <c r="H67" s="113"/>
    </row>
    <row r="68" spans="1:8" s="115" customFormat="1" ht="66.75" customHeight="1" x14ac:dyDescent="0.25">
      <c r="A68" s="2409"/>
      <c r="B68" s="2397"/>
      <c r="C68" s="1090" t="s">
        <v>545</v>
      </c>
      <c r="D68" s="1100" t="s">
        <v>212</v>
      </c>
      <c r="E68" s="1454" t="s">
        <v>1521</v>
      </c>
      <c r="F68" s="1447" t="s">
        <v>1454</v>
      </c>
      <c r="G68" s="1100" t="s">
        <v>203</v>
      </c>
      <c r="H68" s="588"/>
    </row>
    <row r="69" spans="1:8" s="115" customFormat="1" ht="72" customHeight="1" x14ac:dyDescent="0.25">
      <c r="A69" s="2409"/>
      <c r="B69" s="2397"/>
      <c r="C69" s="1090" t="s">
        <v>843</v>
      </c>
      <c r="D69" s="1100" t="s">
        <v>212</v>
      </c>
      <c r="E69" s="1454" t="s">
        <v>1521</v>
      </c>
      <c r="F69" s="1447" t="s">
        <v>1456</v>
      </c>
      <c r="G69" s="1100" t="s">
        <v>203</v>
      </c>
      <c r="H69" s="589"/>
    </row>
    <row r="70" spans="1:8" s="115" customFormat="1" ht="68.25" customHeight="1" x14ac:dyDescent="0.25">
      <c r="A70" s="2409"/>
      <c r="B70" s="2397"/>
      <c r="C70" s="1090" t="s">
        <v>828</v>
      </c>
      <c r="D70" s="1100" t="s">
        <v>212</v>
      </c>
      <c r="E70" s="1454" t="s">
        <v>1521</v>
      </c>
      <c r="F70" s="1100" t="s">
        <v>1164</v>
      </c>
      <c r="G70" s="1100" t="s">
        <v>203</v>
      </c>
      <c r="H70" s="589"/>
    </row>
    <row r="71" spans="1:8" s="115" customFormat="1" ht="54" customHeight="1" x14ac:dyDescent="0.25">
      <c r="A71" s="2410"/>
      <c r="B71" s="2398"/>
      <c r="C71" s="1090" t="s">
        <v>1448</v>
      </c>
      <c r="D71" s="1100" t="s">
        <v>844</v>
      </c>
      <c r="E71" s="1100" t="s">
        <v>907</v>
      </c>
      <c r="F71" s="1100" t="s">
        <v>830</v>
      </c>
      <c r="G71" s="1100" t="s">
        <v>203</v>
      </c>
      <c r="H71" s="588"/>
    </row>
    <row r="72" spans="1:8" s="115" customFormat="1" ht="34.5" customHeight="1" x14ac:dyDescent="0.25">
      <c r="A72" s="2408" t="s">
        <v>517</v>
      </c>
      <c r="B72" s="2396" t="s">
        <v>515</v>
      </c>
      <c r="C72" s="1090" t="s">
        <v>207</v>
      </c>
      <c r="D72" s="1100" t="s">
        <v>210</v>
      </c>
      <c r="E72" s="1100"/>
      <c r="F72" s="1447" t="s">
        <v>1463</v>
      </c>
      <c r="G72" s="1100" t="s">
        <v>211</v>
      </c>
      <c r="H72" s="589"/>
    </row>
    <row r="73" spans="1:8" s="115" customFormat="1" ht="72.75" customHeight="1" x14ac:dyDescent="0.25">
      <c r="A73" s="2410"/>
      <c r="B73" s="2398"/>
      <c r="C73" s="1090" t="s">
        <v>516</v>
      </c>
      <c r="D73" s="1100" t="s">
        <v>210</v>
      </c>
      <c r="E73" s="1101">
        <v>70</v>
      </c>
      <c r="F73" s="1447" t="s">
        <v>1465</v>
      </c>
      <c r="G73" s="1100" t="s">
        <v>203</v>
      </c>
      <c r="H73" s="588"/>
    </row>
    <row r="74" spans="1:8" s="115" customFormat="1" ht="36" customHeight="1" x14ac:dyDescent="0.25">
      <c r="A74" s="2408" t="s">
        <v>520</v>
      </c>
      <c r="B74" s="2396" t="s">
        <v>558</v>
      </c>
      <c r="C74" s="1090" t="s">
        <v>207</v>
      </c>
      <c r="D74" s="1100" t="s">
        <v>845</v>
      </c>
      <c r="E74" s="1100"/>
      <c r="F74" s="1447" t="s">
        <v>1469</v>
      </c>
      <c r="G74" s="1100" t="s">
        <v>208</v>
      </c>
      <c r="H74" s="588"/>
    </row>
    <row r="75" spans="1:8" s="115" customFormat="1" ht="139.5" customHeight="1" x14ac:dyDescent="0.25">
      <c r="A75" s="2409"/>
      <c r="B75" s="2397"/>
      <c r="C75" s="1090" t="s">
        <v>545</v>
      </c>
      <c r="D75" s="1443" t="s">
        <v>1484</v>
      </c>
      <c r="E75" s="1106" t="s">
        <v>908</v>
      </c>
      <c r="F75" s="1447" t="s">
        <v>1486</v>
      </c>
      <c r="G75" s="1443" t="s">
        <v>1485</v>
      </c>
      <c r="H75" s="588"/>
    </row>
    <row r="76" spans="1:8" s="115" customFormat="1" ht="88.5" customHeight="1" x14ac:dyDescent="0.25">
      <c r="A76" s="2409"/>
      <c r="B76" s="2397"/>
      <c r="C76" s="1090" t="s">
        <v>843</v>
      </c>
      <c r="D76" s="1452" t="s">
        <v>1487</v>
      </c>
      <c r="E76" s="1091" t="s">
        <v>909</v>
      </c>
      <c r="F76" s="1447" t="s">
        <v>1488</v>
      </c>
      <c r="G76" s="1091" t="s">
        <v>203</v>
      </c>
      <c r="H76" s="589"/>
    </row>
    <row r="77" spans="1:8" s="115" customFormat="1" ht="83.25" customHeight="1" x14ac:dyDescent="0.25">
      <c r="A77" s="2409"/>
      <c r="B77" s="2397"/>
      <c r="C77" s="1450" t="s">
        <v>846</v>
      </c>
      <c r="D77" s="1447" t="s">
        <v>1487</v>
      </c>
      <c r="E77" s="1451" t="s">
        <v>910</v>
      </c>
      <c r="F77" s="1100" t="s">
        <v>847</v>
      </c>
      <c r="G77" s="1100" t="s">
        <v>203</v>
      </c>
      <c r="H77" s="589"/>
    </row>
    <row r="78" spans="1:8" s="115" customFormat="1" ht="90.75" customHeight="1" x14ac:dyDescent="0.25">
      <c r="A78" s="2409"/>
      <c r="B78" s="2397"/>
      <c r="C78" s="1450" t="s">
        <v>836</v>
      </c>
      <c r="D78" s="1447" t="s">
        <v>1489</v>
      </c>
      <c r="E78" s="1451" t="s">
        <v>911</v>
      </c>
      <c r="F78" s="1100" t="s">
        <v>829</v>
      </c>
      <c r="G78" s="1100" t="s">
        <v>203</v>
      </c>
      <c r="H78" s="588"/>
    </row>
    <row r="79" spans="1:8" s="115" customFormat="1" ht="52.5" customHeight="1" x14ac:dyDescent="0.25">
      <c r="A79" s="2410"/>
      <c r="B79" s="2398"/>
      <c r="C79" s="1450" t="s">
        <v>1448</v>
      </c>
      <c r="D79" s="1447" t="s">
        <v>1490</v>
      </c>
      <c r="E79" s="1451" t="s">
        <v>519</v>
      </c>
      <c r="F79" s="1100" t="s">
        <v>830</v>
      </c>
      <c r="G79" s="1100" t="s">
        <v>203</v>
      </c>
      <c r="H79" s="588"/>
    </row>
    <row r="80" spans="1:8" s="115" customFormat="1" ht="24" customHeight="1" x14ac:dyDescent="0.25">
      <c r="A80" s="2408" t="s">
        <v>521</v>
      </c>
      <c r="B80" s="2396" t="s">
        <v>522</v>
      </c>
      <c r="C80" s="1090" t="s">
        <v>207</v>
      </c>
      <c r="D80" s="1444" t="s">
        <v>210</v>
      </c>
      <c r="E80" s="1100"/>
      <c r="F80" s="1100" t="s">
        <v>831</v>
      </c>
      <c r="G80" s="1100" t="s">
        <v>203</v>
      </c>
      <c r="H80" s="588"/>
    </row>
    <row r="81" spans="1:8" s="115" customFormat="1" ht="69" customHeight="1" x14ac:dyDescent="0.25">
      <c r="A81" s="2410"/>
      <c r="B81" s="2398"/>
      <c r="C81" s="1090" t="s">
        <v>840</v>
      </c>
      <c r="D81" s="1444" t="s">
        <v>210</v>
      </c>
      <c r="E81" s="1100">
        <v>0.5</v>
      </c>
      <c r="F81" s="1447" t="s">
        <v>841</v>
      </c>
      <c r="G81" s="1100" t="s">
        <v>203</v>
      </c>
      <c r="H81" s="589"/>
    </row>
    <row r="82" spans="1:8" s="115" customFormat="1" ht="33.75" customHeight="1" x14ac:dyDescent="0.25">
      <c r="A82" s="2408" t="s">
        <v>523</v>
      </c>
      <c r="B82" s="2396" t="s">
        <v>524</v>
      </c>
      <c r="C82" s="1090" t="s">
        <v>207</v>
      </c>
      <c r="D82" s="1444" t="s">
        <v>210</v>
      </c>
      <c r="E82" s="1100"/>
      <c r="F82" s="1447" t="s">
        <v>1474</v>
      </c>
      <c r="G82" s="1100" t="s">
        <v>203</v>
      </c>
      <c r="H82" s="2430"/>
    </row>
    <row r="83" spans="1:8" s="115" customFormat="1" ht="71.25" customHeight="1" x14ac:dyDescent="0.25">
      <c r="A83" s="2410"/>
      <c r="B83" s="2398"/>
      <c r="C83" s="1090" t="s">
        <v>840</v>
      </c>
      <c r="D83" s="1444" t="s">
        <v>210</v>
      </c>
      <c r="E83" s="1100">
        <v>0.5</v>
      </c>
      <c r="F83" s="1100" t="s">
        <v>841</v>
      </c>
      <c r="G83" s="1100" t="s">
        <v>203</v>
      </c>
      <c r="H83" s="2430"/>
    </row>
    <row r="84" spans="1:8" s="115" customFormat="1" ht="34.5" customHeight="1" x14ac:dyDescent="0.25">
      <c r="A84" s="2408" t="s">
        <v>525</v>
      </c>
      <c r="B84" s="2396" t="s">
        <v>526</v>
      </c>
      <c r="C84" s="1090" t="s">
        <v>207</v>
      </c>
      <c r="D84" s="1444" t="s">
        <v>210</v>
      </c>
      <c r="E84" s="1100"/>
      <c r="F84" s="1447" t="s">
        <v>1474</v>
      </c>
      <c r="G84" s="1100" t="s">
        <v>203</v>
      </c>
      <c r="H84" s="2429"/>
    </row>
    <row r="85" spans="1:8" s="115" customFormat="1" ht="68.25" customHeight="1" x14ac:dyDescent="0.25">
      <c r="A85" s="2410"/>
      <c r="B85" s="2398"/>
      <c r="C85" s="1090" t="s">
        <v>840</v>
      </c>
      <c r="D85" s="1444" t="s">
        <v>210</v>
      </c>
      <c r="E85" s="1100">
        <v>0.5</v>
      </c>
      <c r="F85" s="1100" t="s">
        <v>841</v>
      </c>
      <c r="G85" s="1100" t="s">
        <v>203</v>
      </c>
      <c r="H85" s="2429"/>
    </row>
    <row r="86" spans="1:8" s="115" customFormat="1" ht="36" customHeight="1" x14ac:dyDescent="0.25">
      <c r="A86" s="2408" t="s">
        <v>527</v>
      </c>
      <c r="B86" s="2396" t="s">
        <v>528</v>
      </c>
      <c r="C86" s="1090" t="s">
        <v>207</v>
      </c>
      <c r="D86" s="1444" t="s">
        <v>210</v>
      </c>
      <c r="E86" s="1100"/>
      <c r="F86" s="1447" t="s">
        <v>1474</v>
      </c>
      <c r="G86" s="1100" t="s">
        <v>203</v>
      </c>
      <c r="H86" s="2430"/>
    </row>
    <row r="87" spans="1:8" s="115" customFormat="1" ht="68.25" customHeight="1" x14ac:dyDescent="0.25">
      <c r="A87" s="2410"/>
      <c r="B87" s="2398"/>
      <c r="C87" s="1090" t="s">
        <v>840</v>
      </c>
      <c r="D87" s="1444" t="s">
        <v>210</v>
      </c>
      <c r="E87" s="1100">
        <v>0.5</v>
      </c>
      <c r="F87" s="1100" t="s">
        <v>841</v>
      </c>
      <c r="G87" s="1100" t="s">
        <v>203</v>
      </c>
      <c r="H87" s="2430"/>
    </row>
    <row r="88" spans="1:8" s="115" customFormat="1" ht="35.25" customHeight="1" x14ac:dyDescent="0.25">
      <c r="A88" s="2408" t="s">
        <v>529</v>
      </c>
      <c r="B88" s="2396" t="s">
        <v>530</v>
      </c>
      <c r="C88" s="1090" t="s">
        <v>207</v>
      </c>
      <c r="D88" s="1444" t="s">
        <v>210</v>
      </c>
      <c r="E88" s="1100"/>
      <c r="F88" s="1447" t="s">
        <v>1474</v>
      </c>
      <c r="G88" s="1100" t="s">
        <v>203</v>
      </c>
      <c r="H88" s="589"/>
    </row>
    <row r="89" spans="1:8" s="115" customFormat="1" ht="68.25" customHeight="1" x14ac:dyDescent="0.25">
      <c r="A89" s="2410"/>
      <c r="B89" s="2398"/>
      <c r="C89" s="1090" t="s">
        <v>840</v>
      </c>
      <c r="D89" s="1444" t="s">
        <v>210</v>
      </c>
      <c r="E89" s="1100">
        <v>0.5</v>
      </c>
      <c r="F89" s="1100" t="s">
        <v>841</v>
      </c>
      <c r="G89" s="1100" t="s">
        <v>203</v>
      </c>
      <c r="H89" s="588"/>
    </row>
    <row r="90" spans="1:8" s="115" customFormat="1" ht="21.75" customHeight="1" x14ac:dyDescent="0.25">
      <c r="A90" s="2431" t="s">
        <v>214</v>
      </c>
      <c r="B90" s="2432"/>
      <c r="C90" s="2432"/>
      <c r="D90" s="2432"/>
      <c r="E90" s="2432"/>
      <c r="F90" s="2432"/>
      <c r="G90" s="2433"/>
      <c r="H90" s="2429"/>
    </row>
    <row r="91" spans="1:8" s="115" customFormat="1" ht="21.75" customHeight="1" x14ac:dyDescent="0.25">
      <c r="A91" s="2431" t="s">
        <v>215</v>
      </c>
      <c r="B91" s="2432"/>
      <c r="C91" s="2432"/>
      <c r="D91" s="2432"/>
      <c r="E91" s="2432"/>
      <c r="F91" s="2432"/>
      <c r="G91" s="2433"/>
      <c r="H91" s="2429"/>
    </row>
    <row r="92" spans="1:8" s="115" customFormat="1" ht="24" customHeight="1" x14ac:dyDescent="0.25">
      <c r="A92" s="2408" t="s">
        <v>531</v>
      </c>
      <c r="B92" s="2396" t="s">
        <v>532</v>
      </c>
      <c r="C92" s="1090" t="s">
        <v>207</v>
      </c>
      <c r="D92" s="1100" t="s">
        <v>845</v>
      </c>
      <c r="E92" s="1100"/>
      <c r="F92" s="1447" t="s">
        <v>1470</v>
      </c>
      <c r="G92" s="1100" t="s">
        <v>208</v>
      </c>
      <c r="H92" s="111"/>
    </row>
    <row r="93" spans="1:8" s="115" customFormat="1" ht="67.5" customHeight="1" x14ac:dyDescent="0.25">
      <c r="A93" s="2409"/>
      <c r="B93" s="2397"/>
      <c r="C93" s="1090" t="s">
        <v>848</v>
      </c>
      <c r="D93" s="1100" t="s">
        <v>849</v>
      </c>
      <c r="E93" s="1100">
        <v>0.08</v>
      </c>
      <c r="F93" s="1100" t="s">
        <v>1165</v>
      </c>
      <c r="G93" s="1100" t="s">
        <v>203</v>
      </c>
      <c r="H93" s="589"/>
    </row>
    <row r="94" spans="1:8" s="115" customFormat="1" ht="68.25" customHeight="1" x14ac:dyDescent="0.25">
      <c r="A94" s="2409"/>
      <c r="B94" s="2397"/>
      <c r="C94" s="1090" t="s">
        <v>216</v>
      </c>
      <c r="D94" s="1100" t="s">
        <v>850</v>
      </c>
      <c r="E94" s="1100">
        <v>16.8</v>
      </c>
      <c r="F94" s="1447" t="s">
        <v>1497</v>
      </c>
      <c r="G94" s="1100" t="s">
        <v>203</v>
      </c>
      <c r="H94" s="588"/>
    </row>
    <row r="95" spans="1:8" s="115" customFormat="1" ht="72" customHeight="1" x14ac:dyDescent="0.25">
      <c r="A95" s="2410"/>
      <c r="B95" s="2398"/>
      <c r="C95" s="1090" t="s">
        <v>851</v>
      </c>
      <c r="D95" s="1100" t="s">
        <v>852</v>
      </c>
      <c r="E95" s="1100">
        <v>1.5E-3</v>
      </c>
      <c r="F95" s="1100" t="s">
        <v>1166</v>
      </c>
      <c r="G95" s="1454" t="s">
        <v>203</v>
      </c>
      <c r="H95" s="589"/>
    </row>
    <row r="96" spans="1:8" s="115" customFormat="1" ht="17.25" customHeight="1" x14ac:dyDescent="0.25">
      <c r="A96" s="2408" t="s">
        <v>533</v>
      </c>
      <c r="B96" s="2396" t="s">
        <v>854</v>
      </c>
      <c r="C96" s="1090" t="s">
        <v>207</v>
      </c>
      <c r="D96" s="1447" t="s">
        <v>210</v>
      </c>
      <c r="E96" s="1100"/>
      <c r="F96" s="1447" t="s">
        <v>1470</v>
      </c>
      <c r="G96" s="1100" t="s">
        <v>208</v>
      </c>
      <c r="H96" s="111"/>
    </row>
    <row r="97" spans="1:8" s="115" customFormat="1" ht="67.5" customHeight="1" x14ac:dyDescent="0.25">
      <c r="A97" s="2409"/>
      <c r="B97" s="2397"/>
      <c r="C97" s="1090" t="s">
        <v>856</v>
      </c>
      <c r="D97" s="1447" t="s">
        <v>1491</v>
      </c>
      <c r="E97" s="1100" t="s">
        <v>912</v>
      </c>
      <c r="F97" s="1447" t="s">
        <v>1455</v>
      </c>
      <c r="G97" s="1100" t="s">
        <v>203</v>
      </c>
      <c r="H97" s="589"/>
    </row>
    <row r="98" spans="1:8" s="115" customFormat="1" ht="67.5" customHeight="1" x14ac:dyDescent="0.25">
      <c r="A98" s="2409"/>
      <c r="B98" s="2397"/>
      <c r="C98" s="1090" t="s">
        <v>843</v>
      </c>
      <c r="D98" s="1100" t="s">
        <v>406</v>
      </c>
      <c r="E98" s="1454" t="s">
        <v>1521</v>
      </c>
      <c r="F98" s="1447" t="s">
        <v>1456</v>
      </c>
      <c r="G98" s="1100" t="s">
        <v>203</v>
      </c>
      <c r="H98" s="588"/>
    </row>
    <row r="99" spans="1:8" s="115" customFormat="1" ht="58.5" customHeight="1" x14ac:dyDescent="0.25">
      <c r="A99" s="2409"/>
      <c r="B99" s="2397"/>
      <c r="C99" s="1090" t="s">
        <v>834</v>
      </c>
      <c r="D99" s="1447" t="s">
        <v>210</v>
      </c>
      <c r="E99" s="1100" t="s">
        <v>506</v>
      </c>
      <c r="F99" s="1100" t="s">
        <v>829</v>
      </c>
      <c r="G99" s="1100" t="s">
        <v>203</v>
      </c>
      <c r="H99" s="589"/>
    </row>
    <row r="100" spans="1:8" s="115" customFormat="1" ht="51.75" customHeight="1" x14ac:dyDescent="0.25">
      <c r="A100" s="2410"/>
      <c r="B100" s="2398"/>
      <c r="C100" s="1090" t="s">
        <v>1448</v>
      </c>
      <c r="D100" s="1100" t="s">
        <v>857</v>
      </c>
      <c r="E100" s="1454" t="s">
        <v>1521</v>
      </c>
      <c r="F100" s="1100" t="s">
        <v>830</v>
      </c>
      <c r="G100" s="1100" t="s">
        <v>203</v>
      </c>
      <c r="H100" s="589"/>
    </row>
    <row r="101" spans="1:8" s="115" customFormat="1" ht="27.75" customHeight="1" x14ac:dyDescent="0.25">
      <c r="A101" s="2408" t="s">
        <v>534</v>
      </c>
      <c r="B101" s="2396" t="s">
        <v>535</v>
      </c>
      <c r="C101" s="1090" t="s">
        <v>207</v>
      </c>
      <c r="D101" s="1100" t="s">
        <v>845</v>
      </c>
      <c r="E101" s="1100"/>
      <c r="F101" s="1447" t="s">
        <v>1470</v>
      </c>
      <c r="G101" s="1100" t="s">
        <v>208</v>
      </c>
      <c r="H101" s="589"/>
    </row>
    <row r="102" spans="1:8" s="115" customFormat="1" ht="82.5" customHeight="1" x14ac:dyDescent="0.25">
      <c r="A102" s="2409"/>
      <c r="B102" s="2397"/>
      <c r="C102" s="1090" t="s">
        <v>836</v>
      </c>
      <c r="D102" s="1447" t="s">
        <v>1492</v>
      </c>
      <c r="E102" s="1100" t="s">
        <v>913</v>
      </c>
      <c r="F102" s="1100" t="s">
        <v>829</v>
      </c>
      <c r="G102" s="1100" t="s">
        <v>203</v>
      </c>
      <c r="H102" s="588"/>
    </row>
    <row r="103" spans="1:8" s="115" customFormat="1" ht="69" customHeight="1" x14ac:dyDescent="0.25">
      <c r="A103" s="2409"/>
      <c r="B103" s="2397"/>
      <c r="C103" s="1090" t="s">
        <v>474</v>
      </c>
      <c r="D103" s="1100" t="s">
        <v>857</v>
      </c>
      <c r="E103" s="1454" t="s">
        <v>1521</v>
      </c>
      <c r="F103" s="1447" t="s">
        <v>1455</v>
      </c>
      <c r="G103" s="1100" t="s">
        <v>203</v>
      </c>
      <c r="H103" s="589"/>
    </row>
    <row r="104" spans="1:8" s="115" customFormat="1" ht="67.5" customHeight="1" x14ac:dyDescent="0.25">
      <c r="A104" s="2409"/>
      <c r="B104" s="2397"/>
      <c r="C104" s="1090" t="s">
        <v>843</v>
      </c>
      <c r="D104" s="1100" t="s">
        <v>857</v>
      </c>
      <c r="E104" s="1454" t="s">
        <v>1521</v>
      </c>
      <c r="F104" s="1447" t="s">
        <v>1493</v>
      </c>
      <c r="G104" s="1100" t="s">
        <v>203</v>
      </c>
      <c r="H104" s="589"/>
    </row>
    <row r="105" spans="1:8" s="115" customFormat="1" ht="55.5" customHeight="1" x14ac:dyDescent="0.25">
      <c r="A105" s="2409"/>
      <c r="B105" s="2397"/>
      <c r="C105" s="1090" t="s">
        <v>859</v>
      </c>
      <c r="D105" s="1100" t="s">
        <v>857</v>
      </c>
      <c r="E105" s="1454" t="s">
        <v>1521</v>
      </c>
      <c r="F105" s="1100" t="s">
        <v>847</v>
      </c>
      <c r="G105" s="1100" t="s">
        <v>203</v>
      </c>
      <c r="H105" s="588"/>
    </row>
    <row r="106" spans="1:8" s="115" customFormat="1" ht="60" customHeight="1" x14ac:dyDescent="0.25">
      <c r="A106" s="2409"/>
      <c r="B106" s="2397"/>
      <c r="C106" s="1090" t="s">
        <v>1448</v>
      </c>
      <c r="D106" s="1100" t="s">
        <v>857</v>
      </c>
      <c r="E106" s="1454" t="s">
        <v>1521</v>
      </c>
      <c r="F106" s="1100" t="s">
        <v>830</v>
      </c>
      <c r="G106" s="1100" t="s">
        <v>203</v>
      </c>
      <c r="H106" s="588"/>
    </row>
    <row r="107" spans="1:8" s="115" customFormat="1" ht="36" customHeight="1" x14ac:dyDescent="0.25">
      <c r="A107" s="2410"/>
      <c r="B107" s="2398"/>
      <c r="C107" s="1090" t="s">
        <v>484</v>
      </c>
      <c r="D107" s="1100" t="s">
        <v>205</v>
      </c>
      <c r="E107" s="1100">
        <v>3.5</v>
      </c>
      <c r="F107" s="1100" t="s">
        <v>847</v>
      </c>
      <c r="G107" s="1100" t="s">
        <v>203</v>
      </c>
      <c r="H107" s="588"/>
    </row>
    <row r="108" spans="1:8" s="115" customFormat="1" ht="29.25" customHeight="1" x14ac:dyDescent="0.25">
      <c r="A108" s="2408" t="s">
        <v>217</v>
      </c>
      <c r="B108" s="2396" t="s">
        <v>559</v>
      </c>
      <c r="C108" s="1090" t="s">
        <v>207</v>
      </c>
      <c r="D108" s="1100" t="s">
        <v>845</v>
      </c>
      <c r="E108" s="1100"/>
      <c r="F108" s="1447" t="s">
        <v>1470</v>
      </c>
      <c r="G108" s="1100" t="s">
        <v>208</v>
      </c>
      <c r="H108" s="113"/>
    </row>
    <row r="109" spans="1:8" s="115" customFormat="1" ht="88.5" customHeight="1" x14ac:dyDescent="0.25">
      <c r="A109" s="2409"/>
      <c r="B109" s="2397"/>
      <c r="C109" s="1090" t="s">
        <v>848</v>
      </c>
      <c r="D109" s="1100" t="s">
        <v>860</v>
      </c>
      <c r="E109" s="1100">
        <v>0.08</v>
      </c>
      <c r="F109" s="1100" t="s">
        <v>861</v>
      </c>
      <c r="G109" s="1100" t="s">
        <v>203</v>
      </c>
      <c r="H109" s="589"/>
    </row>
    <row r="110" spans="1:8" s="115" customFormat="1" ht="49.5" customHeight="1" x14ac:dyDescent="0.25">
      <c r="A110" s="2409"/>
      <c r="B110" s="2397"/>
      <c r="C110" s="1090" t="s">
        <v>216</v>
      </c>
      <c r="D110" s="1100" t="s">
        <v>862</v>
      </c>
      <c r="E110" s="1101">
        <v>17</v>
      </c>
      <c r="F110" s="1447" t="s">
        <v>1496</v>
      </c>
      <c r="G110" s="1100" t="s">
        <v>203</v>
      </c>
      <c r="H110" s="589"/>
    </row>
    <row r="111" spans="1:8" s="115" customFormat="1" ht="60.75" customHeight="1" x14ac:dyDescent="0.25">
      <c r="A111" s="2410"/>
      <c r="B111" s="2398"/>
      <c r="C111" s="1090" t="s">
        <v>851</v>
      </c>
      <c r="D111" s="1100" t="s">
        <v>218</v>
      </c>
      <c r="E111" s="1100">
        <v>1.5E-3</v>
      </c>
      <c r="F111" s="1100" t="s">
        <v>853</v>
      </c>
      <c r="G111" s="1454" t="s">
        <v>203</v>
      </c>
      <c r="H111" s="589"/>
    </row>
    <row r="112" spans="1:8" s="115" customFormat="1" ht="30" customHeight="1" x14ac:dyDescent="0.25">
      <c r="A112" s="2408" t="s">
        <v>863</v>
      </c>
      <c r="B112" s="2396" t="s">
        <v>537</v>
      </c>
      <c r="C112" s="1090" t="s">
        <v>207</v>
      </c>
      <c r="D112" s="1100" t="s">
        <v>845</v>
      </c>
      <c r="E112" s="1100"/>
      <c r="F112" s="1447" t="s">
        <v>1470</v>
      </c>
      <c r="G112" s="1100" t="s">
        <v>208</v>
      </c>
      <c r="H112" s="111"/>
    </row>
    <row r="113" spans="1:8" s="115" customFormat="1" ht="55.5" customHeight="1" x14ac:dyDescent="0.25">
      <c r="A113" s="2409"/>
      <c r="B113" s="2397"/>
      <c r="C113" s="1090" t="s">
        <v>836</v>
      </c>
      <c r="D113" s="1100" t="s">
        <v>864</v>
      </c>
      <c r="E113" s="1100" t="s">
        <v>914</v>
      </c>
      <c r="F113" s="1100" t="s">
        <v>829</v>
      </c>
      <c r="G113" s="1100" t="s">
        <v>203</v>
      </c>
      <c r="H113" s="589"/>
    </row>
    <row r="114" spans="1:8" s="115" customFormat="1" ht="69" customHeight="1" x14ac:dyDescent="0.25">
      <c r="A114" s="2409"/>
      <c r="B114" s="2397"/>
      <c r="C114" s="1090" t="s">
        <v>474</v>
      </c>
      <c r="D114" s="1100" t="s">
        <v>865</v>
      </c>
      <c r="E114" s="1454" t="s">
        <v>1521</v>
      </c>
      <c r="F114" s="1447" t="s">
        <v>1455</v>
      </c>
      <c r="G114" s="1100" t="s">
        <v>203</v>
      </c>
      <c r="H114" s="589"/>
    </row>
    <row r="115" spans="1:8" s="115" customFormat="1" ht="67.5" customHeight="1" x14ac:dyDescent="0.25">
      <c r="A115" s="2409"/>
      <c r="B115" s="2397"/>
      <c r="C115" s="1090" t="s">
        <v>843</v>
      </c>
      <c r="D115" s="1100" t="s">
        <v>865</v>
      </c>
      <c r="E115" s="1454" t="s">
        <v>1521</v>
      </c>
      <c r="F115" s="1447" t="s">
        <v>1493</v>
      </c>
      <c r="G115" s="1100" t="s">
        <v>203</v>
      </c>
      <c r="H115" s="589"/>
    </row>
    <row r="116" spans="1:8" s="115" customFormat="1" ht="39.75" customHeight="1" x14ac:dyDescent="0.25">
      <c r="A116" s="2409"/>
      <c r="B116" s="2397"/>
      <c r="C116" s="1090" t="s">
        <v>859</v>
      </c>
      <c r="D116" s="1100" t="s">
        <v>865</v>
      </c>
      <c r="E116" s="1454" t="s">
        <v>1521</v>
      </c>
      <c r="F116" s="1100" t="s">
        <v>847</v>
      </c>
      <c r="G116" s="1100" t="s">
        <v>203</v>
      </c>
      <c r="H116" s="589"/>
    </row>
    <row r="117" spans="1:8" s="115" customFormat="1" ht="57" customHeight="1" x14ac:dyDescent="0.25">
      <c r="A117" s="2409"/>
      <c r="B117" s="2397"/>
      <c r="C117" s="1090" t="s">
        <v>1448</v>
      </c>
      <c r="D117" s="1100" t="s">
        <v>865</v>
      </c>
      <c r="E117" s="1454" t="s">
        <v>1521</v>
      </c>
      <c r="F117" s="1100" t="s">
        <v>830</v>
      </c>
      <c r="G117" s="1100" t="s">
        <v>203</v>
      </c>
      <c r="H117" s="589"/>
    </row>
    <row r="118" spans="1:8" s="115" customFormat="1" ht="34.5" customHeight="1" x14ac:dyDescent="0.25">
      <c r="A118" s="2410"/>
      <c r="B118" s="2398"/>
      <c r="C118" s="1090" t="s">
        <v>484</v>
      </c>
      <c r="D118" s="1100" t="s">
        <v>205</v>
      </c>
      <c r="E118" s="1101">
        <v>10</v>
      </c>
      <c r="F118" s="1100" t="s">
        <v>847</v>
      </c>
      <c r="G118" s="1100" t="s">
        <v>203</v>
      </c>
      <c r="H118" s="588"/>
    </row>
    <row r="119" spans="1:8" s="115" customFormat="1" ht="21.75" customHeight="1" x14ac:dyDescent="0.25">
      <c r="A119" s="2431" t="s">
        <v>485</v>
      </c>
      <c r="B119" s="2432"/>
      <c r="C119" s="2432"/>
      <c r="D119" s="2432"/>
      <c r="E119" s="2432"/>
      <c r="F119" s="2432"/>
      <c r="G119" s="2433"/>
      <c r="H119" s="2429"/>
    </row>
    <row r="120" spans="1:8" s="115" customFormat="1" ht="21.75" customHeight="1" x14ac:dyDescent="0.25">
      <c r="A120" s="2431" t="s">
        <v>220</v>
      </c>
      <c r="B120" s="2432"/>
      <c r="C120" s="2432"/>
      <c r="D120" s="2432"/>
      <c r="E120" s="2432"/>
      <c r="F120" s="2432"/>
      <c r="G120" s="2433"/>
      <c r="H120" s="2429"/>
    </row>
    <row r="121" spans="1:8" s="115" customFormat="1" ht="16.5" customHeight="1" x14ac:dyDescent="0.25">
      <c r="A121" s="2408" t="s">
        <v>538</v>
      </c>
      <c r="B121" s="2396" t="s">
        <v>532</v>
      </c>
      <c r="C121" s="1090" t="s">
        <v>207</v>
      </c>
      <c r="D121" s="1100" t="s">
        <v>845</v>
      </c>
      <c r="E121" s="1100"/>
      <c r="F121" s="1447" t="s">
        <v>1470</v>
      </c>
      <c r="G121" s="1100" t="s">
        <v>208</v>
      </c>
      <c r="H121" s="111"/>
    </row>
    <row r="122" spans="1:8" s="115" customFormat="1" ht="69" customHeight="1" x14ac:dyDescent="0.25">
      <c r="A122" s="2409"/>
      <c r="B122" s="2397"/>
      <c r="C122" s="1090" t="s">
        <v>848</v>
      </c>
      <c r="D122" s="1100" t="s">
        <v>849</v>
      </c>
      <c r="E122" s="1100">
        <v>0.25</v>
      </c>
      <c r="F122" s="1100" t="s">
        <v>1168</v>
      </c>
      <c r="G122" s="1100" t="s">
        <v>203</v>
      </c>
      <c r="H122" s="2429"/>
    </row>
    <row r="123" spans="1:8" s="115" customFormat="1" ht="71.25" customHeight="1" x14ac:dyDescent="0.25">
      <c r="A123" s="2409"/>
      <c r="B123" s="2397"/>
      <c r="C123" s="1090" t="s">
        <v>216</v>
      </c>
      <c r="D123" s="1100" t="s">
        <v>850</v>
      </c>
      <c r="E123" s="1100">
        <v>16.8</v>
      </c>
      <c r="F123" s="1447" t="s">
        <v>1495</v>
      </c>
      <c r="G123" s="1100" t="s">
        <v>203</v>
      </c>
      <c r="H123" s="2429"/>
    </row>
    <row r="124" spans="1:8" s="115" customFormat="1" ht="69" customHeight="1" x14ac:dyDescent="0.25">
      <c r="A124" s="2410"/>
      <c r="B124" s="2398"/>
      <c r="C124" s="1090" t="s">
        <v>851</v>
      </c>
      <c r="D124" s="1100" t="s">
        <v>852</v>
      </c>
      <c r="E124" s="1100">
        <v>1.5E-3</v>
      </c>
      <c r="F124" s="1447" t="s">
        <v>1166</v>
      </c>
      <c r="G124" s="1454" t="s">
        <v>203</v>
      </c>
      <c r="H124" s="2429"/>
    </row>
    <row r="125" spans="1:8" s="115" customFormat="1" ht="23.25" customHeight="1" x14ac:dyDescent="0.25">
      <c r="A125" s="2408" t="s">
        <v>539</v>
      </c>
      <c r="B125" s="2396" t="s">
        <v>854</v>
      </c>
      <c r="C125" s="1090" t="s">
        <v>207</v>
      </c>
      <c r="D125" s="1100" t="s">
        <v>855</v>
      </c>
      <c r="E125" s="1100"/>
      <c r="F125" s="1447" t="s">
        <v>1470</v>
      </c>
      <c r="G125" s="1100" t="s">
        <v>208</v>
      </c>
      <c r="H125" s="111"/>
    </row>
    <row r="126" spans="1:8" s="115" customFormat="1" ht="72.75" customHeight="1" x14ac:dyDescent="0.25">
      <c r="A126" s="2409"/>
      <c r="B126" s="2397"/>
      <c r="C126" s="1090" t="s">
        <v>856</v>
      </c>
      <c r="D126" s="1100" t="s">
        <v>855</v>
      </c>
      <c r="E126" s="1100" t="s">
        <v>912</v>
      </c>
      <c r="F126" s="1447" t="s">
        <v>1455</v>
      </c>
      <c r="G126" s="1100" t="s">
        <v>203</v>
      </c>
      <c r="H126" s="2429"/>
    </row>
    <row r="127" spans="1:8" s="115" customFormat="1" ht="69" customHeight="1" x14ac:dyDescent="0.25">
      <c r="A127" s="2409"/>
      <c r="B127" s="2397"/>
      <c r="C127" s="1090" t="s">
        <v>843</v>
      </c>
      <c r="D127" s="1100" t="s">
        <v>406</v>
      </c>
      <c r="E127" s="1454" t="s">
        <v>1521</v>
      </c>
      <c r="F127" s="1447" t="s">
        <v>1456</v>
      </c>
      <c r="G127" s="1100" t="s">
        <v>203</v>
      </c>
      <c r="H127" s="2429"/>
    </row>
    <row r="128" spans="1:8" s="115" customFormat="1" ht="54" customHeight="1" x14ac:dyDescent="0.25">
      <c r="A128" s="2409"/>
      <c r="B128" s="2397"/>
      <c r="C128" s="1090" t="s">
        <v>834</v>
      </c>
      <c r="D128" s="1100" t="s">
        <v>855</v>
      </c>
      <c r="E128" s="1454" t="s">
        <v>223</v>
      </c>
      <c r="F128" s="1100" t="s">
        <v>829</v>
      </c>
      <c r="G128" s="1100" t="s">
        <v>203</v>
      </c>
      <c r="H128" s="2429"/>
    </row>
    <row r="129" spans="1:8" s="115" customFormat="1" ht="60" customHeight="1" x14ac:dyDescent="0.25">
      <c r="A129" s="2410"/>
      <c r="B129" s="2398"/>
      <c r="C129" s="1090" t="s">
        <v>1448</v>
      </c>
      <c r="D129" s="1100" t="s">
        <v>857</v>
      </c>
      <c r="E129" s="1454" t="s">
        <v>1521</v>
      </c>
      <c r="F129" s="1100" t="s">
        <v>830</v>
      </c>
      <c r="G129" s="1100" t="s">
        <v>203</v>
      </c>
      <c r="H129" s="2429"/>
    </row>
    <row r="130" spans="1:8" s="115" customFormat="1" ht="21" customHeight="1" x14ac:dyDescent="0.25">
      <c r="A130" s="2408" t="s">
        <v>540</v>
      </c>
      <c r="B130" s="2396" t="s">
        <v>535</v>
      </c>
      <c r="C130" s="1090" t="s">
        <v>207</v>
      </c>
      <c r="D130" s="1100" t="s">
        <v>845</v>
      </c>
      <c r="E130" s="1100"/>
      <c r="F130" s="1447" t="s">
        <v>1470</v>
      </c>
      <c r="G130" s="1100" t="s">
        <v>208</v>
      </c>
      <c r="H130" s="111"/>
    </row>
    <row r="131" spans="1:8" s="115" customFormat="1" ht="66.75" customHeight="1" x14ac:dyDescent="0.25">
      <c r="A131" s="2409"/>
      <c r="B131" s="2397"/>
      <c r="C131" s="1090" t="s">
        <v>836</v>
      </c>
      <c r="D131" s="1100" t="s">
        <v>858</v>
      </c>
      <c r="E131" s="1100" t="s">
        <v>915</v>
      </c>
      <c r="F131" s="1100" t="s">
        <v>829</v>
      </c>
      <c r="G131" s="1100" t="s">
        <v>203</v>
      </c>
      <c r="H131" s="2429"/>
    </row>
    <row r="132" spans="1:8" s="115" customFormat="1" ht="72.75" customHeight="1" x14ac:dyDescent="0.25">
      <c r="A132" s="2409"/>
      <c r="B132" s="2397"/>
      <c r="C132" s="1090" t="s">
        <v>474</v>
      </c>
      <c r="D132" s="1100" t="s">
        <v>857</v>
      </c>
      <c r="E132" s="1454" t="s">
        <v>1521</v>
      </c>
      <c r="F132" s="1447" t="s">
        <v>1455</v>
      </c>
      <c r="G132" s="1100" t="s">
        <v>203</v>
      </c>
      <c r="H132" s="2429"/>
    </row>
    <row r="133" spans="1:8" s="115" customFormat="1" ht="72" customHeight="1" x14ac:dyDescent="0.25">
      <c r="A133" s="2409"/>
      <c r="B133" s="2397"/>
      <c r="C133" s="1090" t="s">
        <v>843</v>
      </c>
      <c r="D133" s="1100" t="s">
        <v>857</v>
      </c>
      <c r="E133" s="1454" t="s">
        <v>1521</v>
      </c>
      <c r="F133" s="1447" t="s">
        <v>1456</v>
      </c>
      <c r="G133" s="1100" t="s">
        <v>203</v>
      </c>
      <c r="H133" s="2429"/>
    </row>
    <row r="134" spans="1:8" s="115" customFormat="1" ht="35.25" customHeight="1" x14ac:dyDescent="0.25">
      <c r="A134" s="2409"/>
      <c r="B134" s="2397"/>
      <c r="C134" s="1090" t="s">
        <v>859</v>
      </c>
      <c r="D134" s="1100" t="s">
        <v>857</v>
      </c>
      <c r="E134" s="1454" t="s">
        <v>1521</v>
      </c>
      <c r="F134" s="1100" t="s">
        <v>847</v>
      </c>
      <c r="G134" s="1100" t="s">
        <v>203</v>
      </c>
      <c r="H134" s="2429"/>
    </row>
    <row r="135" spans="1:8" s="115" customFormat="1" ht="56.25" customHeight="1" x14ac:dyDescent="0.25">
      <c r="A135" s="2409"/>
      <c r="B135" s="2397"/>
      <c r="C135" s="1090" t="s">
        <v>1448</v>
      </c>
      <c r="D135" s="1100" t="s">
        <v>857</v>
      </c>
      <c r="E135" s="1454" t="s">
        <v>1521</v>
      </c>
      <c r="F135" s="1100" t="s">
        <v>830</v>
      </c>
      <c r="G135" s="1100" t="s">
        <v>203</v>
      </c>
      <c r="H135" s="2429"/>
    </row>
    <row r="136" spans="1:8" s="115" customFormat="1" ht="44.25" customHeight="1" x14ac:dyDescent="0.25">
      <c r="A136" s="2410"/>
      <c r="B136" s="2398"/>
      <c r="C136" s="1090" t="s">
        <v>484</v>
      </c>
      <c r="D136" s="1100" t="s">
        <v>205</v>
      </c>
      <c r="E136" s="1100">
        <v>2.8</v>
      </c>
      <c r="F136" s="1100" t="s">
        <v>847</v>
      </c>
      <c r="G136" s="1100" t="s">
        <v>203</v>
      </c>
      <c r="H136" s="2429"/>
    </row>
    <row r="137" spans="1:8" s="115" customFormat="1" x14ac:dyDescent="0.25">
      <c r="A137" s="2408" t="s">
        <v>221</v>
      </c>
      <c r="B137" s="2396" t="s">
        <v>536</v>
      </c>
      <c r="C137" s="1090" t="s">
        <v>207</v>
      </c>
      <c r="D137" s="1100" t="s">
        <v>845</v>
      </c>
      <c r="E137" s="1100"/>
      <c r="F137" s="1447" t="s">
        <v>1470</v>
      </c>
      <c r="G137" s="1100" t="s">
        <v>208</v>
      </c>
      <c r="H137" s="111"/>
    </row>
    <row r="138" spans="1:8" s="115" customFormat="1" ht="91.5" customHeight="1" x14ac:dyDescent="0.25">
      <c r="A138" s="2409"/>
      <c r="B138" s="2397"/>
      <c r="C138" s="1090" t="s">
        <v>848</v>
      </c>
      <c r="D138" s="1100" t="s">
        <v>860</v>
      </c>
      <c r="E138" s="1105">
        <v>0.4</v>
      </c>
      <c r="F138" s="1100" t="s">
        <v>861</v>
      </c>
      <c r="G138" s="1100" t="s">
        <v>203</v>
      </c>
      <c r="H138" s="2429"/>
    </row>
    <row r="139" spans="1:8" s="115" customFormat="1" ht="35.25" customHeight="1" x14ac:dyDescent="0.25">
      <c r="A139" s="2409"/>
      <c r="B139" s="2397"/>
      <c r="C139" s="1090" t="s">
        <v>216</v>
      </c>
      <c r="D139" s="1100" t="s">
        <v>862</v>
      </c>
      <c r="E139" s="1101">
        <v>17</v>
      </c>
      <c r="F139" s="1447" t="s">
        <v>1494</v>
      </c>
      <c r="G139" s="1100" t="s">
        <v>203</v>
      </c>
      <c r="H139" s="2429"/>
    </row>
    <row r="140" spans="1:8" s="115" customFormat="1" ht="52.5" customHeight="1" x14ac:dyDescent="0.25">
      <c r="A140" s="2410"/>
      <c r="B140" s="2398"/>
      <c r="C140" s="1090" t="s">
        <v>851</v>
      </c>
      <c r="D140" s="1100" t="s">
        <v>218</v>
      </c>
      <c r="E140" s="1100">
        <v>1.5E-3</v>
      </c>
      <c r="F140" s="1100" t="s">
        <v>853</v>
      </c>
      <c r="G140" s="1454" t="s">
        <v>203</v>
      </c>
      <c r="H140" s="589"/>
    </row>
    <row r="141" spans="1:8" s="115" customFormat="1" ht="19.5" customHeight="1" x14ac:dyDescent="0.25">
      <c r="A141" s="2408" t="s">
        <v>541</v>
      </c>
      <c r="B141" s="2396" t="s">
        <v>537</v>
      </c>
      <c r="C141" s="1090" t="s">
        <v>207</v>
      </c>
      <c r="D141" s="1100" t="s">
        <v>845</v>
      </c>
      <c r="E141" s="1100"/>
      <c r="F141" s="1447" t="s">
        <v>1470</v>
      </c>
      <c r="G141" s="1100" t="s">
        <v>208</v>
      </c>
      <c r="H141" s="111"/>
    </row>
    <row r="142" spans="1:8" s="115" customFormat="1" ht="54" customHeight="1" x14ac:dyDescent="0.25">
      <c r="A142" s="2409"/>
      <c r="B142" s="2397"/>
      <c r="C142" s="1090" t="s">
        <v>836</v>
      </c>
      <c r="D142" s="1100" t="s">
        <v>864</v>
      </c>
      <c r="E142" s="1100" t="s">
        <v>916</v>
      </c>
      <c r="F142" s="1100" t="s">
        <v>829</v>
      </c>
      <c r="G142" s="1100" t="s">
        <v>203</v>
      </c>
      <c r="H142" s="2429"/>
    </row>
    <row r="143" spans="1:8" s="115" customFormat="1" ht="72.75" customHeight="1" x14ac:dyDescent="0.25">
      <c r="A143" s="2409"/>
      <c r="B143" s="2397"/>
      <c r="C143" s="1090" t="s">
        <v>474</v>
      </c>
      <c r="D143" s="1100" t="s">
        <v>865</v>
      </c>
      <c r="E143" s="1454" t="s">
        <v>1521</v>
      </c>
      <c r="F143" s="1100" t="s">
        <v>1167</v>
      </c>
      <c r="G143" s="1100" t="s">
        <v>203</v>
      </c>
      <c r="H143" s="2429"/>
    </row>
    <row r="144" spans="1:8" s="115" customFormat="1" ht="69" customHeight="1" x14ac:dyDescent="0.25">
      <c r="A144" s="2409"/>
      <c r="B144" s="2397"/>
      <c r="C144" s="1090" t="s">
        <v>843</v>
      </c>
      <c r="D144" s="1100" t="s">
        <v>865</v>
      </c>
      <c r="E144" s="1454" t="s">
        <v>1521</v>
      </c>
      <c r="F144" s="1100" t="s">
        <v>1163</v>
      </c>
      <c r="G144" s="1100" t="s">
        <v>203</v>
      </c>
      <c r="H144" s="2429"/>
    </row>
    <row r="145" spans="1:8" s="115" customFormat="1" ht="38.25" customHeight="1" x14ac:dyDescent="0.25">
      <c r="A145" s="2409"/>
      <c r="B145" s="2397"/>
      <c r="C145" s="1090" t="s">
        <v>859</v>
      </c>
      <c r="D145" s="1100" t="s">
        <v>865</v>
      </c>
      <c r="E145" s="1454" t="s">
        <v>1521</v>
      </c>
      <c r="F145" s="1100" t="s">
        <v>847</v>
      </c>
      <c r="G145" s="1100" t="s">
        <v>203</v>
      </c>
      <c r="H145" s="2429"/>
    </row>
    <row r="146" spans="1:8" s="115" customFormat="1" ht="60" customHeight="1" x14ac:dyDescent="0.25">
      <c r="A146" s="2409"/>
      <c r="B146" s="2397"/>
      <c r="C146" s="1090" t="s">
        <v>1448</v>
      </c>
      <c r="D146" s="1100" t="s">
        <v>865</v>
      </c>
      <c r="E146" s="1454" t="s">
        <v>1521</v>
      </c>
      <c r="F146" s="1100" t="s">
        <v>830</v>
      </c>
      <c r="G146" s="1100" t="s">
        <v>203</v>
      </c>
      <c r="H146" s="2430"/>
    </row>
    <row r="147" spans="1:8" s="115" customFormat="1" ht="43.5" customHeight="1" x14ac:dyDescent="0.25">
      <c r="A147" s="2410"/>
      <c r="B147" s="2398"/>
      <c r="C147" s="1090" t="s">
        <v>484</v>
      </c>
      <c r="D147" s="1100" t="s">
        <v>205</v>
      </c>
      <c r="E147" s="1101">
        <v>5</v>
      </c>
      <c r="F147" s="1100" t="s">
        <v>847</v>
      </c>
      <c r="G147" s="1100" t="s">
        <v>203</v>
      </c>
      <c r="H147" s="2430"/>
    </row>
    <row r="148" spans="1:8" s="115" customFormat="1" ht="36" customHeight="1" x14ac:dyDescent="0.25">
      <c r="A148" s="2408" t="s">
        <v>542</v>
      </c>
      <c r="B148" s="2396" t="s">
        <v>560</v>
      </c>
      <c r="C148" s="1090" t="s">
        <v>207</v>
      </c>
      <c r="D148" s="1100" t="s">
        <v>845</v>
      </c>
      <c r="E148" s="1100"/>
      <c r="F148" s="1447" t="s">
        <v>1470</v>
      </c>
      <c r="G148" s="1100" t="s">
        <v>208</v>
      </c>
      <c r="H148" s="111"/>
    </row>
    <row r="149" spans="1:8" s="115" customFormat="1" ht="56.25" customHeight="1" x14ac:dyDescent="0.25">
      <c r="A149" s="2409"/>
      <c r="B149" s="2397"/>
      <c r="C149" s="1090" t="s">
        <v>836</v>
      </c>
      <c r="D149" s="1100" t="s">
        <v>866</v>
      </c>
      <c r="E149" s="1454" t="s">
        <v>1521</v>
      </c>
      <c r="F149" s="1100" t="s">
        <v>829</v>
      </c>
      <c r="G149" s="1100" t="s">
        <v>203</v>
      </c>
      <c r="H149" s="589"/>
    </row>
    <row r="150" spans="1:8" s="115" customFormat="1" ht="69.75" customHeight="1" x14ac:dyDescent="0.25">
      <c r="A150" s="2409"/>
      <c r="B150" s="2397"/>
      <c r="C150" s="1090" t="s">
        <v>474</v>
      </c>
      <c r="D150" s="1100" t="s">
        <v>866</v>
      </c>
      <c r="E150" s="1454" t="s">
        <v>1521</v>
      </c>
      <c r="F150" s="1100" t="s">
        <v>1167</v>
      </c>
      <c r="G150" s="1100" t="s">
        <v>203</v>
      </c>
      <c r="H150" s="589"/>
    </row>
    <row r="151" spans="1:8" s="115" customFormat="1" ht="70.5" customHeight="1" x14ac:dyDescent="0.25">
      <c r="A151" s="2409"/>
      <c r="B151" s="2397"/>
      <c r="C151" s="1090" t="s">
        <v>843</v>
      </c>
      <c r="D151" s="1100" t="s">
        <v>866</v>
      </c>
      <c r="E151" s="1454" t="s">
        <v>1521</v>
      </c>
      <c r="F151" s="1100" t="s">
        <v>1169</v>
      </c>
      <c r="G151" s="1100" t="s">
        <v>203</v>
      </c>
      <c r="H151" s="588"/>
    </row>
    <row r="152" spans="1:8" s="115" customFormat="1" ht="52.5" customHeight="1" x14ac:dyDescent="0.25">
      <c r="A152" s="2409"/>
      <c r="B152" s="2397"/>
      <c r="C152" s="1090" t="s">
        <v>859</v>
      </c>
      <c r="D152" s="1100" t="s">
        <v>866</v>
      </c>
      <c r="E152" s="1454" t="s">
        <v>1521</v>
      </c>
      <c r="F152" s="1100" t="s">
        <v>847</v>
      </c>
      <c r="G152" s="1100" t="s">
        <v>203</v>
      </c>
      <c r="H152" s="589"/>
    </row>
    <row r="153" spans="1:8" s="115" customFormat="1" ht="67.2" x14ac:dyDescent="0.25">
      <c r="A153" s="2410"/>
      <c r="B153" s="2398"/>
      <c r="C153" s="1090" t="s">
        <v>1448</v>
      </c>
      <c r="D153" s="1100" t="s">
        <v>839</v>
      </c>
      <c r="E153" s="1454" t="s">
        <v>1521</v>
      </c>
      <c r="F153" s="1100" t="s">
        <v>830</v>
      </c>
      <c r="G153" s="1100" t="s">
        <v>203</v>
      </c>
      <c r="H153" s="589"/>
    </row>
    <row r="154" spans="1:8" s="115" customFormat="1" ht="24.75" customHeight="1" x14ac:dyDescent="0.25">
      <c r="A154" s="2426" t="s">
        <v>222</v>
      </c>
      <c r="B154" s="2427"/>
      <c r="C154" s="2427"/>
      <c r="D154" s="2427"/>
      <c r="E154" s="2427"/>
      <c r="F154" s="2427"/>
      <c r="G154" s="2428"/>
      <c r="H154" s="589"/>
    </row>
    <row r="155" spans="1:8" s="115" customFormat="1" ht="40.5" customHeight="1" x14ac:dyDescent="0.25">
      <c r="A155" s="2408" t="s">
        <v>543</v>
      </c>
      <c r="B155" s="2396" t="s">
        <v>544</v>
      </c>
      <c r="C155" s="1090" t="s">
        <v>207</v>
      </c>
      <c r="D155" s="1100" t="s">
        <v>486</v>
      </c>
      <c r="E155" s="1100"/>
      <c r="F155" s="1447" t="s">
        <v>1471</v>
      </c>
      <c r="G155" s="1100" t="s">
        <v>208</v>
      </c>
      <c r="H155" s="111"/>
    </row>
    <row r="156" spans="1:8" s="115" customFormat="1" ht="68.25" customHeight="1" x14ac:dyDescent="0.25">
      <c r="A156" s="2409"/>
      <c r="B156" s="2397"/>
      <c r="C156" s="1090" t="s">
        <v>545</v>
      </c>
      <c r="D156" s="1100" t="s">
        <v>212</v>
      </c>
      <c r="E156" s="1454" t="s">
        <v>1521</v>
      </c>
      <c r="F156" s="1447" t="s">
        <v>1457</v>
      </c>
      <c r="G156" s="1100" t="s">
        <v>203</v>
      </c>
      <c r="H156" s="588"/>
    </row>
    <row r="157" spans="1:8" s="115" customFormat="1" ht="69" customHeight="1" x14ac:dyDescent="0.25">
      <c r="A157" s="2409"/>
      <c r="B157" s="2397"/>
      <c r="C157" s="1090" t="s">
        <v>843</v>
      </c>
      <c r="D157" s="1100" t="s">
        <v>212</v>
      </c>
      <c r="E157" s="1454" t="s">
        <v>1521</v>
      </c>
      <c r="F157" s="1447" t="s">
        <v>1456</v>
      </c>
      <c r="G157" s="1100" t="s">
        <v>203</v>
      </c>
      <c r="H157" s="589"/>
    </row>
    <row r="158" spans="1:8" s="115" customFormat="1" ht="57.75" customHeight="1" x14ac:dyDescent="0.25">
      <c r="A158" s="2409"/>
      <c r="B158" s="2397"/>
      <c r="C158" s="1090" t="s">
        <v>834</v>
      </c>
      <c r="D158" s="1100" t="s">
        <v>212</v>
      </c>
      <c r="E158" s="1100" t="s">
        <v>223</v>
      </c>
      <c r="F158" s="1100" t="s">
        <v>829</v>
      </c>
      <c r="G158" s="1100" t="s">
        <v>203</v>
      </c>
      <c r="H158" s="589"/>
    </row>
    <row r="159" spans="1:8" s="115" customFormat="1" ht="52.5" customHeight="1" x14ac:dyDescent="0.25">
      <c r="A159" s="2410"/>
      <c r="B159" s="2398"/>
      <c r="C159" s="1090" t="s">
        <v>1448</v>
      </c>
      <c r="D159" s="1100" t="s">
        <v>212</v>
      </c>
      <c r="E159" s="1454" t="s">
        <v>1521</v>
      </c>
      <c r="F159" s="1100" t="s">
        <v>830</v>
      </c>
      <c r="G159" s="1100" t="s">
        <v>203</v>
      </c>
      <c r="H159" s="589"/>
    </row>
    <row r="160" spans="1:8" s="115" customFormat="1" ht="24.75" customHeight="1" x14ac:dyDescent="0.25">
      <c r="A160" s="2426" t="s">
        <v>1473</v>
      </c>
      <c r="B160" s="2427"/>
      <c r="C160" s="2427"/>
      <c r="D160" s="2427"/>
      <c r="E160" s="2427"/>
      <c r="F160" s="2427"/>
      <c r="G160" s="2428"/>
      <c r="H160" s="111"/>
    </row>
    <row r="161" spans="1:8" s="115" customFormat="1" ht="28.5" customHeight="1" x14ac:dyDescent="0.25">
      <c r="A161" s="2408" t="s">
        <v>546</v>
      </c>
      <c r="B161" s="2396" t="s">
        <v>547</v>
      </c>
      <c r="C161" s="1090" t="s">
        <v>207</v>
      </c>
      <c r="D161" s="1100" t="s">
        <v>209</v>
      </c>
      <c r="E161" s="1100"/>
      <c r="F161" s="1447" t="s">
        <v>1472</v>
      </c>
      <c r="G161" s="1100" t="s">
        <v>208</v>
      </c>
      <c r="H161" s="111"/>
    </row>
    <row r="162" spans="1:8" s="115" customFormat="1" ht="68.25" customHeight="1" x14ac:dyDescent="0.25">
      <c r="A162" s="2409"/>
      <c r="B162" s="2397"/>
      <c r="C162" s="1090" t="s">
        <v>545</v>
      </c>
      <c r="D162" s="1100" t="s">
        <v>209</v>
      </c>
      <c r="E162" s="1454" t="s">
        <v>1521</v>
      </c>
      <c r="F162" s="1447" t="s">
        <v>1454</v>
      </c>
      <c r="G162" s="1100" t="s">
        <v>203</v>
      </c>
      <c r="H162" s="589"/>
    </row>
    <row r="163" spans="1:8" s="115" customFormat="1" ht="67.5" customHeight="1" x14ac:dyDescent="0.25">
      <c r="A163" s="2409"/>
      <c r="B163" s="2397"/>
      <c r="C163" s="1090" t="s">
        <v>843</v>
      </c>
      <c r="D163" s="1100" t="s">
        <v>209</v>
      </c>
      <c r="E163" s="1454" t="s">
        <v>1521</v>
      </c>
      <c r="F163" s="1447" t="s">
        <v>1456</v>
      </c>
      <c r="G163" s="1100" t="s">
        <v>203</v>
      </c>
      <c r="H163" s="589"/>
    </row>
    <row r="164" spans="1:8" s="115" customFormat="1" ht="58.5" customHeight="1" x14ac:dyDescent="0.25">
      <c r="A164" s="2409"/>
      <c r="B164" s="2397"/>
      <c r="C164" s="1090" t="s">
        <v>828</v>
      </c>
      <c r="D164" s="1100" t="s">
        <v>209</v>
      </c>
      <c r="E164" s="1454" t="s">
        <v>1521</v>
      </c>
      <c r="F164" s="1100" t="s">
        <v>829</v>
      </c>
      <c r="G164" s="1100" t="s">
        <v>203</v>
      </c>
      <c r="H164" s="589"/>
    </row>
    <row r="165" spans="1:8" s="115" customFormat="1" ht="58.5" customHeight="1" x14ac:dyDescent="0.25">
      <c r="A165" s="2410"/>
      <c r="B165" s="2398"/>
      <c r="C165" s="1090" t="s">
        <v>1448</v>
      </c>
      <c r="D165" s="1455" t="s">
        <v>1545</v>
      </c>
      <c r="E165" s="1454" t="s">
        <v>1521</v>
      </c>
      <c r="F165" s="1100" t="s">
        <v>830</v>
      </c>
      <c r="G165" s="1100" t="s">
        <v>203</v>
      </c>
      <c r="H165" s="589"/>
    </row>
    <row r="166" spans="1:8" s="115" customFormat="1" ht="53.25" customHeight="1" x14ac:dyDescent="0.25">
      <c r="A166" s="2408" t="s">
        <v>548</v>
      </c>
      <c r="B166" s="2396" t="s">
        <v>561</v>
      </c>
      <c r="C166" s="1090" t="s">
        <v>207</v>
      </c>
      <c r="D166" s="1447" t="s">
        <v>1498</v>
      </c>
      <c r="E166" s="1100"/>
      <c r="F166" s="1447" t="s">
        <v>1499</v>
      </c>
      <c r="G166" s="1447" t="s">
        <v>224</v>
      </c>
      <c r="H166" s="588"/>
    </row>
    <row r="167" spans="1:8" s="115" customFormat="1" ht="58.5" customHeight="1" x14ac:dyDescent="0.25">
      <c r="A167" s="2409"/>
      <c r="B167" s="2397"/>
      <c r="C167" s="1090" t="s">
        <v>834</v>
      </c>
      <c r="D167" s="1100" t="s">
        <v>867</v>
      </c>
      <c r="E167" s="1454" t="s">
        <v>1521</v>
      </c>
      <c r="F167" s="1100" t="s">
        <v>829</v>
      </c>
      <c r="G167" s="1100" t="s">
        <v>203</v>
      </c>
      <c r="H167" s="588"/>
    </row>
    <row r="168" spans="1:8" s="115" customFormat="1" ht="57" customHeight="1" x14ac:dyDescent="0.25">
      <c r="A168" s="2410"/>
      <c r="B168" s="2398"/>
      <c r="C168" s="1090" t="s">
        <v>1448</v>
      </c>
      <c r="D168" s="1447" t="s">
        <v>1498</v>
      </c>
      <c r="E168" s="1100" t="s">
        <v>330</v>
      </c>
      <c r="F168" s="1100" t="s">
        <v>830</v>
      </c>
      <c r="G168" s="1100" t="s">
        <v>203</v>
      </c>
      <c r="H168" s="589"/>
    </row>
    <row r="169" spans="1:8" s="115" customFormat="1" ht="54" customHeight="1" x14ac:dyDescent="0.25">
      <c r="A169" s="2408" t="s">
        <v>549</v>
      </c>
      <c r="B169" s="2396" t="s">
        <v>562</v>
      </c>
      <c r="C169" s="1090" t="s">
        <v>207</v>
      </c>
      <c r="D169" s="1100" t="s">
        <v>845</v>
      </c>
      <c r="E169" s="1100"/>
      <c r="F169" s="1447" t="s">
        <v>1499</v>
      </c>
      <c r="G169" s="1100" t="s">
        <v>224</v>
      </c>
      <c r="H169" s="111"/>
    </row>
    <row r="170" spans="1:8" s="115" customFormat="1" ht="87.75" customHeight="1" x14ac:dyDescent="0.25">
      <c r="A170" s="2409"/>
      <c r="B170" s="2397"/>
      <c r="C170" s="1090" t="s">
        <v>1502</v>
      </c>
      <c r="D170" s="1100" t="s">
        <v>868</v>
      </c>
      <c r="E170" s="1447" t="s">
        <v>1500</v>
      </c>
      <c r="F170" s="1447" t="s">
        <v>1501</v>
      </c>
      <c r="G170" s="1100" t="s">
        <v>203</v>
      </c>
      <c r="H170" s="589"/>
    </row>
    <row r="171" spans="1:8" s="115" customFormat="1" ht="54.75" customHeight="1" x14ac:dyDescent="0.25">
      <c r="A171" s="2409"/>
      <c r="B171" s="2397"/>
      <c r="C171" s="1090" t="s">
        <v>836</v>
      </c>
      <c r="D171" s="1100" t="s">
        <v>868</v>
      </c>
      <c r="E171" s="1447" t="s">
        <v>917</v>
      </c>
      <c r="F171" s="1100" t="s">
        <v>829</v>
      </c>
      <c r="G171" s="1100" t="s">
        <v>203</v>
      </c>
      <c r="H171" s="589"/>
    </row>
    <row r="172" spans="1:8" s="115" customFormat="1" ht="104.25" customHeight="1" x14ac:dyDescent="0.25">
      <c r="A172" s="2410"/>
      <c r="B172" s="2398"/>
      <c r="C172" s="1090" t="s">
        <v>869</v>
      </c>
      <c r="D172" s="1447" t="s">
        <v>1503</v>
      </c>
      <c r="E172" s="1447" t="s">
        <v>225</v>
      </c>
      <c r="F172" s="1447" t="s">
        <v>1505</v>
      </c>
      <c r="G172" s="1447" t="s">
        <v>1504</v>
      </c>
      <c r="H172" s="589"/>
    </row>
    <row r="173" spans="1:8" s="115" customFormat="1" ht="54" customHeight="1" x14ac:dyDescent="0.25">
      <c r="A173" s="2408" t="s">
        <v>550</v>
      </c>
      <c r="B173" s="2396" t="s">
        <v>563</v>
      </c>
      <c r="C173" s="1090" t="s">
        <v>207</v>
      </c>
      <c r="D173" s="1100" t="s">
        <v>845</v>
      </c>
      <c r="E173" s="1447"/>
      <c r="F173" s="1447" t="s">
        <v>1499</v>
      </c>
      <c r="G173" s="1100" t="s">
        <v>226</v>
      </c>
      <c r="H173" s="589"/>
    </row>
    <row r="174" spans="1:8" s="115" customFormat="1" ht="87.75" customHeight="1" x14ac:dyDescent="0.25">
      <c r="A174" s="2409"/>
      <c r="B174" s="2397"/>
      <c r="C174" s="1090" t="s">
        <v>1502</v>
      </c>
      <c r="D174" s="1100" t="s">
        <v>871</v>
      </c>
      <c r="E174" s="1447" t="s">
        <v>1500</v>
      </c>
      <c r="F174" s="1447" t="s">
        <v>1501</v>
      </c>
      <c r="G174" s="1100" t="s">
        <v>203</v>
      </c>
      <c r="H174" s="589"/>
    </row>
    <row r="175" spans="1:8" s="115" customFormat="1" ht="59.25" customHeight="1" x14ac:dyDescent="0.25">
      <c r="A175" s="2409"/>
      <c r="B175" s="2397"/>
      <c r="C175" s="1090" t="s">
        <v>836</v>
      </c>
      <c r="D175" s="1100" t="s">
        <v>872</v>
      </c>
      <c r="E175" s="1100" t="s">
        <v>917</v>
      </c>
      <c r="F175" s="1100" t="s">
        <v>829</v>
      </c>
      <c r="G175" s="1100" t="s">
        <v>203</v>
      </c>
      <c r="H175" s="589"/>
    </row>
    <row r="176" spans="1:8" s="115" customFormat="1" ht="75.75" customHeight="1" x14ac:dyDescent="0.25">
      <c r="A176" s="2409"/>
      <c r="B176" s="2397"/>
      <c r="C176" s="1090" t="s">
        <v>869</v>
      </c>
      <c r="D176" s="1100" t="s">
        <v>871</v>
      </c>
      <c r="E176" s="1100" t="s">
        <v>225</v>
      </c>
      <c r="F176" s="1100" t="s">
        <v>870</v>
      </c>
      <c r="G176" s="1100" t="s">
        <v>203</v>
      </c>
      <c r="H176" s="588"/>
    </row>
    <row r="177" spans="1:20" s="115" customFormat="1" ht="50.25" customHeight="1" x14ac:dyDescent="0.25">
      <c r="A177" s="2410"/>
      <c r="B177" s="2398"/>
      <c r="C177" s="1090" t="s">
        <v>1507</v>
      </c>
      <c r="D177" s="1447" t="s">
        <v>1506</v>
      </c>
      <c r="E177" s="1454" t="s">
        <v>1521</v>
      </c>
      <c r="F177" s="1447" t="s">
        <v>1508</v>
      </c>
      <c r="G177" s="1447" t="s">
        <v>203</v>
      </c>
      <c r="H177" s="1446"/>
    </row>
    <row r="178" spans="1:20" s="115" customFormat="1" ht="18.75" customHeight="1" x14ac:dyDescent="0.25">
      <c r="A178" s="2408" t="s">
        <v>551</v>
      </c>
      <c r="B178" s="2396" t="s">
        <v>1510</v>
      </c>
      <c r="C178" s="1090" t="s">
        <v>207</v>
      </c>
      <c r="D178" s="1447" t="s">
        <v>845</v>
      </c>
      <c r="E178" s="1447"/>
      <c r="F178" s="1447" t="s">
        <v>1472</v>
      </c>
      <c r="G178" s="1447" t="s">
        <v>208</v>
      </c>
      <c r="H178" s="589"/>
    </row>
    <row r="179" spans="1:20" s="115" customFormat="1" ht="84.75" customHeight="1" x14ac:dyDescent="0.25">
      <c r="A179" s="2409"/>
      <c r="B179" s="2397"/>
      <c r="C179" s="1090" t="s">
        <v>1502</v>
      </c>
      <c r="D179" s="1447" t="s">
        <v>1551</v>
      </c>
      <c r="E179" s="1447" t="s">
        <v>1509</v>
      </c>
      <c r="F179" s="1447" t="s">
        <v>1501</v>
      </c>
      <c r="G179" s="1447" t="s">
        <v>203</v>
      </c>
      <c r="H179" s="588"/>
    </row>
    <row r="180" spans="1:20" s="115" customFormat="1" ht="62.25" customHeight="1" x14ac:dyDescent="0.25">
      <c r="A180" s="2409"/>
      <c r="B180" s="2397"/>
      <c r="C180" s="1090" t="s">
        <v>834</v>
      </c>
      <c r="D180" s="1100" t="s">
        <v>873</v>
      </c>
      <c r="E180" s="1100" t="s">
        <v>223</v>
      </c>
      <c r="F180" s="1100" t="s">
        <v>829</v>
      </c>
      <c r="G180" s="1100" t="s">
        <v>203</v>
      </c>
      <c r="H180" s="588"/>
    </row>
    <row r="181" spans="1:20" s="115" customFormat="1" ht="55.5" customHeight="1" x14ac:dyDescent="0.25">
      <c r="A181" s="2410"/>
      <c r="B181" s="2398"/>
      <c r="C181" s="1090" t="s">
        <v>1448</v>
      </c>
      <c r="D181" s="1100" t="s">
        <v>874</v>
      </c>
      <c r="E181" s="1454" t="s">
        <v>1521</v>
      </c>
      <c r="F181" s="1100" t="s">
        <v>830</v>
      </c>
      <c r="G181" s="1454" t="s">
        <v>184</v>
      </c>
      <c r="H181" s="589"/>
    </row>
    <row r="182" spans="1:20" s="115" customFormat="1" ht="24.75" customHeight="1" x14ac:dyDescent="0.25">
      <c r="A182" s="2408" t="s">
        <v>552</v>
      </c>
      <c r="B182" s="2396" t="s">
        <v>1514</v>
      </c>
      <c r="C182" s="1090" t="s">
        <v>207</v>
      </c>
      <c r="D182" s="1447" t="s">
        <v>845</v>
      </c>
      <c r="E182" s="1447"/>
      <c r="F182" s="1447" t="s">
        <v>1472</v>
      </c>
      <c r="G182" s="1447" t="s">
        <v>208</v>
      </c>
      <c r="H182" s="1445"/>
    </row>
    <row r="183" spans="1:20" s="115" customFormat="1" ht="55.5" customHeight="1" x14ac:dyDescent="0.25">
      <c r="A183" s="2409"/>
      <c r="B183" s="2397"/>
      <c r="C183" s="1090" t="s">
        <v>1502</v>
      </c>
      <c r="D183" s="1464" t="s">
        <v>1551</v>
      </c>
      <c r="E183" s="1447" t="s">
        <v>1509</v>
      </c>
      <c r="F183" s="1447" t="s">
        <v>1501</v>
      </c>
      <c r="G183" s="1447" t="s">
        <v>203</v>
      </c>
      <c r="H183" s="1445"/>
    </row>
    <row r="184" spans="1:20" s="115" customFormat="1" ht="55.5" customHeight="1" x14ac:dyDescent="0.25">
      <c r="A184" s="2409"/>
      <c r="B184" s="2397"/>
      <c r="C184" s="1090" t="s">
        <v>834</v>
      </c>
      <c r="D184" s="1464" t="s">
        <v>873</v>
      </c>
      <c r="E184" s="1447" t="s">
        <v>223</v>
      </c>
      <c r="F184" s="1447" t="s">
        <v>829</v>
      </c>
      <c r="G184" s="1447" t="s">
        <v>203</v>
      </c>
      <c r="H184" s="1445"/>
    </row>
    <row r="185" spans="1:20" s="115" customFormat="1" ht="55.5" customHeight="1" x14ac:dyDescent="0.25">
      <c r="A185" s="2410"/>
      <c r="B185" s="2398"/>
      <c r="C185" s="1090" t="s">
        <v>1448</v>
      </c>
      <c r="D185" s="1464" t="s">
        <v>874</v>
      </c>
      <c r="E185" s="1454" t="s">
        <v>1521</v>
      </c>
      <c r="F185" s="1447" t="s">
        <v>830</v>
      </c>
      <c r="G185" s="1447" t="s">
        <v>184</v>
      </c>
      <c r="H185" s="1445"/>
    </row>
    <row r="186" spans="1:20" s="115" customFormat="1" ht="28.5" customHeight="1" x14ac:dyDescent="0.25">
      <c r="A186" s="2408" t="s">
        <v>488</v>
      </c>
      <c r="B186" s="2396" t="s">
        <v>564</v>
      </c>
      <c r="C186" s="1090" t="s">
        <v>207</v>
      </c>
      <c r="D186" s="1100" t="s">
        <v>227</v>
      </c>
      <c r="E186" s="1100"/>
      <c r="F186" s="1447" t="s">
        <v>1472</v>
      </c>
      <c r="G186" s="1100" t="s">
        <v>208</v>
      </c>
      <c r="H186" s="589"/>
    </row>
    <row r="187" spans="1:20" s="115" customFormat="1" ht="117" customHeight="1" x14ac:dyDescent="0.25">
      <c r="A187" s="2410"/>
      <c r="B187" s="2398"/>
      <c r="C187" s="1090" t="s">
        <v>1449</v>
      </c>
      <c r="D187" s="1100" t="s">
        <v>227</v>
      </c>
      <c r="E187" s="1447" t="s">
        <v>1511</v>
      </c>
      <c r="F187" s="1447" t="s">
        <v>1450</v>
      </c>
      <c r="G187" s="1100" t="s">
        <v>203</v>
      </c>
      <c r="H187" s="588"/>
    </row>
    <row r="188" spans="1:20" s="115" customFormat="1" ht="33.75" customHeight="1" x14ac:dyDescent="0.25">
      <c r="A188" s="2408" t="s">
        <v>1513</v>
      </c>
      <c r="B188" s="2396" t="s">
        <v>1512</v>
      </c>
      <c r="C188" s="1090" t="s">
        <v>207</v>
      </c>
      <c r="D188" s="1447" t="s">
        <v>210</v>
      </c>
      <c r="E188" s="1100"/>
      <c r="F188" s="1447" t="s">
        <v>1474</v>
      </c>
      <c r="G188" s="1100" t="s">
        <v>203</v>
      </c>
      <c r="H188" s="588"/>
    </row>
    <row r="189" spans="1:20" s="115" customFormat="1" ht="66.75" customHeight="1" x14ac:dyDescent="0.3">
      <c r="A189" s="2410"/>
      <c r="B189" s="2398"/>
      <c r="C189" s="1090" t="s">
        <v>840</v>
      </c>
      <c r="D189" s="1447" t="s">
        <v>210</v>
      </c>
      <c r="E189" s="1100">
        <v>0.5</v>
      </c>
      <c r="F189" s="1447" t="s">
        <v>841</v>
      </c>
      <c r="G189" s="1100" t="s">
        <v>203</v>
      </c>
      <c r="H189" s="589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587"/>
    </row>
    <row r="190" spans="1:20" ht="33" customHeight="1" x14ac:dyDescent="0.3">
      <c r="A190" s="2413" t="s">
        <v>1515</v>
      </c>
      <c r="B190" s="2413"/>
      <c r="C190" s="2413"/>
      <c r="D190" s="2413"/>
      <c r="E190" s="2413"/>
      <c r="F190" s="2413"/>
      <c r="G190" s="2413"/>
      <c r="H190" s="112"/>
      <c r="I190" s="112"/>
      <c r="J190" s="71"/>
      <c r="K190" s="71"/>
      <c r="L190" s="71"/>
      <c r="M190" s="71"/>
      <c r="N190" s="71"/>
      <c r="O190" s="71"/>
      <c r="P190" s="71"/>
      <c r="Q190" s="71"/>
      <c r="R190" s="71"/>
      <c r="S190" s="71"/>
    </row>
    <row r="191" spans="1:20" ht="72.75" customHeight="1" x14ac:dyDescent="0.3">
      <c r="A191" s="2414"/>
      <c r="B191" s="2414"/>
      <c r="C191" s="2414"/>
      <c r="D191" s="2414"/>
      <c r="E191" s="2414"/>
      <c r="F191" s="2414"/>
      <c r="G191" s="2414"/>
      <c r="H191" s="112"/>
      <c r="I191" s="112"/>
      <c r="J191" s="71"/>
      <c r="K191" s="71"/>
      <c r="L191" s="71"/>
      <c r="M191" s="71"/>
      <c r="N191" s="71"/>
      <c r="O191" s="71"/>
      <c r="P191" s="71"/>
      <c r="Q191" s="71"/>
      <c r="R191" s="71"/>
      <c r="S191" s="71"/>
    </row>
    <row r="192" spans="1:20" ht="33" customHeight="1" x14ac:dyDescent="0.3">
      <c r="A192" s="2414"/>
      <c r="B192" s="2414"/>
      <c r="C192" s="2414"/>
      <c r="D192" s="2414"/>
      <c r="E192" s="2414"/>
      <c r="F192" s="2414"/>
      <c r="G192" s="2414"/>
      <c r="H192" s="112"/>
      <c r="I192" s="112"/>
      <c r="J192" s="71"/>
      <c r="K192" s="71"/>
      <c r="L192" s="71"/>
      <c r="M192" s="112"/>
      <c r="N192" s="71"/>
      <c r="O192" s="71"/>
      <c r="P192" s="71"/>
      <c r="Q192" s="71"/>
      <c r="R192" s="71"/>
      <c r="S192" s="71"/>
    </row>
    <row r="193" spans="1:19" ht="33" customHeight="1" x14ac:dyDescent="0.3">
      <c r="A193" s="2414"/>
      <c r="B193" s="2414"/>
      <c r="C193" s="2414"/>
      <c r="D193" s="2414"/>
      <c r="E193" s="2414"/>
      <c r="F193" s="2414"/>
      <c r="G193" s="2414"/>
      <c r="H193" s="112"/>
      <c r="I193" s="112"/>
      <c r="J193" s="71"/>
      <c r="K193" s="71"/>
      <c r="L193" s="71"/>
      <c r="M193" s="71"/>
      <c r="N193" s="71"/>
      <c r="O193" s="71"/>
      <c r="P193" s="71"/>
      <c r="Q193" s="71"/>
      <c r="R193" s="71"/>
      <c r="S193" s="71"/>
    </row>
    <row r="194" spans="1:19" ht="75" customHeight="1" x14ac:dyDescent="0.3">
      <c r="A194" s="2414"/>
      <c r="B194" s="2414"/>
      <c r="C194" s="2414"/>
      <c r="D194" s="2414"/>
      <c r="E194" s="2414"/>
      <c r="F194" s="2414"/>
      <c r="G194" s="2414"/>
      <c r="H194" s="112"/>
      <c r="I194" s="112"/>
      <c r="J194" s="71"/>
      <c r="K194" s="71"/>
      <c r="L194" s="71"/>
      <c r="M194" s="71"/>
      <c r="N194" s="71"/>
      <c r="O194" s="71"/>
      <c r="P194" s="71"/>
      <c r="Q194" s="71"/>
      <c r="R194" s="71"/>
      <c r="S194" s="71"/>
    </row>
    <row r="195" spans="1:19" ht="34.5" hidden="1" customHeight="1" x14ac:dyDescent="0.3">
      <c r="A195" s="2414"/>
      <c r="B195" s="2414"/>
      <c r="C195" s="2414"/>
      <c r="D195" s="2414"/>
      <c r="E195" s="2414"/>
      <c r="F195" s="2414"/>
      <c r="G195" s="2414"/>
      <c r="H195" s="112"/>
      <c r="I195" s="112"/>
      <c r="J195" s="71"/>
      <c r="K195" s="71"/>
      <c r="L195" s="71"/>
      <c r="M195" s="71"/>
      <c r="N195" s="71"/>
      <c r="O195" s="71"/>
      <c r="P195" s="71"/>
      <c r="Q195" s="71"/>
      <c r="R195" s="71"/>
      <c r="S195" s="71"/>
    </row>
    <row r="196" spans="1:19" ht="56.25" hidden="1" customHeight="1" x14ac:dyDescent="0.3">
      <c r="A196" s="2414"/>
      <c r="B196" s="2414"/>
      <c r="C196" s="2414"/>
      <c r="D196" s="2414"/>
      <c r="E196" s="2414"/>
      <c r="F196" s="2414"/>
      <c r="G196" s="2414"/>
      <c r="H196" s="112"/>
      <c r="I196" s="112"/>
      <c r="J196" s="71"/>
      <c r="K196" s="71"/>
      <c r="L196" s="71"/>
      <c r="M196" s="112"/>
      <c r="N196" s="71"/>
      <c r="O196" s="71"/>
      <c r="P196" s="71"/>
      <c r="Q196" s="71"/>
      <c r="R196" s="71"/>
      <c r="S196" s="71"/>
    </row>
    <row r="197" spans="1:19" ht="18" x14ac:dyDescent="0.35">
      <c r="A197" s="2415" t="s">
        <v>352</v>
      </c>
      <c r="B197" s="2416"/>
      <c r="C197" s="2416"/>
      <c r="D197" s="2416"/>
      <c r="E197" s="2416"/>
      <c r="F197" s="2416"/>
      <c r="G197" s="2416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</row>
    <row r="198" spans="1:19" ht="17.399999999999999" x14ac:dyDescent="0.3">
      <c r="A198" s="2417" t="s">
        <v>925</v>
      </c>
      <c r="B198" s="2418"/>
      <c r="C198" s="2418"/>
      <c r="D198" s="2418"/>
      <c r="E198" s="2418"/>
      <c r="F198" s="2418"/>
      <c r="G198" s="2418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</row>
    <row r="199" spans="1:19" ht="15.6" x14ac:dyDescent="0.3">
      <c r="A199" s="605"/>
      <c r="B199" s="601"/>
      <c r="C199" s="685"/>
      <c r="D199" s="603"/>
      <c r="E199" s="604"/>
      <c r="F199" s="604"/>
      <c r="G199" s="604"/>
      <c r="H199" s="71"/>
      <c r="I199" s="71"/>
      <c r="J199" s="71"/>
      <c r="K199" s="71"/>
      <c r="L199" s="71"/>
      <c r="M199" s="112"/>
      <c r="N199" s="71"/>
      <c r="O199" s="71"/>
      <c r="P199" s="71"/>
      <c r="Q199" s="71"/>
      <c r="R199" s="71"/>
      <c r="S199" s="71"/>
    </row>
    <row r="200" spans="1:19" ht="15.75" customHeight="1" x14ac:dyDescent="0.3">
      <c r="A200" s="686" t="s">
        <v>191</v>
      </c>
      <c r="B200" s="2399" t="s">
        <v>229</v>
      </c>
      <c r="C200" s="2421" t="s">
        <v>230</v>
      </c>
      <c r="D200" s="2399" t="s">
        <v>231</v>
      </c>
      <c r="E200" s="2399" t="s">
        <v>232</v>
      </c>
      <c r="F200" s="2399" t="s">
        <v>193</v>
      </c>
      <c r="G200" s="687" t="s">
        <v>194</v>
      </c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</row>
    <row r="201" spans="1:19" ht="15.6" x14ac:dyDescent="0.3">
      <c r="A201" s="688" t="s">
        <v>192</v>
      </c>
      <c r="B201" s="2419"/>
      <c r="C201" s="2422"/>
      <c r="D201" s="2419"/>
      <c r="E201" s="2419"/>
      <c r="F201" s="2419"/>
      <c r="G201" s="689" t="s">
        <v>195</v>
      </c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</row>
    <row r="202" spans="1:19" ht="15.6" x14ac:dyDescent="0.3">
      <c r="A202" s="690"/>
      <c r="B202" s="2420"/>
      <c r="C202" s="2423"/>
      <c r="D202" s="2420"/>
      <c r="E202" s="2420"/>
      <c r="F202" s="2420"/>
      <c r="G202" s="680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</row>
    <row r="203" spans="1:19" ht="15.6" x14ac:dyDescent="0.3">
      <c r="A203" s="691">
        <v>1</v>
      </c>
      <c r="B203" s="692">
        <v>2</v>
      </c>
      <c r="C203" s="693">
        <v>3</v>
      </c>
      <c r="D203" s="694">
        <v>4</v>
      </c>
      <c r="E203" s="695">
        <v>5</v>
      </c>
      <c r="F203" s="696">
        <v>6</v>
      </c>
      <c r="G203" s="697">
        <v>7</v>
      </c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</row>
    <row r="204" spans="1:19" ht="63" customHeight="1" x14ac:dyDescent="0.3">
      <c r="A204" s="2385">
        <v>1</v>
      </c>
      <c r="B204" s="2377" t="s">
        <v>926</v>
      </c>
      <c r="C204" s="698" t="s">
        <v>207</v>
      </c>
      <c r="D204" s="606" t="s">
        <v>212</v>
      </c>
      <c r="E204" s="606"/>
      <c r="F204" s="699"/>
      <c r="G204" s="700" t="s">
        <v>927</v>
      </c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</row>
    <row r="205" spans="1:19" ht="66.75" customHeight="1" x14ac:dyDescent="0.3">
      <c r="A205" s="2386"/>
      <c r="B205" s="2387"/>
      <c r="C205" s="701" t="s">
        <v>928</v>
      </c>
      <c r="D205" s="606" t="s">
        <v>212</v>
      </c>
      <c r="E205" s="702">
        <v>8.5</v>
      </c>
      <c r="F205" s="937" t="s">
        <v>1060</v>
      </c>
      <c r="G205" s="703" t="s">
        <v>929</v>
      </c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</row>
    <row r="206" spans="1:19" ht="31.5" customHeight="1" x14ac:dyDescent="0.3">
      <c r="A206" s="2385">
        <v>2</v>
      </c>
      <c r="B206" s="2377" t="s">
        <v>930</v>
      </c>
      <c r="C206" s="698" t="s">
        <v>207</v>
      </c>
      <c r="D206" s="606" t="s">
        <v>205</v>
      </c>
      <c r="E206" s="614"/>
      <c r="F206" s="683"/>
      <c r="G206" s="700" t="s">
        <v>927</v>
      </c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</row>
    <row r="207" spans="1:19" ht="48.75" customHeight="1" x14ac:dyDescent="0.3">
      <c r="A207" s="2386"/>
      <c r="B207" s="2387"/>
      <c r="C207" s="701" t="s">
        <v>931</v>
      </c>
      <c r="D207" s="606" t="s">
        <v>205</v>
      </c>
      <c r="E207" s="702">
        <v>84</v>
      </c>
      <c r="F207" s="937" t="s">
        <v>1061</v>
      </c>
      <c r="G207" s="606" t="s">
        <v>932</v>
      </c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</row>
    <row r="208" spans="1:19" ht="66" customHeight="1" x14ac:dyDescent="0.3">
      <c r="A208" s="2388">
        <v>3</v>
      </c>
      <c r="B208" s="2377" t="s">
        <v>933</v>
      </c>
      <c r="C208" s="607" t="s">
        <v>207</v>
      </c>
      <c r="D208" s="606" t="s">
        <v>879</v>
      </c>
      <c r="E208" s="614"/>
      <c r="F208" s="683"/>
      <c r="G208" s="606" t="s">
        <v>927</v>
      </c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</row>
    <row r="209" spans="1:19" ht="47.25" customHeight="1" x14ac:dyDescent="0.3">
      <c r="A209" s="2389"/>
      <c r="B209" s="2391"/>
      <c r="C209" s="607" t="s">
        <v>934</v>
      </c>
      <c r="D209" s="606" t="s">
        <v>879</v>
      </c>
      <c r="E209" s="704">
        <v>99</v>
      </c>
      <c r="F209" s="684" t="s">
        <v>948</v>
      </c>
      <c r="G209" s="2385" t="s">
        <v>935</v>
      </c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</row>
    <row r="210" spans="1:19" ht="50.4" x14ac:dyDescent="0.3">
      <c r="A210" s="2389"/>
      <c r="B210" s="2391"/>
      <c r="C210" s="607" t="s">
        <v>936</v>
      </c>
      <c r="D210" s="606" t="s">
        <v>879</v>
      </c>
      <c r="E210" s="614" t="s">
        <v>355</v>
      </c>
      <c r="F210" s="684" t="s">
        <v>949</v>
      </c>
      <c r="G210" s="2392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</row>
    <row r="211" spans="1:19" ht="57" customHeight="1" x14ac:dyDescent="0.3">
      <c r="A211" s="2390"/>
      <c r="B211" s="2387"/>
      <c r="C211" s="607" t="s">
        <v>353</v>
      </c>
      <c r="D211" s="606" t="s">
        <v>842</v>
      </c>
      <c r="E211" s="705">
        <v>3.0000000000000001E-3</v>
      </c>
      <c r="F211" s="610" t="s">
        <v>937</v>
      </c>
      <c r="G211" s="2393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</row>
    <row r="212" spans="1:19" ht="31.2" x14ac:dyDescent="0.3">
      <c r="A212" s="2385">
        <v>4</v>
      </c>
      <c r="B212" s="2377" t="s">
        <v>938</v>
      </c>
      <c r="C212" s="698" t="s">
        <v>207</v>
      </c>
      <c r="D212" s="606" t="s">
        <v>205</v>
      </c>
      <c r="E212" s="614"/>
      <c r="F212" s="683"/>
      <c r="G212" s="700" t="s">
        <v>927</v>
      </c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</row>
    <row r="213" spans="1:19" ht="49.5" customHeight="1" x14ac:dyDescent="0.3">
      <c r="A213" s="2386"/>
      <c r="B213" s="2387"/>
      <c r="C213" s="701" t="s">
        <v>939</v>
      </c>
      <c r="D213" s="606" t="s">
        <v>205</v>
      </c>
      <c r="E213" s="702">
        <v>75</v>
      </c>
      <c r="F213" s="937" t="s">
        <v>1062</v>
      </c>
      <c r="G213" s="606" t="s">
        <v>935</v>
      </c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</row>
    <row r="214" spans="1:19" ht="39.75" customHeight="1" x14ac:dyDescent="0.3">
      <c r="A214" s="2385">
        <v>5</v>
      </c>
      <c r="B214" s="2377" t="s">
        <v>940</v>
      </c>
      <c r="C214" s="698" t="s">
        <v>207</v>
      </c>
      <c r="D214" s="606" t="s">
        <v>205</v>
      </c>
      <c r="E214" s="614"/>
      <c r="F214" s="683"/>
      <c r="G214" s="700" t="s">
        <v>927</v>
      </c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</row>
    <row r="215" spans="1:19" ht="49.5" customHeight="1" x14ac:dyDescent="0.3">
      <c r="A215" s="2386"/>
      <c r="B215" s="2387"/>
      <c r="C215" s="701" t="s">
        <v>939</v>
      </c>
      <c r="D215" s="606" t="s">
        <v>205</v>
      </c>
      <c r="E215" s="702">
        <v>85</v>
      </c>
      <c r="F215" s="937" t="s">
        <v>1063</v>
      </c>
      <c r="G215" s="703" t="s">
        <v>935</v>
      </c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</row>
    <row r="216" spans="1:19" ht="15.6" x14ac:dyDescent="0.3">
      <c r="A216" s="706"/>
      <c r="B216" s="707"/>
      <c r="C216" s="708"/>
      <c r="D216" s="708"/>
      <c r="E216" s="706"/>
      <c r="F216" s="706"/>
      <c r="G216" s="706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</row>
    <row r="217" spans="1:19" ht="15.75" customHeight="1" x14ac:dyDescent="0.3">
      <c r="A217" s="2424" t="s">
        <v>941</v>
      </c>
      <c r="B217" s="2425"/>
      <c r="C217" s="2425"/>
      <c r="D217" s="2425"/>
      <c r="E217" s="2425"/>
      <c r="F217" s="2425"/>
      <c r="G217" s="2425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</row>
    <row r="218" spans="1:19" ht="31.5" customHeight="1" x14ac:dyDescent="0.3">
      <c r="A218" s="2394" t="s">
        <v>942</v>
      </c>
      <c r="B218" s="2395"/>
      <c r="C218" s="2395"/>
      <c r="D218" s="2395"/>
      <c r="E218" s="2395"/>
      <c r="F218" s="2395"/>
      <c r="G218" s="2395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</row>
    <row r="219" spans="1:19" ht="18" customHeight="1" x14ac:dyDescent="0.3">
      <c r="A219" s="2394" t="s">
        <v>943</v>
      </c>
      <c r="B219" s="2395"/>
      <c r="C219" s="2395"/>
      <c r="D219" s="2395"/>
      <c r="E219" s="2395"/>
      <c r="F219" s="2395"/>
      <c r="G219" s="2395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</row>
    <row r="220" spans="1:19" ht="58.5" customHeight="1" x14ac:dyDescent="0.3">
      <c r="A220" s="2394" t="s">
        <v>944</v>
      </c>
      <c r="B220" s="2395"/>
      <c r="C220" s="2395"/>
      <c r="D220" s="2395"/>
      <c r="E220" s="2395"/>
      <c r="F220" s="2395"/>
      <c r="G220" s="2395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</row>
    <row r="221" spans="1:19" ht="18" x14ac:dyDescent="0.35">
      <c r="A221" s="600"/>
      <c r="B221" s="602" t="s">
        <v>352</v>
      </c>
      <c r="C221" s="612"/>
      <c r="D221" s="611"/>
      <c r="E221" s="611" t="s">
        <v>970</v>
      </c>
      <c r="F221" s="611"/>
      <c r="G221" s="709"/>
    </row>
    <row r="222" spans="1:19" ht="17.399999999999999" x14ac:dyDescent="0.3">
      <c r="A222" s="613"/>
      <c r="B222" s="710" t="s">
        <v>356</v>
      </c>
      <c r="C222" s="711"/>
      <c r="D222" s="712"/>
      <c r="E222" s="712"/>
      <c r="F222" s="712"/>
      <c r="G222" s="709"/>
    </row>
    <row r="223" spans="1:19" ht="15.6" x14ac:dyDescent="0.25">
      <c r="A223" s="686" t="s">
        <v>191</v>
      </c>
      <c r="B223" s="2399" t="s">
        <v>229</v>
      </c>
      <c r="C223" s="2402" t="s">
        <v>230</v>
      </c>
      <c r="D223" s="2405" t="s">
        <v>231</v>
      </c>
      <c r="E223" s="2405" t="s">
        <v>232</v>
      </c>
      <c r="F223" s="2405" t="s">
        <v>193</v>
      </c>
      <c r="G223" s="687" t="s">
        <v>194</v>
      </c>
    </row>
    <row r="224" spans="1:19" ht="15.6" x14ac:dyDescent="0.25">
      <c r="A224" s="688" t="s">
        <v>192</v>
      </c>
      <c r="B224" s="2400"/>
      <c r="C224" s="2403"/>
      <c r="D224" s="2406"/>
      <c r="E224" s="2403"/>
      <c r="F224" s="2403"/>
      <c r="G224" s="689" t="s">
        <v>195</v>
      </c>
    </row>
    <row r="225" spans="1:8" ht="15.6" x14ac:dyDescent="0.25">
      <c r="A225" s="690"/>
      <c r="B225" s="2401"/>
      <c r="C225" s="2404"/>
      <c r="D225" s="2407"/>
      <c r="E225" s="2404"/>
      <c r="F225" s="2404"/>
      <c r="G225" s="713"/>
    </row>
    <row r="226" spans="1:8" ht="54.75" customHeight="1" x14ac:dyDescent="0.25">
      <c r="A226" s="2382" t="s">
        <v>946</v>
      </c>
      <c r="B226" s="2377" t="s">
        <v>357</v>
      </c>
      <c r="C226" s="607" t="s">
        <v>358</v>
      </c>
      <c r="D226" s="606" t="s">
        <v>879</v>
      </c>
      <c r="E226" s="714">
        <v>99</v>
      </c>
      <c r="F226" s="703" t="s">
        <v>950</v>
      </c>
      <c r="G226" s="2380" t="s">
        <v>932</v>
      </c>
    </row>
    <row r="227" spans="1:8" ht="51" customHeight="1" x14ac:dyDescent="0.25">
      <c r="A227" s="2383"/>
      <c r="B227" s="2378"/>
      <c r="C227" s="607" t="s">
        <v>359</v>
      </c>
      <c r="D227" s="606" t="s">
        <v>879</v>
      </c>
      <c r="E227" s="606" t="s">
        <v>360</v>
      </c>
      <c r="F227" s="715" t="s">
        <v>951</v>
      </c>
      <c r="G227" s="2381"/>
    </row>
    <row r="228" spans="1:8" ht="48" customHeight="1" x14ac:dyDescent="0.25">
      <c r="A228" s="2384"/>
      <c r="B228" s="2379"/>
      <c r="C228" s="607" t="s">
        <v>353</v>
      </c>
      <c r="D228" s="606" t="s">
        <v>879</v>
      </c>
      <c r="E228" s="614">
        <v>5.0000000000000001E-3</v>
      </c>
      <c r="F228" s="716" t="s">
        <v>952</v>
      </c>
      <c r="G228" s="2381"/>
    </row>
    <row r="229" spans="1:8" x14ac:dyDescent="0.3">
      <c r="A229" s="717" t="s">
        <v>945</v>
      </c>
      <c r="B229" s="718"/>
      <c r="C229" s="718"/>
      <c r="D229" s="719"/>
      <c r="E229" s="719"/>
      <c r="F229" s="719"/>
      <c r="G229" s="719"/>
    </row>
    <row r="230" spans="1:8" ht="15.6" x14ac:dyDescent="0.3">
      <c r="A230" s="600"/>
      <c r="B230" s="601"/>
      <c r="C230" s="603"/>
      <c r="D230" s="603"/>
      <c r="E230" s="604"/>
      <c r="F230" s="604"/>
      <c r="G230" s="604"/>
    </row>
    <row r="231" spans="1:8" ht="18" x14ac:dyDescent="0.35">
      <c r="A231" s="600"/>
      <c r="B231" s="681" t="s">
        <v>374</v>
      </c>
      <c r="C231" s="681"/>
      <c r="D231" s="681"/>
      <c r="E231" s="681"/>
      <c r="F231" s="681"/>
      <c r="G231" s="681"/>
    </row>
    <row r="232" spans="1:8" ht="17.399999999999999" x14ac:dyDescent="0.3">
      <c r="A232" s="600"/>
      <c r="B232" s="682" t="s">
        <v>379</v>
      </c>
      <c r="C232" s="682"/>
      <c r="D232" s="682"/>
      <c r="E232" s="682"/>
      <c r="F232" s="682"/>
      <c r="G232" s="682"/>
    </row>
    <row r="233" spans="1:8" ht="15.6" x14ac:dyDescent="0.25">
      <c r="A233" s="686" t="s">
        <v>191</v>
      </c>
      <c r="B233" s="2411" t="s">
        <v>229</v>
      </c>
      <c r="C233" s="2411" t="s">
        <v>230</v>
      </c>
      <c r="D233" s="2411" t="s">
        <v>231</v>
      </c>
      <c r="E233" s="2411" t="s">
        <v>232</v>
      </c>
      <c r="F233" s="2411" t="s">
        <v>193</v>
      </c>
      <c r="G233" s="686" t="s">
        <v>194</v>
      </c>
      <c r="H233" s="722"/>
    </row>
    <row r="234" spans="1:8" ht="15.6" x14ac:dyDescent="0.25">
      <c r="A234" s="688" t="s">
        <v>192</v>
      </c>
      <c r="B234" s="2412"/>
      <c r="C234" s="2412"/>
      <c r="D234" s="2411"/>
      <c r="E234" s="2412"/>
      <c r="F234" s="2412"/>
      <c r="G234" s="688" t="s">
        <v>195</v>
      </c>
      <c r="H234" s="722"/>
    </row>
    <row r="235" spans="1:8" ht="15.6" x14ac:dyDescent="0.25">
      <c r="A235" s="680"/>
      <c r="B235" s="2412"/>
      <c r="C235" s="2412"/>
      <c r="D235" s="2411"/>
      <c r="E235" s="2412"/>
      <c r="F235" s="2412"/>
      <c r="G235" s="680"/>
      <c r="H235" s="722"/>
    </row>
    <row r="236" spans="1:8" ht="46.5" customHeight="1" x14ac:dyDescent="0.3">
      <c r="A236" s="615">
        <v>1</v>
      </c>
      <c r="B236" s="616" t="s">
        <v>375</v>
      </c>
      <c r="C236" s="617" t="s">
        <v>376</v>
      </c>
      <c r="D236" s="720" t="s">
        <v>212</v>
      </c>
      <c r="E236" s="618">
        <v>0.5</v>
      </c>
      <c r="F236" s="680" t="s">
        <v>947</v>
      </c>
      <c r="G236" s="680" t="s">
        <v>932</v>
      </c>
    </row>
    <row r="237" spans="1:8" ht="46.8" x14ac:dyDescent="0.3">
      <c r="A237" s="619">
        <v>2</v>
      </c>
      <c r="B237" s="608" t="s">
        <v>377</v>
      </c>
      <c r="C237" s="609" t="s">
        <v>378</v>
      </c>
      <c r="D237" s="721" t="s">
        <v>227</v>
      </c>
      <c r="E237" s="620">
        <v>0.5</v>
      </c>
      <c r="F237" s="680" t="s">
        <v>947</v>
      </c>
      <c r="G237" s="610" t="s">
        <v>932</v>
      </c>
    </row>
    <row r="238" spans="1:8" ht="15.6" x14ac:dyDescent="0.3">
      <c r="A238" s="600"/>
      <c r="B238" s="601"/>
      <c r="C238" s="603"/>
      <c r="D238" s="603"/>
      <c r="E238" s="604"/>
      <c r="F238" s="604"/>
      <c r="G238" s="604"/>
    </row>
  </sheetData>
  <mergeCells count="158">
    <mergeCell ref="A1:G1"/>
    <mergeCell ref="A2:G2"/>
    <mergeCell ref="A3:G3"/>
    <mergeCell ref="A6:G6"/>
    <mergeCell ref="A7:A8"/>
    <mergeCell ref="B7:B8"/>
    <mergeCell ref="A25:G25"/>
    <mergeCell ref="A26:A29"/>
    <mergeCell ref="B26:B29"/>
    <mergeCell ref="A15:A17"/>
    <mergeCell ref="B15:B17"/>
    <mergeCell ref="F16:F17"/>
    <mergeCell ref="G16:G17"/>
    <mergeCell ref="A9:A11"/>
    <mergeCell ref="B9:B11"/>
    <mergeCell ref="F10:F11"/>
    <mergeCell ref="G10:G11"/>
    <mergeCell ref="A12:A14"/>
    <mergeCell ref="B12:B14"/>
    <mergeCell ref="F13:F14"/>
    <mergeCell ref="G13:G14"/>
    <mergeCell ref="A30:A31"/>
    <mergeCell ref="B30:B31"/>
    <mergeCell ref="A32:A35"/>
    <mergeCell ref="B32:B35"/>
    <mergeCell ref="A18:A24"/>
    <mergeCell ref="B18:B24"/>
    <mergeCell ref="D20:D24"/>
    <mergeCell ref="G20:G24"/>
    <mergeCell ref="A46:A49"/>
    <mergeCell ref="B46:B49"/>
    <mergeCell ref="A50:A54"/>
    <mergeCell ref="B50:B54"/>
    <mergeCell ref="A55:A56"/>
    <mergeCell ref="B55:B56"/>
    <mergeCell ref="A36:A39"/>
    <mergeCell ref="B36:B39"/>
    <mergeCell ref="A40:A43"/>
    <mergeCell ref="B40:B43"/>
    <mergeCell ref="A44:A45"/>
    <mergeCell ref="B44:B45"/>
    <mergeCell ref="A67:A71"/>
    <mergeCell ref="B67:B71"/>
    <mergeCell ref="A72:A73"/>
    <mergeCell ref="B72:B73"/>
    <mergeCell ref="A74:A79"/>
    <mergeCell ref="B74:B79"/>
    <mergeCell ref="A57:A58"/>
    <mergeCell ref="B57:B58"/>
    <mergeCell ref="A59:A60"/>
    <mergeCell ref="B59:B60"/>
    <mergeCell ref="A61:G61"/>
    <mergeCell ref="A62:A66"/>
    <mergeCell ref="B62:B66"/>
    <mergeCell ref="A86:A87"/>
    <mergeCell ref="B86:B87"/>
    <mergeCell ref="H86:H87"/>
    <mergeCell ref="A88:A89"/>
    <mergeCell ref="B88:B89"/>
    <mergeCell ref="A90:G90"/>
    <mergeCell ref="H90:H91"/>
    <mergeCell ref="A91:G91"/>
    <mergeCell ref="A80:A81"/>
    <mergeCell ref="B80:B81"/>
    <mergeCell ref="A82:A83"/>
    <mergeCell ref="B82:B83"/>
    <mergeCell ref="H82:H83"/>
    <mergeCell ref="A84:A85"/>
    <mergeCell ref="B84:B85"/>
    <mergeCell ref="H84:H85"/>
    <mergeCell ref="A108:A111"/>
    <mergeCell ref="B108:B111"/>
    <mergeCell ref="A112:A118"/>
    <mergeCell ref="B112:B118"/>
    <mergeCell ref="A119:G119"/>
    <mergeCell ref="H119:H120"/>
    <mergeCell ref="A120:G120"/>
    <mergeCell ref="A92:A95"/>
    <mergeCell ref="B92:B95"/>
    <mergeCell ref="A96:A100"/>
    <mergeCell ref="B96:B100"/>
    <mergeCell ref="A101:A107"/>
    <mergeCell ref="B101:B107"/>
    <mergeCell ref="A154:G154"/>
    <mergeCell ref="A155:A159"/>
    <mergeCell ref="B155:B159"/>
    <mergeCell ref="A160:G160"/>
    <mergeCell ref="A161:A165"/>
    <mergeCell ref="A121:A124"/>
    <mergeCell ref="B121:B124"/>
    <mergeCell ref="H122:H124"/>
    <mergeCell ref="A125:A129"/>
    <mergeCell ref="B125:B129"/>
    <mergeCell ref="H126:H129"/>
    <mergeCell ref="A141:A147"/>
    <mergeCell ref="B141:B147"/>
    <mergeCell ref="H142:H145"/>
    <mergeCell ref="H146:H147"/>
    <mergeCell ref="A148:A153"/>
    <mergeCell ref="B148:B153"/>
    <mergeCell ref="A130:A136"/>
    <mergeCell ref="B130:B136"/>
    <mergeCell ref="H131:H134"/>
    <mergeCell ref="H135:H136"/>
    <mergeCell ref="A137:A140"/>
    <mergeCell ref="B137:B140"/>
    <mergeCell ref="H138:H139"/>
    <mergeCell ref="B233:B235"/>
    <mergeCell ref="C233:C235"/>
    <mergeCell ref="D233:D235"/>
    <mergeCell ref="E233:E235"/>
    <mergeCell ref="F233:F235"/>
    <mergeCell ref="A190:G196"/>
    <mergeCell ref="A178:A181"/>
    <mergeCell ref="B178:B181"/>
    <mergeCell ref="A186:A187"/>
    <mergeCell ref="B186:B187"/>
    <mergeCell ref="A188:A189"/>
    <mergeCell ref="B188:B189"/>
    <mergeCell ref="A197:G197"/>
    <mergeCell ref="A198:G198"/>
    <mergeCell ref="B200:B202"/>
    <mergeCell ref="C200:C202"/>
    <mergeCell ref="D200:D202"/>
    <mergeCell ref="E200:E202"/>
    <mergeCell ref="F200:F202"/>
    <mergeCell ref="A214:A215"/>
    <mergeCell ref="B214:B215"/>
    <mergeCell ref="A217:G217"/>
    <mergeCell ref="A218:G218"/>
    <mergeCell ref="A182:A185"/>
    <mergeCell ref="B182:B185"/>
    <mergeCell ref="A220:G220"/>
    <mergeCell ref="B223:B225"/>
    <mergeCell ref="C223:C225"/>
    <mergeCell ref="D223:D225"/>
    <mergeCell ref="E223:E225"/>
    <mergeCell ref="F223:F225"/>
    <mergeCell ref="B161:B165"/>
    <mergeCell ref="B173:B177"/>
    <mergeCell ref="A173:A177"/>
    <mergeCell ref="A166:A168"/>
    <mergeCell ref="B166:B168"/>
    <mergeCell ref="A169:A172"/>
    <mergeCell ref="B169:B172"/>
    <mergeCell ref="B226:B228"/>
    <mergeCell ref="G226:G228"/>
    <mergeCell ref="A226:A228"/>
    <mergeCell ref="A204:A205"/>
    <mergeCell ref="B204:B205"/>
    <mergeCell ref="A206:A207"/>
    <mergeCell ref="B206:B207"/>
    <mergeCell ref="A208:A211"/>
    <mergeCell ref="B208:B211"/>
    <mergeCell ref="G209:G211"/>
    <mergeCell ref="A212:A213"/>
    <mergeCell ref="B212:B213"/>
    <mergeCell ref="A219:G219"/>
  </mergeCells>
  <pageMargins left="0.7" right="0.7" top="0.75" bottom="0.75" header="0.3" footer="0.3"/>
  <pageSetup paperSize="9" scale="44" orientation="landscape" r:id="rId1"/>
  <rowBreaks count="13" manualBreakCount="13">
    <brk id="20" max="6" man="1"/>
    <brk id="39" max="6" man="1"/>
    <brk id="58" max="6" man="1"/>
    <brk id="75" max="6" man="1"/>
    <brk id="95" max="6" man="1"/>
    <brk id="113" max="6" man="1"/>
    <brk id="133" max="6" man="1"/>
    <brk id="153" max="6" man="1"/>
    <brk id="168" max="6" man="1"/>
    <brk id="181" max="6" man="1"/>
    <brk id="189" max="6" man="1"/>
    <brk id="196" max="6" man="1"/>
    <brk id="220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8"/>
  <sheetViews>
    <sheetView view="pageBreakPreview" topLeftCell="A76" zoomScale="80" zoomScaleNormal="100" zoomScaleSheetLayoutView="80" workbookViewId="0">
      <selection activeCell="C103" sqref="C103"/>
    </sheetView>
  </sheetViews>
  <sheetFormatPr defaultColWidth="9.109375" defaultRowHeight="18" x14ac:dyDescent="0.35"/>
  <cols>
    <col min="1" max="1" width="9.109375" style="1084"/>
    <col min="2" max="2" width="47.44140625" style="1493" customWidth="1"/>
    <col min="3" max="3" width="49.5546875" style="1493" customWidth="1"/>
    <col min="4" max="4" width="23" style="78" customWidth="1"/>
    <col min="5" max="5" width="23.44140625" style="78" customWidth="1"/>
    <col min="6" max="6" width="33.44140625" style="78" customWidth="1"/>
    <col min="7" max="7" width="24.33203125" style="1084" customWidth="1"/>
    <col min="8" max="16384" width="9.109375" style="587"/>
  </cols>
  <sheetData>
    <row r="1" spans="1:8" ht="28.5" customHeight="1" x14ac:dyDescent="0.25">
      <c r="A1" s="2444" t="s">
        <v>1568</v>
      </c>
      <c r="B1" s="2444"/>
      <c r="C1" s="2444"/>
      <c r="D1" s="2444"/>
      <c r="E1" s="2444"/>
      <c r="F1" s="2444"/>
      <c r="G1" s="2444"/>
      <c r="H1" s="1151"/>
    </row>
    <row r="2" spans="1:8" ht="24" customHeight="1" x14ac:dyDescent="0.25">
      <c r="A2" s="2444"/>
      <c r="B2" s="2444"/>
      <c r="C2" s="2444"/>
      <c r="D2" s="2444"/>
      <c r="E2" s="2444"/>
      <c r="F2" s="2444"/>
      <c r="G2" s="2444"/>
    </row>
    <row r="3" spans="1:8" ht="29.25" customHeight="1" x14ac:dyDescent="0.35">
      <c r="A3" s="2444"/>
      <c r="B3" s="2444"/>
      <c r="C3" s="2444"/>
      <c r="D3" s="2444"/>
      <c r="E3" s="2444"/>
      <c r="F3" s="2444"/>
      <c r="G3" s="2444"/>
      <c r="H3" s="78" t="s">
        <v>1570</v>
      </c>
    </row>
    <row r="4" spans="1:8" ht="24.75" customHeight="1" x14ac:dyDescent="0.25">
      <c r="A4" s="2445" t="s">
        <v>131</v>
      </c>
      <c r="B4" s="2458" t="s">
        <v>311</v>
      </c>
      <c r="C4" s="2458" t="s">
        <v>312</v>
      </c>
      <c r="D4" s="2458" t="s">
        <v>313</v>
      </c>
      <c r="E4" s="2458"/>
      <c r="F4" s="2458" t="s">
        <v>314</v>
      </c>
      <c r="G4" s="2458" t="s">
        <v>446</v>
      </c>
    </row>
    <row r="5" spans="1:8" ht="38.25" customHeight="1" x14ac:dyDescent="0.25">
      <c r="A5" s="2446"/>
      <c r="B5" s="2458"/>
      <c r="C5" s="2458"/>
      <c r="D5" s="1085" t="s">
        <v>316</v>
      </c>
      <c r="E5" s="1085" t="s">
        <v>317</v>
      </c>
      <c r="F5" s="2458"/>
      <c r="G5" s="2458"/>
    </row>
    <row r="6" spans="1:8" ht="22.5" customHeight="1" x14ac:dyDescent="0.25">
      <c r="A6" s="1488">
        <v>1</v>
      </c>
      <c r="B6" s="1479">
        <v>2</v>
      </c>
      <c r="C6" s="1479">
        <v>3</v>
      </c>
      <c r="D6" s="1479">
        <v>4</v>
      </c>
      <c r="E6" s="1479">
        <v>5</v>
      </c>
      <c r="F6" s="1479">
        <v>6</v>
      </c>
      <c r="G6" s="1479">
        <v>7</v>
      </c>
    </row>
    <row r="7" spans="1:8" ht="95.25" customHeight="1" x14ac:dyDescent="0.25">
      <c r="A7" s="1479" t="s">
        <v>318</v>
      </c>
      <c r="B7" s="1480" t="s">
        <v>1569</v>
      </c>
      <c r="C7" s="1489" t="s">
        <v>1459</v>
      </c>
      <c r="D7" s="1086">
        <v>0.8</v>
      </c>
      <c r="E7" s="1086">
        <v>0.8</v>
      </c>
      <c r="F7" s="1085" t="s">
        <v>205</v>
      </c>
      <c r="G7" s="1085" t="s">
        <v>203</v>
      </c>
    </row>
    <row r="8" spans="1:8" ht="37.5" customHeight="1" x14ac:dyDescent="0.25">
      <c r="A8" s="2458" t="s">
        <v>319</v>
      </c>
      <c r="B8" s="2458" t="s">
        <v>1571</v>
      </c>
      <c r="C8" s="1479" t="s">
        <v>1576</v>
      </c>
      <c r="D8" s="1085" t="s">
        <v>902</v>
      </c>
      <c r="E8" s="1085" t="s">
        <v>902</v>
      </c>
      <c r="F8" s="1085" t="s">
        <v>209</v>
      </c>
      <c r="G8" s="1085" t="s">
        <v>203</v>
      </c>
    </row>
    <row r="9" spans="1:8" ht="39" customHeight="1" x14ac:dyDescent="0.25">
      <c r="A9" s="2458"/>
      <c r="B9" s="2458"/>
      <c r="C9" s="1479" t="s">
        <v>472</v>
      </c>
      <c r="D9" s="1087">
        <v>8</v>
      </c>
      <c r="E9" s="1087">
        <v>8</v>
      </c>
      <c r="F9" s="1085" t="s">
        <v>212</v>
      </c>
      <c r="G9" s="1085" t="s">
        <v>203</v>
      </c>
    </row>
    <row r="10" spans="1:8" ht="93.75" customHeight="1" x14ac:dyDescent="0.25">
      <c r="A10" s="2458"/>
      <c r="B10" s="2458"/>
      <c r="C10" s="1489" t="s">
        <v>1459</v>
      </c>
      <c r="D10" s="1086">
        <v>0.8</v>
      </c>
      <c r="E10" s="1088" t="s">
        <v>477</v>
      </c>
      <c r="F10" s="1085" t="s">
        <v>205</v>
      </c>
      <c r="G10" s="1085" t="s">
        <v>203</v>
      </c>
    </row>
    <row r="11" spans="1:8" ht="40.5" customHeight="1" x14ac:dyDescent="0.25">
      <c r="A11" s="2458" t="s">
        <v>320</v>
      </c>
      <c r="B11" s="2460" t="s">
        <v>1572</v>
      </c>
      <c r="C11" s="1479" t="s">
        <v>473</v>
      </c>
      <c r="D11" s="1087">
        <v>90</v>
      </c>
      <c r="E11" s="1087">
        <v>90</v>
      </c>
      <c r="F11" s="1085" t="s">
        <v>210</v>
      </c>
      <c r="G11" s="1085" t="s">
        <v>203</v>
      </c>
    </row>
    <row r="12" spans="1:8" ht="76.5" customHeight="1" x14ac:dyDescent="0.35">
      <c r="A12" s="2458"/>
      <c r="B12" s="2460"/>
      <c r="C12" s="1490" t="s">
        <v>1577</v>
      </c>
      <c r="D12" s="1085" t="s">
        <v>918</v>
      </c>
      <c r="E12" s="1085" t="s">
        <v>918</v>
      </c>
      <c r="F12" s="1085" t="s">
        <v>209</v>
      </c>
      <c r="G12" s="1085" t="s">
        <v>203</v>
      </c>
    </row>
    <row r="13" spans="1:8" ht="39" customHeight="1" x14ac:dyDescent="0.25">
      <c r="A13" s="1479" t="s">
        <v>321</v>
      </c>
      <c r="B13" s="1479" t="s">
        <v>1573</v>
      </c>
      <c r="C13" s="1479" t="s">
        <v>322</v>
      </c>
      <c r="D13" s="1479" t="s">
        <v>323</v>
      </c>
      <c r="E13" s="1479" t="s">
        <v>323</v>
      </c>
      <c r="F13" s="1085" t="s">
        <v>210</v>
      </c>
      <c r="G13" s="1085" t="s">
        <v>203</v>
      </c>
    </row>
    <row r="14" spans="1:8" ht="112.5" customHeight="1" x14ac:dyDescent="0.25">
      <c r="A14" s="2458" t="s">
        <v>324</v>
      </c>
      <c r="B14" s="2445" t="s">
        <v>1574</v>
      </c>
      <c r="C14" s="1479" t="s">
        <v>1575</v>
      </c>
      <c r="D14" s="1089" t="s">
        <v>1578</v>
      </c>
      <c r="E14" s="1089" t="s">
        <v>1578</v>
      </c>
      <c r="F14" s="1085" t="s">
        <v>835</v>
      </c>
      <c r="G14" s="1085" t="s">
        <v>203</v>
      </c>
    </row>
    <row r="15" spans="1:8" ht="58.5" customHeight="1" x14ac:dyDescent="0.25">
      <c r="A15" s="2458"/>
      <c r="B15" s="2461"/>
      <c r="C15" s="1491" t="s">
        <v>1579</v>
      </c>
      <c r="D15" s="1089" t="s">
        <v>919</v>
      </c>
      <c r="E15" s="1089" t="s">
        <v>919</v>
      </c>
      <c r="F15" s="1089" t="s">
        <v>876</v>
      </c>
      <c r="G15" s="1085" t="s">
        <v>203</v>
      </c>
    </row>
    <row r="16" spans="1:8" ht="45" customHeight="1" x14ac:dyDescent="0.25">
      <c r="A16" s="2458"/>
      <c r="B16" s="2461"/>
      <c r="C16" s="1491" t="s">
        <v>1580</v>
      </c>
      <c r="D16" s="1089" t="s">
        <v>475</v>
      </c>
      <c r="E16" s="1089" t="s">
        <v>475</v>
      </c>
      <c r="F16" s="1085" t="s">
        <v>210</v>
      </c>
      <c r="G16" s="1085" t="s">
        <v>203</v>
      </c>
    </row>
    <row r="17" spans="1:7" ht="27" customHeight="1" x14ac:dyDescent="0.25">
      <c r="A17" s="2458"/>
      <c r="B17" s="2446"/>
      <c r="C17" s="1479" t="s">
        <v>346</v>
      </c>
      <c r="D17" s="1089">
        <v>70</v>
      </c>
      <c r="E17" s="1089">
        <v>70</v>
      </c>
      <c r="F17" s="1085" t="s">
        <v>210</v>
      </c>
      <c r="G17" s="1085" t="s">
        <v>203</v>
      </c>
    </row>
    <row r="18" spans="1:7" ht="38.4" x14ac:dyDescent="0.25">
      <c r="A18" s="1479" t="s">
        <v>325</v>
      </c>
      <c r="B18" s="1479" t="s">
        <v>875</v>
      </c>
      <c r="C18" s="1479" t="s">
        <v>326</v>
      </c>
      <c r="D18" s="1085">
        <v>71</v>
      </c>
      <c r="E18" s="1085">
        <v>71</v>
      </c>
      <c r="F18" s="1085" t="s">
        <v>210</v>
      </c>
      <c r="G18" s="1085" t="s">
        <v>203</v>
      </c>
    </row>
    <row r="19" spans="1:7" ht="67.5" customHeight="1" x14ac:dyDescent="0.25">
      <c r="A19" s="1479" t="s">
        <v>327</v>
      </c>
      <c r="B19" s="1479" t="s">
        <v>1581</v>
      </c>
      <c r="C19" s="1479" t="s">
        <v>1586</v>
      </c>
      <c r="D19" s="1085" t="s">
        <v>1582</v>
      </c>
      <c r="E19" s="1479" t="s">
        <v>1582</v>
      </c>
      <c r="F19" s="1480" t="s">
        <v>1583</v>
      </c>
      <c r="G19" s="1085" t="s">
        <v>203</v>
      </c>
    </row>
    <row r="20" spans="1:7" ht="57" customHeight="1" x14ac:dyDescent="0.25">
      <c r="A20" s="2458" t="s">
        <v>328</v>
      </c>
      <c r="B20" s="2458" t="s">
        <v>1584</v>
      </c>
      <c r="C20" s="1491" t="s">
        <v>1585</v>
      </c>
      <c r="D20" s="1085" t="s">
        <v>1587</v>
      </c>
      <c r="E20" s="1479" t="s">
        <v>1587</v>
      </c>
      <c r="F20" s="1089" t="s">
        <v>877</v>
      </c>
      <c r="G20" s="1085" t="s">
        <v>203</v>
      </c>
    </row>
    <row r="21" spans="1:7" ht="78" customHeight="1" x14ac:dyDescent="0.25">
      <c r="A21" s="2458"/>
      <c r="B21" s="2458"/>
      <c r="C21" s="1491" t="s">
        <v>1588</v>
      </c>
      <c r="D21" s="1085" t="s">
        <v>225</v>
      </c>
      <c r="E21" s="1085" t="s">
        <v>225</v>
      </c>
      <c r="F21" s="1479" t="s">
        <v>877</v>
      </c>
      <c r="G21" s="1085" t="s">
        <v>203</v>
      </c>
    </row>
    <row r="22" spans="1:7" ht="60" customHeight="1" x14ac:dyDescent="0.25">
      <c r="A22" s="2458"/>
      <c r="B22" s="2458"/>
      <c r="C22" s="1491" t="s">
        <v>1579</v>
      </c>
      <c r="D22" s="1085" t="s">
        <v>917</v>
      </c>
      <c r="E22" s="1085" t="s">
        <v>917</v>
      </c>
      <c r="F22" s="1089" t="s">
        <v>877</v>
      </c>
      <c r="G22" s="1085" t="s">
        <v>203</v>
      </c>
    </row>
    <row r="23" spans="1:7" ht="57.75" customHeight="1" x14ac:dyDescent="0.25">
      <c r="A23" s="1479" t="s">
        <v>329</v>
      </c>
      <c r="B23" s="1479" t="s">
        <v>1589</v>
      </c>
      <c r="C23" s="1491" t="s">
        <v>1590</v>
      </c>
      <c r="D23" s="1085" t="s">
        <v>330</v>
      </c>
      <c r="E23" s="1085" t="s">
        <v>330</v>
      </c>
      <c r="F23" s="1085" t="s">
        <v>1591</v>
      </c>
      <c r="G23" s="1085" t="s">
        <v>203</v>
      </c>
    </row>
    <row r="24" spans="1:7" ht="81" customHeight="1" x14ac:dyDescent="0.25">
      <c r="A24" s="2458" t="s">
        <v>331</v>
      </c>
      <c r="B24" s="2458" t="s">
        <v>1592</v>
      </c>
      <c r="C24" s="1491" t="s">
        <v>1595</v>
      </c>
      <c r="D24" s="1089" t="s">
        <v>920</v>
      </c>
      <c r="E24" s="1089" t="s">
        <v>921</v>
      </c>
      <c r="F24" s="1091" t="s">
        <v>1487</v>
      </c>
      <c r="G24" s="1085" t="s">
        <v>203</v>
      </c>
    </row>
    <row r="25" spans="1:7" ht="67.5" customHeight="1" x14ac:dyDescent="0.25">
      <c r="A25" s="2458"/>
      <c r="B25" s="2458"/>
      <c r="C25" s="1491" t="s">
        <v>1594</v>
      </c>
      <c r="D25" s="1479" t="s">
        <v>1593</v>
      </c>
      <c r="E25" s="1479" t="s">
        <v>1593</v>
      </c>
      <c r="F25" s="1091" t="s">
        <v>1489</v>
      </c>
      <c r="G25" s="1085" t="s">
        <v>203</v>
      </c>
    </row>
    <row r="26" spans="1:7" ht="36" x14ac:dyDescent="0.25">
      <c r="A26" s="2458"/>
      <c r="B26" s="2458"/>
      <c r="C26" s="1479" t="s">
        <v>332</v>
      </c>
      <c r="D26" s="1479" t="s">
        <v>333</v>
      </c>
      <c r="E26" s="1479" t="s">
        <v>333</v>
      </c>
      <c r="F26" s="1085" t="s">
        <v>210</v>
      </c>
      <c r="G26" s="1085" t="s">
        <v>203</v>
      </c>
    </row>
    <row r="27" spans="1:7" ht="36" x14ac:dyDescent="0.25">
      <c r="A27" s="2458"/>
      <c r="B27" s="2458"/>
      <c r="C27" s="1479" t="s">
        <v>1596</v>
      </c>
      <c r="D27" s="1479" t="s">
        <v>334</v>
      </c>
      <c r="E27" s="1479" t="s">
        <v>334</v>
      </c>
      <c r="F27" s="1085" t="s">
        <v>210</v>
      </c>
      <c r="G27" s="1085" t="s">
        <v>203</v>
      </c>
    </row>
    <row r="28" spans="1:7" ht="57" customHeight="1" x14ac:dyDescent="0.25">
      <c r="A28" s="1479" t="s">
        <v>335</v>
      </c>
      <c r="B28" s="1480" t="s">
        <v>1597</v>
      </c>
      <c r="C28" s="1491" t="s">
        <v>1590</v>
      </c>
      <c r="D28" s="1479" t="s">
        <v>347</v>
      </c>
      <c r="E28" s="1479" t="s">
        <v>347</v>
      </c>
      <c r="F28" s="1479" t="s">
        <v>210</v>
      </c>
      <c r="G28" s="1085" t="s">
        <v>203</v>
      </c>
    </row>
    <row r="29" spans="1:7" ht="63" customHeight="1" x14ac:dyDescent="0.25">
      <c r="A29" s="2458" t="s">
        <v>336</v>
      </c>
      <c r="B29" s="2458" t="s">
        <v>1598</v>
      </c>
      <c r="C29" s="1479" t="s">
        <v>1599</v>
      </c>
      <c r="D29" s="1087">
        <v>17</v>
      </c>
      <c r="E29" s="1087">
        <v>17</v>
      </c>
      <c r="F29" s="2458" t="s">
        <v>1606</v>
      </c>
      <c r="G29" s="1085" t="s">
        <v>203</v>
      </c>
    </row>
    <row r="30" spans="1:7" ht="52.5" customHeight="1" x14ac:dyDescent="0.25">
      <c r="A30" s="2458"/>
      <c r="B30" s="2458"/>
      <c r="C30" s="1479" t="s">
        <v>1603</v>
      </c>
      <c r="D30" s="1087">
        <v>17</v>
      </c>
      <c r="E30" s="1087">
        <v>17</v>
      </c>
      <c r="F30" s="2458"/>
      <c r="G30" s="1085" t="s">
        <v>203</v>
      </c>
    </row>
    <row r="31" spans="1:7" ht="78" customHeight="1" x14ac:dyDescent="0.25">
      <c r="A31" s="2458"/>
      <c r="B31" s="2458"/>
      <c r="C31" s="1479" t="s">
        <v>1601</v>
      </c>
      <c r="D31" s="1085">
        <v>0.08</v>
      </c>
      <c r="E31" s="1085">
        <v>0.08</v>
      </c>
      <c r="F31" s="2458" t="s">
        <v>860</v>
      </c>
      <c r="G31" s="1085" t="s">
        <v>203</v>
      </c>
    </row>
    <row r="32" spans="1:7" ht="56.25" customHeight="1" x14ac:dyDescent="0.25">
      <c r="A32" s="2458"/>
      <c r="B32" s="2458"/>
      <c r="C32" s="1479" t="s">
        <v>1600</v>
      </c>
      <c r="D32" s="1086">
        <v>0.4</v>
      </c>
      <c r="E32" s="1085" t="s">
        <v>476</v>
      </c>
      <c r="F32" s="2458"/>
      <c r="G32" s="1085" t="s">
        <v>203</v>
      </c>
    </row>
    <row r="33" spans="1:7" ht="58.5" customHeight="1" x14ac:dyDescent="0.25">
      <c r="A33" s="2458" t="s">
        <v>337</v>
      </c>
      <c r="B33" s="2458" t="s">
        <v>1602</v>
      </c>
      <c r="C33" s="1479" t="s">
        <v>1599</v>
      </c>
      <c r="D33" s="1087">
        <v>16.8</v>
      </c>
      <c r="E33" s="1087">
        <v>16.8</v>
      </c>
      <c r="F33" s="2458" t="s">
        <v>1604</v>
      </c>
      <c r="G33" s="1085" t="s">
        <v>203</v>
      </c>
    </row>
    <row r="34" spans="1:7" ht="49.5" customHeight="1" x14ac:dyDescent="0.25">
      <c r="A34" s="2458"/>
      <c r="B34" s="2458"/>
      <c r="C34" s="1479" t="s">
        <v>1603</v>
      </c>
      <c r="D34" s="1087">
        <v>16.8</v>
      </c>
      <c r="E34" s="1087">
        <v>16.8</v>
      </c>
      <c r="F34" s="2458"/>
      <c r="G34" s="1085" t="s">
        <v>203</v>
      </c>
    </row>
    <row r="35" spans="1:7" ht="74.400000000000006" x14ac:dyDescent="0.25">
      <c r="A35" s="2458"/>
      <c r="B35" s="2458"/>
      <c r="C35" s="1479" t="s">
        <v>1601</v>
      </c>
      <c r="D35" s="1085">
        <v>0.08</v>
      </c>
      <c r="E35" s="1085">
        <v>0.08</v>
      </c>
      <c r="F35" s="2458" t="s">
        <v>1605</v>
      </c>
      <c r="G35" s="1085" t="s">
        <v>203</v>
      </c>
    </row>
    <row r="36" spans="1:7" ht="63" customHeight="1" x14ac:dyDescent="0.25">
      <c r="A36" s="2458"/>
      <c r="B36" s="2458"/>
      <c r="C36" s="1479" t="s">
        <v>1600</v>
      </c>
      <c r="D36" s="1086">
        <v>0.25</v>
      </c>
      <c r="E36" s="1085" t="s">
        <v>476</v>
      </c>
      <c r="F36" s="2458"/>
      <c r="G36" s="1085" t="s">
        <v>203</v>
      </c>
    </row>
    <row r="37" spans="1:7" ht="59.25" customHeight="1" x14ac:dyDescent="0.25">
      <c r="A37" s="2458" t="s">
        <v>338</v>
      </c>
      <c r="B37" s="2458" t="s">
        <v>1607</v>
      </c>
      <c r="C37" s="1479" t="s">
        <v>478</v>
      </c>
      <c r="D37" s="1479">
        <v>3.5</v>
      </c>
      <c r="E37" s="1479">
        <v>3.5</v>
      </c>
      <c r="F37" s="2458" t="s">
        <v>205</v>
      </c>
      <c r="G37" s="1085" t="s">
        <v>203</v>
      </c>
    </row>
    <row r="38" spans="1:7" ht="49.5" customHeight="1" x14ac:dyDescent="0.25">
      <c r="A38" s="2458"/>
      <c r="B38" s="2458"/>
      <c r="C38" s="1479" t="s">
        <v>1608</v>
      </c>
      <c r="D38" s="1479">
        <v>2.8</v>
      </c>
      <c r="E38" s="1479">
        <v>2.8</v>
      </c>
      <c r="F38" s="2458"/>
      <c r="G38" s="1085" t="s">
        <v>203</v>
      </c>
    </row>
    <row r="39" spans="1:7" ht="74.400000000000006" x14ac:dyDescent="0.25">
      <c r="A39" s="2458"/>
      <c r="B39" s="2458"/>
      <c r="C39" s="1479" t="s">
        <v>1609</v>
      </c>
      <c r="D39" s="1479" t="s">
        <v>913</v>
      </c>
      <c r="E39" s="1479" t="s">
        <v>923</v>
      </c>
      <c r="F39" s="2458" t="s">
        <v>1610</v>
      </c>
      <c r="G39" s="1085" t="s">
        <v>203</v>
      </c>
    </row>
    <row r="40" spans="1:7" ht="56.4" x14ac:dyDescent="0.25">
      <c r="A40" s="2458"/>
      <c r="B40" s="2458"/>
      <c r="C40" s="1479" t="s">
        <v>1612</v>
      </c>
      <c r="D40" s="1479" t="s">
        <v>922</v>
      </c>
      <c r="E40" s="1479" t="s">
        <v>479</v>
      </c>
      <c r="F40" s="2458"/>
      <c r="G40" s="1085" t="s">
        <v>203</v>
      </c>
    </row>
    <row r="41" spans="1:7" ht="63.75" customHeight="1" x14ac:dyDescent="0.25">
      <c r="A41" s="2458" t="s">
        <v>339</v>
      </c>
      <c r="B41" s="2458" t="s">
        <v>1611</v>
      </c>
      <c r="C41" s="1479" t="s">
        <v>478</v>
      </c>
      <c r="D41" s="1087">
        <v>10</v>
      </c>
      <c r="E41" s="1087">
        <v>10</v>
      </c>
      <c r="F41" s="2458" t="s">
        <v>205</v>
      </c>
      <c r="G41" s="1085" t="s">
        <v>203</v>
      </c>
    </row>
    <row r="42" spans="1:7" ht="45" customHeight="1" x14ac:dyDescent="0.25">
      <c r="A42" s="2458"/>
      <c r="B42" s="2458"/>
      <c r="C42" s="1479" t="s">
        <v>1608</v>
      </c>
      <c r="D42" s="1087">
        <v>5</v>
      </c>
      <c r="E42" s="1087">
        <v>5</v>
      </c>
      <c r="F42" s="2458"/>
      <c r="G42" s="1085" t="s">
        <v>203</v>
      </c>
    </row>
    <row r="43" spans="1:7" ht="74.400000000000006" x14ac:dyDescent="0.25">
      <c r="A43" s="2458"/>
      <c r="B43" s="2458"/>
      <c r="C43" s="1479" t="s">
        <v>1609</v>
      </c>
      <c r="D43" s="1479" t="s">
        <v>924</v>
      </c>
      <c r="E43" s="1479" t="s">
        <v>924</v>
      </c>
      <c r="F43" s="2458" t="s">
        <v>878</v>
      </c>
      <c r="G43" s="1085" t="s">
        <v>203</v>
      </c>
    </row>
    <row r="44" spans="1:7" ht="56.4" x14ac:dyDescent="0.25">
      <c r="A44" s="2458"/>
      <c r="B44" s="2458"/>
      <c r="C44" s="1479" t="s">
        <v>1612</v>
      </c>
      <c r="D44" s="1479" t="s">
        <v>916</v>
      </c>
      <c r="E44" s="1479" t="s">
        <v>916</v>
      </c>
      <c r="F44" s="2458"/>
      <c r="G44" s="1085" t="s">
        <v>203</v>
      </c>
    </row>
    <row r="45" spans="1:7" ht="36" customHeight="1" x14ac:dyDescent="0.25">
      <c r="A45" s="2458" t="s">
        <v>340</v>
      </c>
      <c r="B45" s="2458" t="s">
        <v>1613</v>
      </c>
      <c r="C45" s="1479" t="s">
        <v>342</v>
      </c>
      <c r="D45" s="1085" t="s">
        <v>480</v>
      </c>
      <c r="E45" s="1085" t="s">
        <v>480</v>
      </c>
      <c r="F45" s="1085" t="s">
        <v>210</v>
      </c>
      <c r="G45" s="1085" t="s">
        <v>203</v>
      </c>
    </row>
    <row r="46" spans="1:7" ht="57" customHeight="1" x14ac:dyDescent="0.25">
      <c r="A46" s="2458"/>
      <c r="B46" s="2458"/>
      <c r="C46" s="1479" t="s">
        <v>1615</v>
      </c>
      <c r="D46" s="1085" t="s">
        <v>343</v>
      </c>
      <c r="E46" s="1085" t="s">
        <v>343</v>
      </c>
      <c r="F46" s="1085" t="s">
        <v>1025</v>
      </c>
      <c r="G46" s="1085" t="s">
        <v>203</v>
      </c>
    </row>
    <row r="47" spans="1:7" ht="43.5" customHeight="1" x14ac:dyDescent="0.25">
      <c r="A47" s="2458"/>
      <c r="B47" s="2458"/>
      <c r="C47" s="1479" t="s">
        <v>1576</v>
      </c>
      <c r="D47" s="1085" t="s">
        <v>1614</v>
      </c>
      <c r="E47" s="1479" t="s">
        <v>1614</v>
      </c>
      <c r="F47" s="1479" t="s">
        <v>1025</v>
      </c>
      <c r="G47" s="1085" t="s">
        <v>203</v>
      </c>
    </row>
    <row r="48" spans="1:7" ht="93.75" customHeight="1" x14ac:dyDescent="0.25">
      <c r="A48" s="1479" t="s">
        <v>341</v>
      </c>
      <c r="B48" s="1480" t="s">
        <v>1617</v>
      </c>
      <c r="C48" s="1479" t="s">
        <v>345</v>
      </c>
      <c r="D48" s="1085" t="s">
        <v>481</v>
      </c>
      <c r="E48" s="1085" t="s">
        <v>481</v>
      </c>
      <c r="F48" s="1085" t="s">
        <v>879</v>
      </c>
      <c r="G48" s="1085" t="s">
        <v>203</v>
      </c>
    </row>
    <row r="49" spans="1:7" ht="30.75" customHeight="1" x14ac:dyDescent="0.25">
      <c r="A49" s="1479" t="s">
        <v>344</v>
      </c>
      <c r="B49" s="1479" t="s">
        <v>348</v>
      </c>
      <c r="C49" s="1479" t="s">
        <v>880</v>
      </c>
      <c r="D49" s="1092" t="s">
        <v>1616</v>
      </c>
      <c r="E49" s="1092" t="s">
        <v>1616</v>
      </c>
      <c r="F49" s="1085" t="s">
        <v>881</v>
      </c>
      <c r="G49" s="1085" t="s">
        <v>203</v>
      </c>
    </row>
    <row r="50" spans="1:7" x14ac:dyDescent="0.35">
      <c r="A50" s="2459" t="s">
        <v>1618</v>
      </c>
      <c r="B50" s="2459"/>
      <c r="C50" s="2459"/>
      <c r="D50" s="2459"/>
      <c r="E50" s="2459"/>
      <c r="F50" s="2459"/>
      <c r="G50" s="2459"/>
    </row>
    <row r="51" spans="1:7" x14ac:dyDescent="0.35">
      <c r="A51" s="1494" t="s">
        <v>482</v>
      </c>
      <c r="B51" s="1492"/>
      <c r="C51" s="1492"/>
      <c r="D51" s="1093"/>
      <c r="E51" s="1093"/>
      <c r="F51" s="1093"/>
      <c r="G51" s="1094"/>
    </row>
    <row r="52" spans="1:7" x14ac:dyDescent="0.35">
      <c r="A52" s="1494"/>
      <c r="B52" s="1492"/>
      <c r="C52" s="1492"/>
      <c r="D52" s="1093"/>
      <c r="E52" s="1093"/>
      <c r="F52" s="1093"/>
      <c r="G52" s="1094"/>
    </row>
    <row r="53" spans="1:7" x14ac:dyDescent="0.35">
      <c r="D53" s="595" t="s">
        <v>361</v>
      </c>
    </row>
    <row r="54" spans="1:7" x14ac:dyDescent="0.35">
      <c r="D54" s="595" t="s">
        <v>362</v>
      </c>
    </row>
    <row r="55" spans="1:7" x14ac:dyDescent="0.35">
      <c r="D55" s="595" t="s">
        <v>363</v>
      </c>
    </row>
    <row r="56" spans="1:7" ht="18.600000000000001" thickBot="1" x14ac:dyDescent="0.4"/>
    <row r="57" spans="1:7" x14ac:dyDescent="0.25">
      <c r="A57" s="1481" t="s">
        <v>17</v>
      </c>
      <c r="B57" s="2447" t="s">
        <v>311</v>
      </c>
      <c r="C57" s="2447" t="s">
        <v>312</v>
      </c>
      <c r="D57" s="2449" t="s">
        <v>313</v>
      </c>
      <c r="E57" s="2450"/>
      <c r="F57" s="2447" t="s">
        <v>314</v>
      </c>
      <c r="G57" s="2447" t="s">
        <v>315</v>
      </c>
    </row>
    <row r="58" spans="1:7" ht="18.600000000000001" thickBot="1" x14ac:dyDescent="0.3">
      <c r="A58" s="1482" t="s">
        <v>310</v>
      </c>
      <c r="B58" s="2448"/>
      <c r="C58" s="2448"/>
      <c r="D58" s="2451"/>
      <c r="E58" s="2452"/>
      <c r="F58" s="2448"/>
      <c r="G58" s="2448"/>
    </row>
    <row r="59" spans="1:7" ht="13.2" x14ac:dyDescent="0.25">
      <c r="A59" s="2448"/>
      <c r="B59" s="2448"/>
      <c r="C59" s="2448"/>
      <c r="D59" s="2447" t="s">
        <v>316</v>
      </c>
      <c r="E59" s="2447" t="s">
        <v>317</v>
      </c>
      <c r="F59" s="2448"/>
      <c r="G59" s="2448"/>
    </row>
    <row r="60" spans="1:7" ht="13.2" x14ac:dyDescent="0.25">
      <c r="A60" s="2448"/>
      <c r="B60" s="2448"/>
      <c r="C60" s="2448"/>
      <c r="D60" s="2448"/>
      <c r="E60" s="2448"/>
      <c r="F60" s="2448"/>
      <c r="G60" s="2448"/>
    </row>
    <row r="61" spans="1:7" ht="126.75" customHeight="1" x14ac:dyDescent="0.25">
      <c r="A61" s="1486">
        <v>1</v>
      </c>
      <c r="B61" s="1487" t="s">
        <v>759</v>
      </c>
      <c r="C61" s="1487" t="s">
        <v>365</v>
      </c>
      <c r="D61" s="593" t="s">
        <v>450</v>
      </c>
      <c r="E61" s="593" t="s">
        <v>450</v>
      </c>
      <c r="F61" s="593" t="s">
        <v>354</v>
      </c>
      <c r="G61" s="1079" t="s">
        <v>364</v>
      </c>
    </row>
    <row r="62" spans="1:7" ht="75" customHeight="1" x14ac:dyDescent="0.25">
      <c r="A62" s="1486">
        <v>2</v>
      </c>
      <c r="B62" s="1487" t="s">
        <v>761</v>
      </c>
      <c r="C62" s="1487" t="s">
        <v>448</v>
      </c>
      <c r="D62" s="593" t="s">
        <v>366</v>
      </c>
      <c r="E62" s="593" t="s">
        <v>366</v>
      </c>
      <c r="F62" s="593" t="s">
        <v>205</v>
      </c>
      <c r="G62" s="1079" t="s">
        <v>364</v>
      </c>
    </row>
    <row r="63" spans="1:7" ht="72.75" customHeight="1" x14ac:dyDescent="0.25">
      <c r="A63" s="1486">
        <v>3</v>
      </c>
      <c r="B63" s="1487" t="s">
        <v>760</v>
      </c>
      <c r="C63" s="1487" t="s">
        <v>448</v>
      </c>
      <c r="D63" s="593" t="s">
        <v>367</v>
      </c>
      <c r="E63" s="593" t="s">
        <v>367</v>
      </c>
      <c r="F63" s="593" t="s">
        <v>205</v>
      </c>
      <c r="G63" s="1079" t="s">
        <v>364</v>
      </c>
    </row>
    <row r="64" spans="1:7" ht="75.75" customHeight="1" x14ac:dyDescent="0.25">
      <c r="A64" s="1486">
        <v>4</v>
      </c>
      <c r="B64" s="1487" t="s">
        <v>762</v>
      </c>
      <c r="C64" s="1487" t="s">
        <v>765</v>
      </c>
      <c r="D64" s="593" t="s">
        <v>368</v>
      </c>
      <c r="E64" s="593" t="s">
        <v>451</v>
      </c>
      <c r="F64" s="593" t="s">
        <v>205</v>
      </c>
      <c r="G64" s="1079" t="s">
        <v>364</v>
      </c>
    </row>
    <row r="65" spans="1:7" ht="67.5" customHeight="1" x14ac:dyDescent="0.25">
      <c r="A65" s="1486">
        <v>5</v>
      </c>
      <c r="B65" s="1487" t="s">
        <v>763</v>
      </c>
      <c r="C65" s="1487" t="s">
        <v>766</v>
      </c>
      <c r="D65" s="593" t="s">
        <v>369</v>
      </c>
      <c r="E65" s="593" t="s">
        <v>452</v>
      </c>
      <c r="F65" s="593" t="s">
        <v>205</v>
      </c>
      <c r="G65" s="1079" t="s">
        <v>364</v>
      </c>
    </row>
    <row r="66" spans="1:7" ht="58.5" customHeight="1" x14ac:dyDescent="0.25">
      <c r="A66" s="1486">
        <v>6</v>
      </c>
      <c r="B66" s="1487" t="s">
        <v>373</v>
      </c>
      <c r="C66" s="1487" t="s">
        <v>453</v>
      </c>
      <c r="D66" s="938" t="s">
        <v>1064</v>
      </c>
      <c r="E66" s="593" t="s">
        <v>370</v>
      </c>
      <c r="F66" s="593" t="s">
        <v>205</v>
      </c>
      <c r="G66" s="1079" t="s">
        <v>364</v>
      </c>
    </row>
    <row r="67" spans="1:7" ht="39.75" customHeight="1" x14ac:dyDescent="0.25">
      <c r="A67" s="1486">
        <v>7</v>
      </c>
      <c r="B67" s="1487" t="s">
        <v>764</v>
      </c>
      <c r="C67" s="1487" t="s">
        <v>371</v>
      </c>
      <c r="D67" s="593">
        <v>120</v>
      </c>
      <c r="E67" s="593">
        <v>120</v>
      </c>
      <c r="F67" s="593" t="s">
        <v>212</v>
      </c>
      <c r="G67" s="1079" t="s">
        <v>364</v>
      </c>
    </row>
    <row r="68" spans="1:7" ht="13.2" x14ac:dyDescent="0.25">
      <c r="A68" s="2457">
        <v>8</v>
      </c>
      <c r="B68" s="2453" t="s">
        <v>767</v>
      </c>
      <c r="C68" s="2453" t="s">
        <v>449</v>
      </c>
      <c r="D68" s="2453">
        <v>550</v>
      </c>
      <c r="E68" s="2454">
        <v>550</v>
      </c>
      <c r="F68" s="2453" t="s">
        <v>205</v>
      </c>
      <c r="G68" s="2453" t="s">
        <v>364</v>
      </c>
    </row>
    <row r="69" spans="1:7" ht="27" customHeight="1" x14ac:dyDescent="0.25">
      <c r="A69" s="2457"/>
      <c r="B69" s="2454"/>
      <c r="C69" s="2454"/>
      <c r="D69" s="2454"/>
      <c r="E69" s="2456"/>
      <c r="F69" s="2454"/>
      <c r="G69" s="2454"/>
    </row>
    <row r="70" spans="1:7" ht="38.4" x14ac:dyDescent="0.25">
      <c r="A70" s="2453">
        <v>9</v>
      </c>
      <c r="B70" s="1483" t="s">
        <v>454</v>
      </c>
      <c r="C70" s="1483" t="s">
        <v>455</v>
      </c>
      <c r="D70" s="590"/>
      <c r="E70" s="590"/>
      <c r="F70" s="2454" t="s">
        <v>212</v>
      </c>
      <c r="G70" s="2454" t="s">
        <v>364</v>
      </c>
    </row>
    <row r="71" spans="1:7" x14ac:dyDescent="0.25">
      <c r="A71" s="2453"/>
      <c r="B71" s="1484"/>
      <c r="C71" s="1484" t="s">
        <v>372</v>
      </c>
      <c r="D71" s="591">
        <v>8.5</v>
      </c>
      <c r="E71" s="591">
        <v>8.5</v>
      </c>
      <c r="F71" s="2455"/>
      <c r="G71" s="2455"/>
    </row>
    <row r="72" spans="1:7" ht="17.25" customHeight="1" x14ac:dyDescent="0.25">
      <c r="A72" s="2453"/>
      <c r="B72" s="1485"/>
      <c r="C72" s="1485"/>
      <c r="D72" s="592"/>
      <c r="E72" s="592"/>
      <c r="F72" s="2456"/>
      <c r="G72" s="2456"/>
    </row>
    <row r="74" spans="1:7" x14ac:dyDescent="0.35">
      <c r="B74" s="1493" t="s">
        <v>456</v>
      </c>
    </row>
    <row r="75" spans="1:7" x14ac:dyDescent="0.35">
      <c r="D75" s="595" t="s">
        <v>361</v>
      </c>
    </row>
    <row r="76" spans="1:7" x14ac:dyDescent="0.35">
      <c r="D76" s="595" t="s">
        <v>362</v>
      </c>
    </row>
    <row r="77" spans="1:7" x14ac:dyDescent="0.35">
      <c r="D77" s="595" t="s">
        <v>380</v>
      </c>
    </row>
    <row r="78" spans="1:7" ht="18.600000000000001" thickBot="1" x14ac:dyDescent="0.4"/>
    <row r="79" spans="1:7" x14ac:dyDescent="0.25">
      <c r="A79" s="1481" t="s">
        <v>17</v>
      </c>
      <c r="B79" s="2447" t="s">
        <v>311</v>
      </c>
      <c r="C79" s="2447" t="s">
        <v>312</v>
      </c>
      <c r="D79" s="2449" t="s">
        <v>313</v>
      </c>
      <c r="E79" s="2450"/>
      <c r="F79" s="2447" t="s">
        <v>314</v>
      </c>
      <c r="G79" s="2447" t="s">
        <v>315</v>
      </c>
    </row>
    <row r="80" spans="1:7" ht="18.600000000000001" thickBot="1" x14ac:dyDescent="0.3">
      <c r="A80" s="1482" t="s">
        <v>310</v>
      </c>
      <c r="B80" s="2448"/>
      <c r="C80" s="2448"/>
      <c r="D80" s="2451"/>
      <c r="E80" s="2452"/>
      <c r="F80" s="2448"/>
      <c r="G80" s="2448"/>
    </row>
    <row r="81" spans="1:7" ht="13.2" x14ac:dyDescent="0.25">
      <c r="A81" s="2448"/>
      <c r="B81" s="2448"/>
      <c r="C81" s="2448"/>
      <c r="D81" s="2447" t="s">
        <v>316</v>
      </c>
      <c r="E81" s="2447" t="s">
        <v>317</v>
      </c>
      <c r="F81" s="2448"/>
      <c r="G81" s="2448"/>
    </row>
    <row r="82" spans="1:7" ht="13.2" x14ac:dyDescent="0.25">
      <c r="A82" s="2448"/>
      <c r="B82" s="2448"/>
      <c r="C82" s="2448"/>
      <c r="D82" s="2448"/>
      <c r="E82" s="2448"/>
      <c r="F82" s="2448"/>
      <c r="G82" s="2448"/>
    </row>
    <row r="83" spans="1:7" ht="36" x14ac:dyDescent="0.25">
      <c r="A83" s="1495">
        <v>1</v>
      </c>
      <c r="B83" s="101" t="s">
        <v>381</v>
      </c>
      <c r="C83" s="102" t="s">
        <v>457</v>
      </c>
      <c r="D83" s="593" t="s">
        <v>384</v>
      </c>
      <c r="E83" s="593" t="s">
        <v>384</v>
      </c>
      <c r="F83" s="593" t="s">
        <v>205</v>
      </c>
      <c r="G83" s="1079" t="s">
        <v>364</v>
      </c>
    </row>
    <row r="84" spans="1:7" ht="36" x14ac:dyDescent="0.25">
      <c r="A84" s="1495">
        <v>2</v>
      </c>
      <c r="B84" s="101" t="s">
        <v>382</v>
      </c>
      <c r="C84" s="102" t="s">
        <v>457</v>
      </c>
      <c r="D84" s="593" t="s">
        <v>385</v>
      </c>
      <c r="E84" s="593" t="s">
        <v>385</v>
      </c>
      <c r="F84" s="593" t="s">
        <v>205</v>
      </c>
      <c r="G84" s="1079" t="s">
        <v>364</v>
      </c>
    </row>
    <row r="85" spans="1:7" ht="36" x14ac:dyDescent="0.25">
      <c r="A85" s="1495">
        <v>3</v>
      </c>
      <c r="B85" s="101" t="s">
        <v>383</v>
      </c>
      <c r="C85" s="102" t="s">
        <v>457</v>
      </c>
      <c r="D85" s="593" t="s">
        <v>386</v>
      </c>
      <c r="E85" s="593" t="s">
        <v>386</v>
      </c>
      <c r="F85" s="593" t="s">
        <v>205</v>
      </c>
      <c r="G85" s="1079" t="s">
        <v>364</v>
      </c>
    </row>
    <row r="86" spans="1:7" ht="37.5" customHeight="1" x14ac:dyDescent="0.25">
      <c r="A86" s="1495">
        <v>4</v>
      </c>
      <c r="B86" s="101" t="s">
        <v>387</v>
      </c>
      <c r="C86" s="1486" t="s">
        <v>388</v>
      </c>
      <c r="D86" s="594" t="s">
        <v>389</v>
      </c>
      <c r="E86" s="594" t="s">
        <v>389</v>
      </c>
      <c r="F86" s="593" t="s">
        <v>205</v>
      </c>
      <c r="G86" s="1079" t="s">
        <v>364</v>
      </c>
    </row>
    <row r="87" spans="1:7" ht="36" x14ac:dyDescent="0.25">
      <c r="A87" s="1495">
        <v>5</v>
      </c>
      <c r="B87" s="101" t="s">
        <v>1667</v>
      </c>
      <c r="C87" s="102" t="s">
        <v>1668</v>
      </c>
      <c r="D87" s="593" t="s">
        <v>390</v>
      </c>
      <c r="E87" s="593" t="s">
        <v>390</v>
      </c>
      <c r="F87" s="593" t="s">
        <v>205</v>
      </c>
      <c r="G87" s="1079" t="s">
        <v>364</v>
      </c>
    </row>
    <row r="89" spans="1:7" x14ac:dyDescent="0.35">
      <c r="D89" s="1011" t="s">
        <v>361</v>
      </c>
    </row>
    <row r="90" spans="1:7" x14ac:dyDescent="0.35">
      <c r="D90" s="1011" t="s">
        <v>362</v>
      </c>
    </row>
    <row r="91" spans="1:7" x14ac:dyDescent="0.35">
      <c r="D91" s="1011" t="s">
        <v>380</v>
      </c>
    </row>
    <row r="92" spans="1:7" ht="18.600000000000001" thickBot="1" x14ac:dyDescent="0.4"/>
    <row r="93" spans="1:7" x14ac:dyDescent="0.25">
      <c r="A93" s="1481" t="s">
        <v>17</v>
      </c>
      <c r="B93" s="2447" t="s">
        <v>311</v>
      </c>
      <c r="C93" s="2447" t="s">
        <v>312</v>
      </c>
      <c r="D93" s="2449" t="s">
        <v>313</v>
      </c>
      <c r="E93" s="2450"/>
      <c r="F93" s="2447" t="s">
        <v>314</v>
      </c>
      <c r="G93" s="2447" t="s">
        <v>315</v>
      </c>
    </row>
    <row r="94" spans="1:7" ht="18.600000000000001" thickBot="1" x14ac:dyDescent="0.3">
      <c r="A94" s="1482" t="s">
        <v>310</v>
      </c>
      <c r="B94" s="2448"/>
      <c r="C94" s="2448"/>
      <c r="D94" s="2451"/>
      <c r="E94" s="2452"/>
      <c r="F94" s="2448"/>
      <c r="G94" s="2448"/>
    </row>
    <row r="95" spans="1:7" ht="13.2" x14ac:dyDescent="0.25">
      <c r="A95" s="2448"/>
      <c r="B95" s="2448"/>
      <c r="C95" s="2448"/>
      <c r="D95" s="2447" t="s">
        <v>316</v>
      </c>
      <c r="E95" s="2447" t="s">
        <v>317</v>
      </c>
      <c r="F95" s="2448"/>
      <c r="G95" s="2448"/>
    </row>
    <row r="96" spans="1:7" ht="27.75" customHeight="1" x14ac:dyDescent="0.25">
      <c r="A96" s="2448"/>
      <c r="B96" s="2448"/>
      <c r="C96" s="2448"/>
      <c r="D96" s="2448"/>
      <c r="E96" s="2448"/>
      <c r="F96" s="2448"/>
      <c r="G96" s="2448"/>
    </row>
    <row r="97" spans="1:7" ht="36" x14ac:dyDescent="0.25">
      <c r="A97" s="1495">
        <v>1</v>
      </c>
      <c r="B97" s="101" t="s">
        <v>387</v>
      </c>
      <c r="C97" s="1486" t="s">
        <v>388</v>
      </c>
      <c r="D97" s="1010" t="s">
        <v>389</v>
      </c>
      <c r="E97" s="1010" t="s">
        <v>1547</v>
      </c>
      <c r="F97" s="1009" t="s">
        <v>205</v>
      </c>
      <c r="G97" s="1079" t="s">
        <v>364</v>
      </c>
    </row>
    <row r="98" spans="1:7" x14ac:dyDescent="0.35">
      <c r="E98" s="78" t="s">
        <v>1548</v>
      </c>
    </row>
  </sheetData>
  <mergeCells count="70">
    <mergeCell ref="G4:G5"/>
    <mergeCell ref="B4:B5"/>
    <mergeCell ref="C4:C5"/>
    <mergeCell ref="D4:E4"/>
    <mergeCell ref="F4:F5"/>
    <mergeCell ref="A29:A32"/>
    <mergeCell ref="B29:B32"/>
    <mergeCell ref="F29:F30"/>
    <mergeCell ref="F31:F32"/>
    <mergeCell ref="A8:A10"/>
    <mergeCell ref="B8:B10"/>
    <mergeCell ref="A11:A12"/>
    <mergeCell ref="B11:B12"/>
    <mergeCell ref="A14:A17"/>
    <mergeCell ref="B14:B17"/>
    <mergeCell ref="A20:A22"/>
    <mergeCell ref="B20:B22"/>
    <mergeCell ref="A24:A27"/>
    <mergeCell ref="B24:B27"/>
    <mergeCell ref="F33:F34"/>
    <mergeCell ref="F35:F36"/>
    <mergeCell ref="F43:F44"/>
    <mergeCell ref="F41:F42"/>
    <mergeCell ref="A37:A40"/>
    <mergeCell ref="B37:B40"/>
    <mergeCell ref="F37:F38"/>
    <mergeCell ref="F39:F40"/>
    <mergeCell ref="A33:A36"/>
    <mergeCell ref="B33:B36"/>
    <mergeCell ref="F57:F60"/>
    <mergeCell ref="G57:G60"/>
    <mergeCell ref="A45:A47"/>
    <mergeCell ref="B45:B47"/>
    <mergeCell ref="A41:A44"/>
    <mergeCell ref="B41:B44"/>
    <mergeCell ref="A50:G50"/>
    <mergeCell ref="A59:A60"/>
    <mergeCell ref="D59:D60"/>
    <mergeCell ref="E59:E60"/>
    <mergeCell ref="B57:B60"/>
    <mergeCell ref="C57:C60"/>
    <mergeCell ref="D57:E58"/>
    <mergeCell ref="B79:B82"/>
    <mergeCell ref="C79:C82"/>
    <mergeCell ref="D79:E80"/>
    <mergeCell ref="F79:F82"/>
    <mergeCell ref="G79:G82"/>
    <mergeCell ref="F70:F72"/>
    <mergeCell ref="A68:A69"/>
    <mergeCell ref="B68:B69"/>
    <mergeCell ref="C68:C69"/>
    <mergeCell ref="D68:D69"/>
    <mergeCell ref="E68:E69"/>
    <mergeCell ref="F68:F69"/>
    <mergeCell ref="A1:G3"/>
    <mergeCell ref="A4:A5"/>
    <mergeCell ref="F93:F96"/>
    <mergeCell ref="G93:G96"/>
    <mergeCell ref="A81:A82"/>
    <mergeCell ref="D81:D82"/>
    <mergeCell ref="E81:E82"/>
    <mergeCell ref="A95:A96"/>
    <mergeCell ref="D95:D96"/>
    <mergeCell ref="E95:E96"/>
    <mergeCell ref="B93:B96"/>
    <mergeCell ref="C93:C96"/>
    <mergeCell ref="D93:E94"/>
    <mergeCell ref="G68:G69"/>
    <mergeCell ref="A70:A72"/>
    <mergeCell ref="G70:G72"/>
  </mergeCells>
  <pageMargins left="0.7" right="0.7" top="0.75" bottom="0.75" header="0.3" footer="0.3"/>
  <pageSetup paperSize="9" scale="46" orientation="landscape" r:id="rId1"/>
  <rowBreaks count="4" manualBreakCount="4">
    <brk id="17" max="6" man="1"/>
    <brk id="32" max="6" man="1"/>
    <brk id="52" max="6" man="1"/>
    <brk id="74" max="6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H43"/>
  <sheetViews>
    <sheetView view="pageBreakPreview" zoomScale="30" zoomScaleNormal="78" zoomScaleSheetLayoutView="30" workbookViewId="0">
      <selection sqref="A1:G1"/>
    </sheetView>
  </sheetViews>
  <sheetFormatPr defaultColWidth="9.109375" defaultRowHeight="46.2" x14ac:dyDescent="0.25"/>
  <cols>
    <col min="1" max="1" width="14.5546875" style="1568" customWidth="1"/>
    <col min="2" max="2" width="152.6640625" style="1568" customWidth="1"/>
    <col min="3" max="3" width="65.109375" style="1568" customWidth="1"/>
    <col min="4" max="4" width="43" style="1568" customWidth="1"/>
    <col min="5" max="5" width="53.6640625" style="1568" customWidth="1"/>
    <col min="6" max="6" width="135.88671875" style="1568" customWidth="1"/>
    <col min="7" max="7" width="89.88671875" style="1568" customWidth="1"/>
    <col min="8" max="16384" width="9.109375" style="1550"/>
  </cols>
  <sheetData>
    <row r="1" spans="1:8" ht="178.5" customHeight="1" x14ac:dyDescent="0.25">
      <c r="A1" s="2473" t="s">
        <v>1671</v>
      </c>
      <c r="B1" s="2473"/>
      <c r="C1" s="2473"/>
      <c r="D1" s="2473"/>
      <c r="E1" s="2473"/>
      <c r="F1" s="2473"/>
      <c r="G1" s="2473"/>
    </row>
    <row r="2" spans="1:8" ht="135" customHeight="1" x14ac:dyDescent="0.25">
      <c r="A2" s="1551" t="s">
        <v>131</v>
      </c>
      <c r="B2" s="1499" t="s">
        <v>720</v>
      </c>
      <c r="C2" s="198" t="s">
        <v>230</v>
      </c>
      <c r="D2" s="198" t="s">
        <v>232</v>
      </c>
      <c r="E2" s="1500" t="s">
        <v>231</v>
      </c>
      <c r="F2" s="1551" t="s">
        <v>721</v>
      </c>
      <c r="G2" s="1551" t="s">
        <v>722</v>
      </c>
      <c r="H2" s="1552" t="s">
        <v>1652</v>
      </c>
    </row>
    <row r="3" spans="1:8" ht="45.6" x14ac:dyDescent="0.25">
      <c r="A3" s="1551">
        <v>1</v>
      </c>
      <c r="B3" s="198">
        <v>2</v>
      </c>
      <c r="C3" s="198">
        <v>3</v>
      </c>
      <c r="D3" s="198">
        <v>4</v>
      </c>
      <c r="E3" s="198">
        <v>5</v>
      </c>
      <c r="F3" s="1551">
        <v>6</v>
      </c>
      <c r="G3" s="1551">
        <v>7</v>
      </c>
    </row>
    <row r="4" spans="1:8" ht="56.25" customHeight="1" x14ac:dyDescent="0.25">
      <c r="A4" s="2462" t="s">
        <v>786</v>
      </c>
      <c r="B4" s="2463"/>
      <c r="C4" s="2463"/>
      <c r="D4" s="2463"/>
      <c r="E4" s="2463"/>
      <c r="F4" s="2463"/>
      <c r="G4" s="2464"/>
    </row>
    <row r="5" spans="1:8" ht="56.25" customHeight="1" x14ac:dyDescent="0.25">
      <c r="A5" s="2462" t="s">
        <v>1170</v>
      </c>
      <c r="B5" s="2463"/>
      <c r="C5" s="2463"/>
      <c r="D5" s="2463"/>
      <c r="E5" s="2463"/>
      <c r="F5" s="2463"/>
      <c r="G5" s="2464"/>
    </row>
    <row r="6" spans="1:8" ht="56.25" customHeight="1" x14ac:dyDescent="0.25">
      <c r="A6" s="2465" t="s">
        <v>723</v>
      </c>
      <c r="B6" s="2463"/>
      <c r="C6" s="2463"/>
      <c r="D6" s="2463"/>
      <c r="E6" s="2463"/>
      <c r="F6" s="2463"/>
      <c r="G6" s="2464"/>
    </row>
    <row r="7" spans="1:8" ht="147" customHeight="1" x14ac:dyDescent="0.25">
      <c r="A7" s="1553">
        <v>1</v>
      </c>
      <c r="B7" s="1554" t="s">
        <v>724</v>
      </c>
      <c r="C7" s="1553" t="s">
        <v>725</v>
      </c>
      <c r="D7" s="1553" t="s">
        <v>726</v>
      </c>
      <c r="E7" s="1555" t="s">
        <v>219</v>
      </c>
      <c r="F7" s="1556" t="s">
        <v>1629</v>
      </c>
      <c r="G7" s="1553" t="s">
        <v>727</v>
      </c>
    </row>
    <row r="8" spans="1:8" ht="99" customHeight="1" x14ac:dyDescent="0.25">
      <c r="A8" s="1553">
        <v>2</v>
      </c>
      <c r="B8" s="1554" t="s">
        <v>728</v>
      </c>
      <c r="C8" s="1553" t="s">
        <v>1639</v>
      </c>
      <c r="D8" s="1553" t="s">
        <v>1638</v>
      </c>
      <c r="E8" s="1555" t="s">
        <v>219</v>
      </c>
      <c r="F8" s="1557" t="s">
        <v>1637</v>
      </c>
      <c r="G8" s="1553" t="s">
        <v>729</v>
      </c>
    </row>
    <row r="9" spans="1:8" ht="153.75" customHeight="1" x14ac:dyDescent="0.25">
      <c r="A9" s="1553">
        <v>3</v>
      </c>
      <c r="B9" s="1558" t="s">
        <v>1645</v>
      </c>
      <c r="C9" s="1556" t="s">
        <v>448</v>
      </c>
      <c r="D9" s="1553" t="s">
        <v>730</v>
      </c>
      <c r="E9" s="1555" t="s">
        <v>1025</v>
      </c>
      <c r="F9" s="1556" t="s">
        <v>1641</v>
      </c>
      <c r="G9" s="1559" t="s">
        <v>727</v>
      </c>
    </row>
    <row r="10" spans="1:8" ht="105.75" customHeight="1" x14ac:dyDescent="0.25">
      <c r="A10" s="1553">
        <v>4</v>
      </c>
      <c r="B10" s="1560" t="s">
        <v>1640</v>
      </c>
      <c r="C10" s="1556" t="s">
        <v>448</v>
      </c>
      <c r="D10" s="1553" t="s">
        <v>730</v>
      </c>
      <c r="E10" s="1555" t="s">
        <v>1025</v>
      </c>
      <c r="F10" s="1557" t="s">
        <v>1637</v>
      </c>
      <c r="G10" s="1553" t="s">
        <v>727</v>
      </c>
    </row>
    <row r="11" spans="1:8" ht="144" customHeight="1" x14ac:dyDescent="0.25">
      <c r="A11" s="1553">
        <v>5</v>
      </c>
      <c r="B11" s="1561" t="s">
        <v>1642</v>
      </c>
      <c r="C11" s="1553" t="s">
        <v>1628</v>
      </c>
      <c r="D11" s="1553" t="s">
        <v>731</v>
      </c>
      <c r="E11" s="1555" t="s">
        <v>219</v>
      </c>
      <c r="F11" s="1557" t="s">
        <v>1637</v>
      </c>
      <c r="G11" s="1556" t="s">
        <v>729</v>
      </c>
    </row>
    <row r="12" spans="1:8" ht="143.25" customHeight="1" x14ac:dyDescent="0.25">
      <c r="A12" s="1553">
        <v>6</v>
      </c>
      <c r="B12" s="1561" t="s">
        <v>1643</v>
      </c>
      <c r="C12" s="1556" t="s">
        <v>1644</v>
      </c>
      <c r="D12" s="1556">
        <v>70</v>
      </c>
      <c r="E12" s="1555" t="s">
        <v>219</v>
      </c>
      <c r="F12" s="1556" t="s">
        <v>1641</v>
      </c>
      <c r="G12" s="1559" t="s">
        <v>727</v>
      </c>
    </row>
    <row r="13" spans="1:8" ht="111.75" customHeight="1" x14ac:dyDescent="0.25">
      <c r="A13" s="1553">
        <v>7</v>
      </c>
      <c r="B13" s="1561" t="s">
        <v>1646</v>
      </c>
      <c r="C13" s="1556" t="s">
        <v>448</v>
      </c>
      <c r="D13" s="1553" t="s">
        <v>730</v>
      </c>
      <c r="E13" s="1555" t="s">
        <v>1025</v>
      </c>
      <c r="F13" s="1557" t="s">
        <v>1637</v>
      </c>
      <c r="G13" s="1559" t="s">
        <v>727</v>
      </c>
    </row>
    <row r="14" spans="1:8" ht="149.25" customHeight="1" x14ac:dyDescent="0.25">
      <c r="A14" s="1553">
        <v>8</v>
      </c>
      <c r="B14" s="1562" t="s">
        <v>1653</v>
      </c>
      <c r="C14" s="1553" t="s">
        <v>1639</v>
      </c>
      <c r="D14" s="1553" t="s">
        <v>1638</v>
      </c>
      <c r="E14" s="1555" t="s">
        <v>219</v>
      </c>
      <c r="F14" s="1557" t="s">
        <v>1637</v>
      </c>
      <c r="G14" s="1553" t="s">
        <v>729</v>
      </c>
    </row>
    <row r="15" spans="1:8" ht="57.75" customHeight="1" x14ac:dyDescent="0.25">
      <c r="A15" s="2465" t="s">
        <v>732</v>
      </c>
      <c r="B15" s="2463"/>
      <c r="C15" s="2463"/>
      <c r="D15" s="2463"/>
      <c r="E15" s="2463"/>
      <c r="F15" s="2463"/>
      <c r="G15" s="2464"/>
    </row>
    <row r="16" spans="1:8" ht="115.5" customHeight="1" x14ac:dyDescent="1.2">
      <c r="A16" s="1555">
        <v>9</v>
      </c>
      <c r="B16" s="1563" t="s">
        <v>1647</v>
      </c>
      <c r="C16" s="1553" t="s">
        <v>1628</v>
      </c>
      <c r="D16" s="1553" t="s">
        <v>735</v>
      </c>
      <c r="E16" s="1555" t="s">
        <v>205</v>
      </c>
      <c r="F16" s="1557" t="s">
        <v>1637</v>
      </c>
      <c r="G16" s="1556" t="s">
        <v>729</v>
      </c>
    </row>
    <row r="17" spans="1:7" ht="115.5" customHeight="1" x14ac:dyDescent="0.25">
      <c r="A17" s="1553">
        <v>10</v>
      </c>
      <c r="B17" s="2471" t="s">
        <v>1654</v>
      </c>
      <c r="C17" s="1553" t="s">
        <v>1627</v>
      </c>
      <c r="D17" s="1553" t="s">
        <v>733</v>
      </c>
      <c r="E17" s="1555" t="s">
        <v>1025</v>
      </c>
      <c r="F17" s="1557" t="s">
        <v>1637</v>
      </c>
      <c r="G17" s="1553" t="s">
        <v>727</v>
      </c>
    </row>
    <row r="18" spans="1:7" ht="115.5" customHeight="1" x14ac:dyDescent="0.25">
      <c r="A18" s="1553">
        <v>11</v>
      </c>
      <c r="B18" s="2472"/>
      <c r="C18" s="1553" t="s">
        <v>1639</v>
      </c>
      <c r="D18" s="1553" t="s">
        <v>1638</v>
      </c>
      <c r="E18" s="1555" t="s">
        <v>219</v>
      </c>
      <c r="F18" s="1557" t="s">
        <v>1637</v>
      </c>
      <c r="G18" s="1553" t="s">
        <v>729</v>
      </c>
    </row>
    <row r="19" spans="1:7" ht="148.5" customHeight="1" x14ac:dyDescent="0.25">
      <c r="A19" s="1553">
        <v>12</v>
      </c>
      <c r="B19" s="1561" t="s">
        <v>1649</v>
      </c>
      <c r="C19" s="1556" t="s">
        <v>1648</v>
      </c>
      <c r="D19" s="1556">
        <v>71</v>
      </c>
      <c r="E19" s="1555" t="s">
        <v>1025</v>
      </c>
      <c r="F19" s="1556" t="s">
        <v>1641</v>
      </c>
      <c r="G19" s="1553" t="s">
        <v>727</v>
      </c>
    </row>
    <row r="20" spans="1:7" ht="156" customHeight="1" x14ac:dyDescent="0.25">
      <c r="A20" s="1564">
        <v>13</v>
      </c>
      <c r="B20" s="1554" t="s">
        <v>1650</v>
      </c>
      <c r="C20" s="1553" t="s">
        <v>448</v>
      </c>
      <c r="D20" s="1553" t="s">
        <v>734</v>
      </c>
      <c r="E20" s="1555" t="s">
        <v>1025</v>
      </c>
      <c r="F20" s="1557" t="s">
        <v>1637</v>
      </c>
      <c r="G20" s="1553" t="s">
        <v>727</v>
      </c>
    </row>
    <row r="21" spans="1:7" ht="148.5" customHeight="1" x14ac:dyDescent="0.25">
      <c r="A21" s="1553">
        <v>14</v>
      </c>
      <c r="B21" s="1554" t="s">
        <v>1655</v>
      </c>
      <c r="C21" s="1553" t="s">
        <v>1656</v>
      </c>
      <c r="D21" s="1553">
        <v>0.5</v>
      </c>
      <c r="E21" s="1555" t="s">
        <v>1025</v>
      </c>
      <c r="F21" s="1557" t="s">
        <v>1637</v>
      </c>
      <c r="G21" s="1553" t="s">
        <v>727</v>
      </c>
    </row>
    <row r="22" spans="1:7" ht="51" customHeight="1" x14ac:dyDescent="0.25">
      <c r="A22" s="1551">
        <v>1</v>
      </c>
      <c r="B22" s="198">
        <v>2</v>
      </c>
      <c r="C22" s="198">
        <v>3</v>
      </c>
      <c r="D22" s="198">
        <v>4</v>
      </c>
      <c r="E22" s="198">
        <v>5</v>
      </c>
      <c r="F22" s="1551">
        <v>6</v>
      </c>
      <c r="G22" s="1551">
        <v>7</v>
      </c>
    </row>
    <row r="23" spans="1:7" ht="60.75" customHeight="1" x14ac:dyDescent="0.25">
      <c r="A23" s="2462" t="s">
        <v>736</v>
      </c>
      <c r="B23" s="2463"/>
      <c r="C23" s="2463"/>
      <c r="D23" s="2463"/>
      <c r="E23" s="2463"/>
      <c r="F23" s="2463"/>
      <c r="G23" s="2464"/>
    </row>
    <row r="24" spans="1:7" ht="60.75" customHeight="1" x14ac:dyDescent="0.25">
      <c r="A24" s="2465" t="s">
        <v>1171</v>
      </c>
      <c r="B24" s="2466"/>
      <c r="C24" s="2466"/>
      <c r="D24" s="2466"/>
      <c r="E24" s="2466"/>
      <c r="F24" s="2466"/>
      <c r="G24" s="2467"/>
    </row>
    <row r="25" spans="1:7" ht="75.75" customHeight="1" x14ac:dyDescent="0.25">
      <c r="A25" s="1553">
        <v>15</v>
      </c>
      <c r="B25" s="1554" t="s">
        <v>737</v>
      </c>
      <c r="C25" s="1553" t="s">
        <v>448</v>
      </c>
      <c r="D25" s="1565" t="s">
        <v>738</v>
      </c>
      <c r="E25" s="1555" t="s">
        <v>219</v>
      </c>
      <c r="F25" s="1557" t="s">
        <v>1637</v>
      </c>
      <c r="G25" s="1566" t="s">
        <v>727</v>
      </c>
    </row>
    <row r="26" spans="1:7" ht="144.75" customHeight="1" x14ac:dyDescent="0.25">
      <c r="A26" s="1553">
        <v>16</v>
      </c>
      <c r="B26" s="1560" t="s">
        <v>1657</v>
      </c>
      <c r="C26" s="1553" t="s">
        <v>739</v>
      </c>
      <c r="D26" s="1565" t="s">
        <v>740</v>
      </c>
      <c r="E26" s="1555" t="s">
        <v>1025</v>
      </c>
      <c r="F26" s="1557" t="s">
        <v>1637</v>
      </c>
      <c r="G26" s="1553" t="s">
        <v>727</v>
      </c>
    </row>
    <row r="27" spans="1:7" ht="165.75" customHeight="1" x14ac:dyDescent="0.25">
      <c r="A27" s="1553">
        <v>17</v>
      </c>
      <c r="B27" s="1560" t="s">
        <v>1658</v>
      </c>
      <c r="C27" s="1553" t="s">
        <v>1630</v>
      </c>
      <c r="D27" s="1553">
        <v>60</v>
      </c>
      <c r="E27" s="1555" t="s">
        <v>1025</v>
      </c>
      <c r="F27" s="1557" t="s">
        <v>1637</v>
      </c>
      <c r="G27" s="1553" t="s">
        <v>727</v>
      </c>
    </row>
    <row r="28" spans="1:7" ht="150.75" customHeight="1" x14ac:dyDescent="0.25">
      <c r="A28" s="1553">
        <v>18</v>
      </c>
      <c r="B28" s="1560" t="s">
        <v>1659</v>
      </c>
      <c r="C28" s="1556" t="s">
        <v>448</v>
      </c>
      <c r="D28" s="1556" t="s">
        <v>1631</v>
      </c>
      <c r="E28" s="1555" t="s">
        <v>1025</v>
      </c>
      <c r="F28" s="1556" t="s">
        <v>1641</v>
      </c>
      <c r="G28" s="1553" t="s">
        <v>727</v>
      </c>
    </row>
    <row r="29" spans="1:7" ht="153" customHeight="1" x14ac:dyDescent="0.25">
      <c r="A29" s="1553">
        <v>19</v>
      </c>
      <c r="B29" s="1560" t="s">
        <v>1660</v>
      </c>
      <c r="C29" s="1556" t="s">
        <v>448</v>
      </c>
      <c r="D29" s="1556" t="s">
        <v>1632</v>
      </c>
      <c r="E29" s="1555" t="s">
        <v>1025</v>
      </c>
      <c r="F29" s="1556" t="s">
        <v>1641</v>
      </c>
      <c r="G29" s="1553" t="s">
        <v>727</v>
      </c>
    </row>
    <row r="30" spans="1:7" ht="109.5" customHeight="1" x14ac:dyDescent="0.25">
      <c r="A30" s="1553">
        <v>20</v>
      </c>
      <c r="B30" s="1560" t="s">
        <v>1661</v>
      </c>
      <c r="C30" s="1553" t="s">
        <v>448</v>
      </c>
      <c r="D30" s="1553" t="s">
        <v>741</v>
      </c>
      <c r="E30" s="1555" t="s">
        <v>901</v>
      </c>
      <c r="F30" s="1557" t="s">
        <v>1637</v>
      </c>
      <c r="G30" s="1553" t="s">
        <v>727</v>
      </c>
    </row>
    <row r="31" spans="1:7" ht="181.5" customHeight="1" x14ac:dyDescent="0.25">
      <c r="A31" s="1553">
        <v>21</v>
      </c>
      <c r="B31" s="1554" t="s">
        <v>1662</v>
      </c>
      <c r="C31" s="1553" t="s">
        <v>448</v>
      </c>
      <c r="D31" s="1553" t="s">
        <v>1638</v>
      </c>
      <c r="E31" s="1555" t="s">
        <v>901</v>
      </c>
      <c r="F31" s="1553" t="s">
        <v>1633</v>
      </c>
      <c r="G31" s="1556" t="s">
        <v>729</v>
      </c>
    </row>
    <row r="32" spans="1:7" ht="57" customHeight="1" x14ac:dyDescent="0.25">
      <c r="A32" s="2465" t="s">
        <v>1635</v>
      </c>
      <c r="B32" s="2468"/>
      <c r="C32" s="2468"/>
      <c r="D32" s="2468"/>
      <c r="E32" s="2468"/>
      <c r="F32" s="2468"/>
      <c r="G32" s="2469"/>
    </row>
    <row r="33" spans="1:7" ht="147" customHeight="1" x14ac:dyDescent="0.25">
      <c r="A33" s="1555">
        <v>22</v>
      </c>
      <c r="B33" s="1553" t="s">
        <v>742</v>
      </c>
      <c r="C33" s="1553" t="s">
        <v>725</v>
      </c>
      <c r="D33" s="1556" t="s">
        <v>480</v>
      </c>
      <c r="E33" s="1555" t="s">
        <v>219</v>
      </c>
      <c r="F33" s="1556" t="s">
        <v>1641</v>
      </c>
      <c r="G33" s="1553" t="s">
        <v>727</v>
      </c>
    </row>
    <row r="34" spans="1:7" ht="124.5" customHeight="1" x14ac:dyDescent="0.25">
      <c r="A34" s="1553">
        <v>23</v>
      </c>
      <c r="B34" s="1564" t="s">
        <v>1663</v>
      </c>
      <c r="C34" s="1553" t="s">
        <v>1639</v>
      </c>
      <c r="D34" s="1553" t="s">
        <v>1638</v>
      </c>
      <c r="E34" s="1555" t="s">
        <v>219</v>
      </c>
      <c r="F34" s="1557" t="s">
        <v>1637</v>
      </c>
      <c r="G34" s="1553" t="s">
        <v>727</v>
      </c>
    </row>
    <row r="35" spans="1:7" ht="61.5" customHeight="1" x14ac:dyDescent="0.25">
      <c r="A35" s="2465" t="s">
        <v>743</v>
      </c>
      <c r="B35" s="2463"/>
      <c r="C35" s="2463"/>
      <c r="D35" s="2463"/>
      <c r="E35" s="2463"/>
      <c r="F35" s="2463"/>
      <c r="G35" s="2464"/>
    </row>
    <row r="36" spans="1:7" ht="147" customHeight="1" x14ac:dyDescent="0.25">
      <c r="A36" s="1555">
        <v>24</v>
      </c>
      <c r="B36" s="1553" t="s">
        <v>1664</v>
      </c>
      <c r="C36" s="1553" t="s">
        <v>1665</v>
      </c>
      <c r="D36" s="1556" t="s">
        <v>1666</v>
      </c>
      <c r="E36" s="1567" t="s">
        <v>845</v>
      </c>
      <c r="F36" s="1556" t="s">
        <v>1641</v>
      </c>
      <c r="G36" s="1553" t="s">
        <v>727</v>
      </c>
    </row>
    <row r="37" spans="1:7" ht="108.75" customHeight="1" x14ac:dyDescent="0.25">
      <c r="A37" s="1553">
        <v>25</v>
      </c>
      <c r="B37" s="1554" t="s">
        <v>1634</v>
      </c>
      <c r="C37" s="1553" t="s">
        <v>725</v>
      </c>
      <c r="D37" s="1553" t="s">
        <v>744</v>
      </c>
      <c r="E37" s="1555" t="s">
        <v>1025</v>
      </c>
      <c r="F37" s="1556" t="s">
        <v>1637</v>
      </c>
      <c r="G37" s="1553" t="s">
        <v>727</v>
      </c>
    </row>
    <row r="38" spans="1:7" ht="54" customHeight="1" x14ac:dyDescent="0.25">
      <c r="B38" s="1568" t="s">
        <v>745</v>
      </c>
      <c r="D38" s="1568" t="s">
        <v>1070</v>
      </c>
      <c r="E38" s="1568" t="s">
        <v>1636</v>
      </c>
    </row>
    <row r="39" spans="1:7" ht="81.75" customHeight="1" x14ac:dyDescent="0.25">
      <c r="B39" s="1568" t="s">
        <v>1624</v>
      </c>
      <c r="C39" s="1569"/>
      <c r="D39" s="1570" t="s">
        <v>900</v>
      </c>
    </row>
    <row r="40" spans="1:7" ht="54" customHeight="1" x14ac:dyDescent="0.25"/>
    <row r="41" spans="1:7" ht="54" customHeight="1" x14ac:dyDescent="0.25">
      <c r="B41" s="2470" t="s">
        <v>746</v>
      </c>
      <c r="C41" s="2470"/>
      <c r="D41" s="2470"/>
      <c r="E41" s="2470"/>
      <c r="F41" s="2470"/>
      <c r="G41" s="2470"/>
    </row>
    <row r="42" spans="1:7" ht="18.75" customHeight="1" x14ac:dyDescent="0.25"/>
    <row r="43" spans="1:7" hidden="1" x14ac:dyDescent="0.25"/>
  </sheetData>
  <mergeCells count="11">
    <mergeCell ref="B17:B18"/>
    <mergeCell ref="A1:G1"/>
    <mergeCell ref="A4:G4"/>
    <mergeCell ref="A5:G5"/>
    <mergeCell ref="A6:G6"/>
    <mergeCell ref="A15:G15"/>
    <mergeCell ref="A23:G23"/>
    <mergeCell ref="A24:G24"/>
    <mergeCell ref="A32:G32"/>
    <mergeCell ref="A35:G35"/>
    <mergeCell ref="B41:G41"/>
  </mergeCells>
  <pageMargins left="0.78740157480314965" right="0.19685039370078741" top="0.59055118110236227" bottom="0.39370078740157483" header="0.11811023622047245" footer="0.11811023622047245"/>
  <pageSetup paperSize="9" scale="21" orientation="landscape" r:id="rId1"/>
  <rowBreaks count="1" manualBreakCount="1">
    <brk id="21" max="6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1"/>
  <sheetViews>
    <sheetView view="pageBreakPreview" zoomScale="70" zoomScaleNormal="100" zoomScaleSheetLayoutView="70" workbookViewId="0">
      <selection activeCell="A42" sqref="A42:C42"/>
    </sheetView>
  </sheetViews>
  <sheetFormatPr defaultRowHeight="18" x14ac:dyDescent="0.35"/>
  <cols>
    <col min="1" max="1" width="6.33203125" style="737" customWidth="1"/>
    <col min="2" max="2" width="15.44140625" style="737" customWidth="1"/>
    <col min="3" max="3" width="71" style="753" customWidth="1"/>
    <col min="4" max="4" width="7.33203125" style="737" customWidth="1"/>
    <col min="5" max="5" width="23.44140625" style="737" customWidth="1"/>
    <col min="6" max="6" width="67.44140625" style="753" customWidth="1"/>
    <col min="7" max="7" width="11.6640625" style="595" customWidth="1"/>
    <col min="8" max="8" width="20" style="595" customWidth="1"/>
  </cols>
  <sheetData>
    <row r="1" spans="1:8" ht="69" customHeight="1" x14ac:dyDescent="0.35">
      <c r="A1" s="2341" t="s">
        <v>608</v>
      </c>
      <c r="B1" s="2341"/>
      <c r="C1" s="2341"/>
      <c r="D1" s="2474" t="s">
        <v>575</v>
      </c>
      <c r="E1" s="2474"/>
      <c r="F1" s="2474"/>
    </row>
    <row r="2" spans="1:8" s="195" customFormat="1" ht="57" customHeight="1" x14ac:dyDescent="0.25">
      <c r="A2" s="738" t="s">
        <v>131</v>
      </c>
      <c r="B2" s="738" t="s">
        <v>576</v>
      </c>
      <c r="C2" s="738" t="s">
        <v>155</v>
      </c>
      <c r="D2" s="738" t="s">
        <v>131</v>
      </c>
      <c r="E2" s="738" t="s">
        <v>576</v>
      </c>
      <c r="F2" s="738" t="s">
        <v>155</v>
      </c>
    </row>
    <row r="3" spans="1:8" s="196" customFormat="1" ht="24" customHeight="1" x14ac:dyDescent="0.25">
      <c r="A3" s="738">
        <v>1</v>
      </c>
      <c r="B3" s="738" t="s">
        <v>19</v>
      </c>
      <c r="C3" s="738" t="s">
        <v>156</v>
      </c>
      <c r="D3" s="738">
        <v>1</v>
      </c>
      <c r="E3" s="738" t="s">
        <v>629</v>
      </c>
      <c r="F3" s="738" t="s">
        <v>445</v>
      </c>
    </row>
    <row r="4" spans="1:8" s="196" customFormat="1" ht="24" customHeight="1" x14ac:dyDescent="0.25">
      <c r="A4" s="738">
        <v>2</v>
      </c>
      <c r="B4" s="738" t="s">
        <v>441</v>
      </c>
      <c r="C4" s="738" t="s">
        <v>577</v>
      </c>
      <c r="D4" s="738">
        <v>2</v>
      </c>
      <c r="E4" s="738" t="s">
        <v>617</v>
      </c>
      <c r="F4" s="738" t="s">
        <v>718</v>
      </c>
    </row>
    <row r="5" spans="1:8" s="196" customFormat="1" ht="24" customHeight="1" x14ac:dyDescent="0.25">
      <c r="A5" s="738">
        <v>3</v>
      </c>
      <c r="B5" s="738" t="s">
        <v>182</v>
      </c>
      <c r="C5" s="738" t="s">
        <v>160</v>
      </c>
      <c r="D5" s="738">
        <v>3</v>
      </c>
      <c r="E5" s="738" t="s">
        <v>81</v>
      </c>
      <c r="F5" s="738" t="s">
        <v>630</v>
      </c>
    </row>
    <row r="6" spans="1:8" s="196" customFormat="1" ht="24" customHeight="1" x14ac:dyDescent="0.25">
      <c r="A6" s="738">
        <v>4</v>
      </c>
      <c r="B6" s="738" t="s">
        <v>0</v>
      </c>
      <c r="C6" s="738" t="s">
        <v>157</v>
      </c>
      <c r="D6" s="738">
        <v>4</v>
      </c>
      <c r="E6" s="741" t="s">
        <v>79</v>
      </c>
      <c r="F6" s="656" t="s">
        <v>887</v>
      </c>
    </row>
    <row r="7" spans="1:8" s="196" customFormat="1" ht="24" customHeight="1" x14ac:dyDescent="0.25">
      <c r="A7" s="738">
        <v>5</v>
      </c>
      <c r="B7" s="738" t="s">
        <v>392</v>
      </c>
      <c r="C7" s="738" t="s">
        <v>578</v>
      </c>
      <c r="D7" s="738">
        <v>6</v>
      </c>
      <c r="E7" s="741" t="s">
        <v>644</v>
      </c>
      <c r="F7" s="656" t="s">
        <v>587</v>
      </c>
    </row>
    <row r="8" spans="1:8" s="196" customFormat="1" ht="24" customHeight="1" x14ac:dyDescent="0.25">
      <c r="A8" s="738">
        <v>6</v>
      </c>
      <c r="B8" s="738" t="s">
        <v>579</v>
      </c>
      <c r="C8" s="738" t="s">
        <v>580</v>
      </c>
      <c r="D8" s="738">
        <v>7</v>
      </c>
      <c r="E8" s="738" t="s">
        <v>610</v>
      </c>
      <c r="F8" s="738" t="s">
        <v>631</v>
      </c>
    </row>
    <row r="9" spans="1:8" s="196" customFormat="1" ht="24" customHeight="1" x14ac:dyDescent="0.25">
      <c r="A9" s="738">
        <v>7</v>
      </c>
      <c r="B9" s="738" t="s">
        <v>23</v>
      </c>
      <c r="C9" s="738" t="s">
        <v>581</v>
      </c>
      <c r="D9" s="738">
        <v>8</v>
      </c>
      <c r="E9" s="738" t="s">
        <v>655</v>
      </c>
      <c r="F9" s="742" t="s">
        <v>656</v>
      </c>
    </row>
    <row r="10" spans="1:8" s="196" customFormat="1" ht="24" customHeight="1" x14ac:dyDescent="0.25">
      <c r="A10" s="738">
        <v>8</v>
      </c>
      <c r="B10" s="738" t="s">
        <v>582</v>
      </c>
      <c r="C10" s="738" t="s">
        <v>583</v>
      </c>
      <c r="D10" s="738">
        <v>9</v>
      </c>
      <c r="E10" s="739" t="s">
        <v>807</v>
      </c>
      <c r="F10" s="739" t="s">
        <v>806</v>
      </c>
    </row>
    <row r="11" spans="1:8" s="196" customFormat="1" ht="24" customHeight="1" x14ac:dyDescent="0.25">
      <c r="A11" s="738">
        <v>9</v>
      </c>
      <c r="B11" s="742" t="s">
        <v>185</v>
      </c>
      <c r="C11" s="742" t="s">
        <v>186</v>
      </c>
      <c r="D11" s="738">
        <v>10</v>
      </c>
      <c r="E11" s="738" t="s">
        <v>438</v>
      </c>
      <c r="F11" s="738" t="s">
        <v>888</v>
      </c>
    </row>
    <row r="12" spans="1:8" s="196" customFormat="1" ht="24" customHeight="1" x14ac:dyDescent="0.25">
      <c r="A12" s="738">
        <v>10</v>
      </c>
      <c r="B12" s="738" t="s">
        <v>189</v>
      </c>
      <c r="C12" s="738" t="s">
        <v>235</v>
      </c>
      <c r="D12" s="738">
        <v>11</v>
      </c>
      <c r="E12" s="738" t="s">
        <v>898</v>
      </c>
      <c r="F12" s="738" t="s">
        <v>889</v>
      </c>
    </row>
    <row r="13" spans="1:8" s="196" customFormat="1" ht="26.25" customHeight="1" x14ac:dyDescent="0.25">
      <c r="A13" s="738">
        <v>11</v>
      </c>
      <c r="B13" s="738" t="s">
        <v>24</v>
      </c>
      <c r="C13" s="738" t="s">
        <v>584</v>
      </c>
      <c r="D13" s="738">
        <v>12</v>
      </c>
      <c r="E13" s="1028" t="s">
        <v>1077</v>
      </c>
      <c r="F13" s="738" t="s">
        <v>890</v>
      </c>
    </row>
    <row r="14" spans="1:8" s="196" customFormat="1" ht="50.25" customHeight="1" x14ac:dyDescent="0.25">
      <c r="A14" s="738">
        <v>12</v>
      </c>
      <c r="B14" s="738" t="s">
        <v>34</v>
      </c>
      <c r="C14" s="738" t="s">
        <v>585</v>
      </c>
      <c r="D14" s="738">
        <v>13</v>
      </c>
      <c r="E14" s="740" t="s">
        <v>979</v>
      </c>
      <c r="F14" s="738" t="s">
        <v>980</v>
      </c>
      <c r="G14" s="658"/>
      <c r="H14" s="658"/>
    </row>
    <row r="15" spans="1:8" s="196" customFormat="1" ht="24" customHeight="1" x14ac:dyDescent="0.25">
      <c r="A15" s="738">
        <v>13</v>
      </c>
      <c r="B15" s="738" t="s">
        <v>30</v>
      </c>
      <c r="C15" s="738" t="s">
        <v>586</v>
      </c>
      <c r="D15" s="738">
        <v>14</v>
      </c>
      <c r="E15" s="1028" t="s">
        <v>1076</v>
      </c>
      <c r="F15" s="738" t="s">
        <v>657</v>
      </c>
      <c r="G15" s="658"/>
      <c r="H15" s="658"/>
    </row>
    <row r="16" spans="1:8" s="196" customFormat="1" ht="24" customHeight="1" x14ac:dyDescent="0.25">
      <c r="A16" s="738">
        <v>14</v>
      </c>
      <c r="B16" s="738" t="s">
        <v>29</v>
      </c>
      <c r="C16" s="738" t="s">
        <v>159</v>
      </c>
      <c r="D16" s="738">
        <v>15</v>
      </c>
      <c r="E16" s="738" t="s">
        <v>618</v>
      </c>
      <c r="F16" s="738" t="s">
        <v>619</v>
      </c>
      <c r="G16" s="658"/>
      <c r="H16" s="658"/>
    </row>
    <row r="17" spans="1:8" s="196" customFormat="1" ht="24" customHeight="1" x14ac:dyDescent="0.25">
      <c r="A17" s="738">
        <v>15</v>
      </c>
      <c r="B17" s="656" t="s">
        <v>181</v>
      </c>
      <c r="C17" s="656" t="s">
        <v>172</v>
      </c>
      <c r="D17" s="738">
        <v>16</v>
      </c>
      <c r="E17" s="738" t="s">
        <v>891</v>
      </c>
      <c r="F17" s="738" t="s">
        <v>26</v>
      </c>
      <c r="G17" s="658"/>
      <c r="H17" s="658"/>
    </row>
    <row r="18" spans="1:8" s="196" customFormat="1" ht="24" customHeight="1" x14ac:dyDescent="0.25">
      <c r="A18" s="738">
        <v>16</v>
      </c>
      <c r="B18" s="738" t="s">
        <v>462</v>
      </c>
      <c r="C18" s="738" t="s">
        <v>609</v>
      </c>
      <c r="D18" s="738">
        <v>17</v>
      </c>
      <c r="E18" s="738" t="s">
        <v>620</v>
      </c>
      <c r="F18" s="738" t="s">
        <v>632</v>
      </c>
      <c r="G18" s="658"/>
      <c r="H18" s="658"/>
    </row>
    <row r="19" spans="1:8" s="196" customFormat="1" ht="24" customHeight="1" x14ac:dyDescent="0.25">
      <c r="A19" s="738">
        <v>17</v>
      </c>
      <c r="B19" s="738" t="s">
        <v>70</v>
      </c>
      <c r="C19" s="738" t="s">
        <v>588</v>
      </c>
      <c r="D19" s="738">
        <v>18</v>
      </c>
      <c r="E19" s="743" t="s">
        <v>613</v>
      </c>
      <c r="F19" s="743" t="s">
        <v>658</v>
      </c>
      <c r="G19" s="658"/>
      <c r="H19" s="658"/>
    </row>
    <row r="20" spans="1:8" s="196" customFormat="1" ht="24" customHeight="1" x14ac:dyDescent="0.25">
      <c r="A20" s="738">
        <v>18</v>
      </c>
      <c r="B20" s="738" t="s">
        <v>12</v>
      </c>
      <c r="C20" s="738" t="s">
        <v>589</v>
      </c>
      <c r="D20" s="738">
        <v>19</v>
      </c>
      <c r="E20" s="743" t="s">
        <v>959</v>
      </c>
      <c r="F20" s="743" t="s">
        <v>633</v>
      </c>
      <c r="G20" s="658"/>
      <c r="H20" s="658"/>
    </row>
    <row r="21" spans="1:8" s="196" customFormat="1" ht="24" customHeight="1" x14ac:dyDescent="0.25">
      <c r="A21" s="738">
        <v>19</v>
      </c>
      <c r="B21" s="738" t="s">
        <v>957</v>
      </c>
      <c r="C21" s="656" t="s">
        <v>958</v>
      </c>
      <c r="D21" s="738">
        <v>20</v>
      </c>
      <c r="E21" s="743" t="s">
        <v>960</v>
      </c>
      <c r="F21" s="743" t="s">
        <v>614</v>
      </c>
      <c r="G21" s="658"/>
      <c r="H21" s="658"/>
    </row>
    <row r="22" spans="1:8" s="196" customFormat="1" ht="24" customHeight="1" x14ac:dyDescent="0.25">
      <c r="A22" s="738"/>
      <c r="B22" s="656"/>
      <c r="C22" s="656"/>
      <c r="D22" s="738">
        <v>21</v>
      </c>
      <c r="E22" s="743" t="s">
        <v>961</v>
      </c>
      <c r="F22" s="743" t="s">
        <v>634</v>
      </c>
      <c r="G22" s="658"/>
      <c r="H22" s="658"/>
    </row>
    <row r="23" spans="1:8" s="196" customFormat="1" ht="24" customHeight="1" x14ac:dyDescent="0.25">
      <c r="A23" s="738"/>
      <c r="B23" s="656"/>
      <c r="C23" s="656"/>
      <c r="D23" s="738">
        <v>22</v>
      </c>
      <c r="E23" s="743" t="s">
        <v>962</v>
      </c>
      <c r="F23" s="743" t="s">
        <v>659</v>
      </c>
      <c r="G23" s="658"/>
      <c r="H23" s="658"/>
    </row>
    <row r="24" spans="1:8" s="196" customFormat="1" ht="24" customHeight="1" x14ac:dyDescent="0.25">
      <c r="A24" s="738"/>
      <c r="B24" s="656"/>
      <c r="C24" s="656"/>
      <c r="D24" s="738">
        <v>23</v>
      </c>
      <c r="E24" s="743" t="s">
        <v>969</v>
      </c>
      <c r="F24" s="743" t="s">
        <v>635</v>
      </c>
      <c r="G24" s="658"/>
      <c r="H24" s="658"/>
    </row>
    <row r="25" spans="1:8" s="196" customFormat="1" ht="24" customHeight="1" x14ac:dyDescent="0.25">
      <c r="A25" s="738"/>
      <c r="B25" s="656"/>
      <c r="C25" s="656"/>
      <c r="D25" s="738">
        <v>24</v>
      </c>
      <c r="E25" s="742" t="s">
        <v>660</v>
      </c>
      <c r="F25" s="738" t="s">
        <v>636</v>
      </c>
      <c r="G25" s="658"/>
      <c r="H25" s="658"/>
    </row>
    <row r="26" spans="1:8" s="196" customFormat="1" ht="24" customHeight="1" x14ac:dyDescent="0.25">
      <c r="A26" s="738"/>
      <c r="B26" s="656"/>
      <c r="C26" s="656"/>
      <c r="D26" s="738">
        <v>25</v>
      </c>
      <c r="E26" s="742" t="s">
        <v>615</v>
      </c>
      <c r="F26" s="738" t="s">
        <v>39</v>
      </c>
      <c r="G26" s="658"/>
      <c r="H26" s="658"/>
    </row>
    <row r="27" spans="1:8" s="196" customFormat="1" ht="24" customHeight="1" x14ac:dyDescent="0.25">
      <c r="A27" s="738"/>
      <c r="B27" s="656"/>
      <c r="C27" s="656"/>
      <c r="D27" s="738">
        <v>26</v>
      </c>
      <c r="E27" s="738" t="s">
        <v>616</v>
      </c>
      <c r="F27" s="738" t="s">
        <v>637</v>
      </c>
      <c r="G27" s="658"/>
      <c r="H27" s="658"/>
    </row>
    <row r="28" spans="1:8" s="196" customFormat="1" ht="24" customHeight="1" x14ac:dyDescent="0.25">
      <c r="A28" s="738"/>
      <c r="B28" s="738"/>
      <c r="C28" s="738"/>
      <c r="D28" s="738">
        <v>27</v>
      </c>
      <c r="E28" s="742" t="s">
        <v>28</v>
      </c>
      <c r="F28" s="742" t="s">
        <v>607</v>
      </c>
      <c r="G28" s="658"/>
      <c r="H28" s="658"/>
    </row>
    <row r="29" spans="1:8" s="196" customFormat="1" ht="44.25" customHeight="1" x14ac:dyDescent="0.25">
      <c r="A29" s="2475" t="s">
        <v>590</v>
      </c>
      <c r="B29" s="2476"/>
      <c r="C29" s="2476"/>
      <c r="D29" s="738">
        <v>28</v>
      </c>
      <c r="E29" s="738" t="s">
        <v>661</v>
      </c>
      <c r="F29" s="738" t="s">
        <v>892</v>
      </c>
      <c r="G29" s="658"/>
      <c r="H29" s="658"/>
    </row>
    <row r="30" spans="1:8" s="196" customFormat="1" ht="24" customHeight="1" x14ac:dyDescent="0.25">
      <c r="A30" s="744" t="s">
        <v>131</v>
      </c>
      <c r="B30" s="655" t="s">
        <v>591</v>
      </c>
      <c r="C30" s="738" t="s">
        <v>155</v>
      </c>
      <c r="D30" s="738">
        <v>29</v>
      </c>
      <c r="E30" s="738" t="s">
        <v>641</v>
      </c>
      <c r="F30" s="738" t="s">
        <v>208</v>
      </c>
      <c r="G30" s="658"/>
      <c r="H30" s="658"/>
    </row>
    <row r="31" spans="1:8" s="196" customFormat="1" ht="24" customHeight="1" x14ac:dyDescent="0.25">
      <c r="A31" s="745">
        <v>1</v>
      </c>
      <c r="B31" s="738" t="s">
        <v>592</v>
      </c>
      <c r="C31" s="738" t="s">
        <v>593</v>
      </c>
      <c r="D31" s="738">
        <v>30</v>
      </c>
      <c r="E31" s="738" t="s">
        <v>642</v>
      </c>
      <c r="F31" s="738" t="s">
        <v>643</v>
      </c>
      <c r="G31" s="658"/>
      <c r="H31" s="658"/>
    </row>
    <row r="32" spans="1:8" s="196" customFormat="1" ht="24" customHeight="1" x14ac:dyDescent="0.25">
      <c r="A32" s="745">
        <v>2</v>
      </c>
      <c r="B32" s="738" t="s">
        <v>594</v>
      </c>
      <c r="C32" s="738" t="s">
        <v>595</v>
      </c>
      <c r="D32" s="738">
        <v>31</v>
      </c>
      <c r="E32" s="738" t="s">
        <v>662</v>
      </c>
      <c r="F32" s="738" t="s">
        <v>653</v>
      </c>
      <c r="G32" s="658"/>
      <c r="H32" s="658"/>
    </row>
    <row r="33" spans="1:8" s="196" customFormat="1" ht="24" customHeight="1" x14ac:dyDescent="0.25">
      <c r="A33" s="745">
        <v>3</v>
      </c>
      <c r="B33" s="742" t="s">
        <v>596</v>
      </c>
      <c r="C33" s="742" t="s">
        <v>597</v>
      </c>
      <c r="D33" s="738">
        <v>32</v>
      </c>
      <c r="E33" s="738" t="s">
        <v>663</v>
      </c>
      <c r="F33" s="738" t="s">
        <v>664</v>
      </c>
      <c r="G33" s="658"/>
      <c r="H33" s="658"/>
    </row>
    <row r="34" spans="1:8" s="196" customFormat="1" ht="24" customHeight="1" x14ac:dyDescent="0.25">
      <c r="A34" s="745">
        <v>4</v>
      </c>
      <c r="B34" s="746" t="s">
        <v>886</v>
      </c>
      <c r="C34" s="742" t="s">
        <v>598</v>
      </c>
      <c r="D34" s="738">
        <v>33</v>
      </c>
      <c r="E34" s="738" t="s">
        <v>963</v>
      </c>
      <c r="F34" s="738" t="s">
        <v>638</v>
      </c>
      <c r="G34" s="658"/>
      <c r="H34" s="658"/>
    </row>
    <row r="35" spans="1:8" s="196" customFormat="1" ht="24" customHeight="1" x14ac:dyDescent="0.25">
      <c r="A35" s="747">
        <v>5</v>
      </c>
      <c r="B35" s="742" t="s">
        <v>599</v>
      </c>
      <c r="C35" s="742" t="s">
        <v>600</v>
      </c>
      <c r="D35" s="738">
        <v>34</v>
      </c>
      <c r="E35" s="738" t="s">
        <v>639</v>
      </c>
      <c r="F35" s="738" t="s">
        <v>640</v>
      </c>
      <c r="G35" s="658"/>
      <c r="H35" s="658"/>
    </row>
    <row r="36" spans="1:8" s="196" customFormat="1" ht="24" customHeight="1" x14ac:dyDescent="0.25">
      <c r="A36" s="745">
        <v>6</v>
      </c>
      <c r="B36" s="742" t="s">
        <v>893</v>
      </c>
      <c r="C36" s="742" t="s">
        <v>601</v>
      </c>
      <c r="D36" s="738">
        <v>35</v>
      </c>
      <c r="E36" s="738" t="s">
        <v>645</v>
      </c>
      <c r="F36" s="738" t="s">
        <v>665</v>
      </c>
      <c r="G36" s="658"/>
      <c r="H36" s="658"/>
    </row>
    <row r="37" spans="1:8" s="196" customFormat="1" ht="24" customHeight="1" x14ac:dyDescent="0.25">
      <c r="A37" s="745">
        <v>7</v>
      </c>
      <c r="B37" s="742" t="s">
        <v>611</v>
      </c>
      <c r="C37" s="742" t="s">
        <v>612</v>
      </c>
      <c r="D37" s="738">
        <v>36</v>
      </c>
      <c r="E37" s="738" t="s">
        <v>646</v>
      </c>
      <c r="F37" s="738" t="s">
        <v>666</v>
      </c>
      <c r="G37" s="658"/>
      <c r="H37" s="658"/>
    </row>
    <row r="38" spans="1:8" s="196" customFormat="1" ht="24" customHeight="1" x14ac:dyDescent="0.25">
      <c r="A38" s="745">
        <v>8</v>
      </c>
      <c r="B38" s="742" t="s">
        <v>602</v>
      </c>
      <c r="C38" s="742" t="s">
        <v>603</v>
      </c>
      <c r="D38" s="738">
        <v>37</v>
      </c>
      <c r="E38" s="738" t="s">
        <v>647</v>
      </c>
      <c r="F38" s="738" t="s">
        <v>667</v>
      </c>
      <c r="G38" s="658"/>
      <c r="H38" s="658"/>
    </row>
    <row r="39" spans="1:8" s="196" customFormat="1" ht="24" customHeight="1" x14ac:dyDescent="0.25">
      <c r="A39" s="745">
        <v>9</v>
      </c>
      <c r="B39" s="742" t="s">
        <v>36</v>
      </c>
      <c r="C39" s="742" t="s">
        <v>604</v>
      </c>
      <c r="D39" s="738">
        <v>38</v>
      </c>
      <c r="E39" s="738" t="s">
        <v>652</v>
      </c>
      <c r="F39" s="738" t="s">
        <v>668</v>
      </c>
      <c r="G39" s="658"/>
      <c r="H39" s="658"/>
    </row>
    <row r="40" spans="1:8" s="196" customFormat="1" ht="24" customHeight="1" x14ac:dyDescent="0.25">
      <c r="A40" s="745">
        <v>10</v>
      </c>
      <c r="B40" s="742" t="s">
        <v>605</v>
      </c>
      <c r="C40" s="742" t="s">
        <v>606</v>
      </c>
      <c r="D40" s="738">
        <v>39</v>
      </c>
      <c r="E40" s="738" t="s">
        <v>648</v>
      </c>
      <c r="F40" s="738" t="s">
        <v>669</v>
      </c>
      <c r="G40" s="658"/>
      <c r="H40" s="658"/>
    </row>
    <row r="41" spans="1:8" s="196" customFormat="1" ht="24" customHeight="1" x14ac:dyDescent="0.25">
      <c r="A41" s="745">
        <v>11</v>
      </c>
      <c r="B41" s="656" t="s">
        <v>350</v>
      </c>
      <c r="C41" s="657" t="s">
        <v>351</v>
      </c>
      <c r="D41" s="738">
        <v>40</v>
      </c>
      <c r="E41" s="738" t="s">
        <v>649</v>
      </c>
      <c r="F41" s="738" t="s">
        <v>670</v>
      </c>
      <c r="G41" s="658"/>
      <c r="H41" s="658"/>
    </row>
    <row r="42" spans="1:8" s="196" customFormat="1" ht="24" customHeight="1" x14ac:dyDescent="0.25">
      <c r="A42" s="1028">
        <v>12</v>
      </c>
      <c r="B42" s="1028" t="s">
        <v>1414</v>
      </c>
      <c r="C42" s="1028" t="s">
        <v>1415</v>
      </c>
      <c r="D42" s="738">
        <v>41</v>
      </c>
      <c r="E42" s="738" t="s">
        <v>650</v>
      </c>
      <c r="F42" s="738" t="s">
        <v>671</v>
      </c>
      <c r="G42" s="658"/>
      <c r="H42" s="658"/>
    </row>
    <row r="43" spans="1:8" s="196" customFormat="1" ht="24" customHeight="1" x14ac:dyDescent="0.25">
      <c r="A43" s="748"/>
      <c r="B43" s="748"/>
      <c r="C43" s="748"/>
      <c r="D43" s="738">
        <v>42</v>
      </c>
      <c r="E43" s="738" t="s">
        <v>651</v>
      </c>
      <c r="F43" s="738" t="s">
        <v>672</v>
      </c>
      <c r="G43" s="658"/>
      <c r="H43" s="658"/>
    </row>
    <row r="44" spans="1:8" s="196" customFormat="1" ht="24" customHeight="1" x14ac:dyDescent="0.25">
      <c r="A44" s="748"/>
      <c r="B44" s="748"/>
      <c r="C44" s="748"/>
      <c r="D44" s="738">
        <v>43</v>
      </c>
      <c r="E44" s="738" t="s">
        <v>681</v>
      </c>
      <c r="F44" s="742" t="s">
        <v>682</v>
      </c>
      <c r="G44" s="658"/>
      <c r="H44" s="658"/>
    </row>
    <row r="45" spans="1:8" s="196" customFormat="1" ht="24" customHeight="1" x14ac:dyDescent="0.25">
      <c r="A45" s="748"/>
      <c r="B45" s="748"/>
      <c r="C45" s="748"/>
      <c r="D45" s="738">
        <v>44</v>
      </c>
      <c r="E45" s="738" t="s">
        <v>683</v>
      </c>
      <c r="F45" s="742" t="s">
        <v>684</v>
      </c>
      <c r="G45" s="658"/>
      <c r="H45" s="658"/>
    </row>
    <row r="46" spans="1:8" s="196" customFormat="1" ht="24" customHeight="1" x14ac:dyDescent="0.25">
      <c r="A46" s="748"/>
      <c r="B46" s="748"/>
      <c r="C46" s="748"/>
      <c r="D46" s="738">
        <v>45</v>
      </c>
      <c r="E46" s="656" t="s">
        <v>964</v>
      </c>
      <c r="F46" s="738" t="s">
        <v>685</v>
      </c>
      <c r="G46" s="658"/>
      <c r="H46" s="658"/>
    </row>
    <row r="47" spans="1:8" s="196" customFormat="1" ht="24" customHeight="1" x14ac:dyDescent="0.25">
      <c r="A47" s="748"/>
      <c r="B47" s="748"/>
      <c r="C47" s="748"/>
      <c r="D47" s="738">
        <v>46</v>
      </c>
      <c r="E47" s="656" t="s">
        <v>968</v>
      </c>
      <c r="F47" s="738" t="s">
        <v>686</v>
      </c>
      <c r="G47" s="658"/>
      <c r="H47" s="658"/>
    </row>
    <row r="48" spans="1:8" s="196" customFormat="1" ht="24" customHeight="1" x14ac:dyDescent="0.25">
      <c r="A48" s="748"/>
      <c r="B48" s="748"/>
      <c r="C48" s="748"/>
      <c r="D48" s="738">
        <v>47</v>
      </c>
      <c r="E48" s="738" t="s">
        <v>687</v>
      </c>
      <c r="F48" s="738" t="s">
        <v>688</v>
      </c>
      <c r="G48" s="658"/>
      <c r="H48" s="658"/>
    </row>
    <row r="49" spans="1:8" s="196" customFormat="1" ht="24" customHeight="1" x14ac:dyDescent="0.25">
      <c r="A49" s="748"/>
      <c r="B49" s="748"/>
      <c r="C49" s="748"/>
      <c r="D49" s="738">
        <v>48</v>
      </c>
      <c r="E49" s="738" t="s">
        <v>689</v>
      </c>
      <c r="F49" s="738" t="s">
        <v>690</v>
      </c>
      <c r="G49" s="658"/>
      <c r="H49" s="658"/>
    </row>
    <row r="50" spans="1:8" s="196" customFormat="1" ht="24" customHeight="1" x14ac:dyDescent="0.25">
      <c r="A50" s="748"/>
      <c r="B50" s="748"/>
      <c r="C50" s="748"/>
      <c r="D50" s="738">
        <v>49</v>
      </c>
      <c r="E50" s="738" t="s">
        <v>618</v>
      </c>
      <c r="F50" s="738" t="s">
        <v>619</v>
      </c>
      <c r="G50" s="658"/>
      <c r="H50" s="658"/>
    </row>
    <row r="51" spans="1:8" s="196" customFormat="1" ht="24" customHeight="1" x14ac:dyDescent="0.25">
      <c r="A51" s="748"/>
      <c r="B51" s="748"/>
      <c r="C51" s="748"/>
      <c r="D51" s="738">
        <v>50</v>
      </c>
      <c r="E51" s="738" t="s">
        <v>188</v>
      </c>
      <c r="F51" s="742" t="s">
        <v>691</v>
      </c>
      <c r="G51" s="658"/>
      <c r="H51" s="658"/>
    </row>
    <row r="52" spans="1:8" s="196" customFormat="1" ht="24" customHeight="1" x14ac:dyDescent="0.25">
      <c r="A52" s="748"/>
      <c r="B52" s="748"/>
      <c r="C52" s="748"/>
      <c r="D52" s="738">
        <v>51</v>
      </c>
      <c r="E52" s="659" t="s">
        <v>10</v>
      </c>
      <c r="F52" s="749" t="s">
        <v>708</v>
      </c>
      <c r="G52" s="658"/>
      <c r="H52" s="658"/>
    </row>
    <row r="53" spans="1:8" s="196" customFormat="1" ht="24" customHeight="1" x14ac:dyDescent="0.35">
      <c r="A53" s="748"/>
      <c r="B53" s="748"/>
      <c r="C53" s="748"/>
      <c r="D53" s="738">
        <v>52</v>
      </c>
      <c r="E53" s="750" t="s">
        <v>20</v>
      </c>
      <c r="F53" s="751" t="s">
        <v>709</v>
      </c>
      <c r="G53" s="658"/>
      <c r="H53" s="658"/>
    </row>
    <row r="54" spans="1:8" s="196" customFormat="1" ht="24" customHeight="1" x14ac:dyDescent="0.35">
      <c r="A54" s="748"/>
      <c r="B54" s="748"/>
      <c r="C54" s="748"/>
      <c r="D54" s="738">
        <v>53</v>
      </c>
      <c r="E54" s="750" t="s">
        <v>22</v>
      </c>
      <c r="F54" s="751" t="s">
        <v>710</v>
      </c>
      <c r="G54" s="658"/>
      <c r="H54" s="658"/>
    </row>
    <row r="55" spans="1:8" s="196" customFormat="1" ht="24" customHeight="1" x14ac:dyDescent="0.25">
      <c r="A55" s="748"/>
      <c r="B55" s="748"/>
      <c r="C55" s="748"/>
      <c r="D55" s="738">
        <v>54</v>
      </c>
      <c r="E55" s="739" t="s">
        <v>711</v>
      </c>
      <c r="F55" s="739" t="s">
        <v>712</v>
      </c>
      <c r="G55" s="658"/>
      <c r="H55" s="658"/>
    </row>
    <row r="56" spans="1:8" s="196" customFormat="1" ht="24" customHeight="1" x14ac:dyDescent="0.25">
      <c r="A56" s="748"/>
      <c r="B56" s="748"/>
      <c r="C56" s="748"/>
      <c r="D56" s="738">
        <v>55</v>
      </c>
      <c r="E56" s="738" t="s">
        <v>965</v>
      </c>
      <c r="F56" s="738" t="s">
        <v>716</v>
      </c>
      <c r="G56" s="658"/>
      <c r="H56" s="658"/>
    </row>
    <row r="57" spans="1:8" s="196" customFormat="1" ht="24" customHeight="1" x14ac:dyDescent="0.25">
      <c r="A57" s="748"/>
      <c r="B57" s="748"/>
      <c r="C57" s="748"/>
      <c r="D57" s="738">
        <v>56</v>
      </c>
      <c r="E57" s="738" t="s">
        <v>715</v>
      </c>
      <c r="F57" s="738" t="s">
        <v>717</v>
      </c>
      <c r="G57" s="658"/>
      <c r="H57" s="658"/>
    </row>
    <row r="58" spans="1:8" s="196" customFormat="1" ht="24" customHeight="1" x14ac:dyDescent="0.25">
      <c r="A58" s="748"/>
      <c r="B58" s="748"/>
      <c r="C58" s="748"/>
      <c r="D58" s="738">
        <v>57</v>
      </c>
      <c r="E58" s="738" t="s">
        <v>966</v>
      </c>
      <c r="F58" s="738" t="s">
        <v>719</v>
      </c>
      <c r="G58" s="658"/>
      <c r="H58" s="658"/>
    </row>
    <row r="59" spans="1:8" s="196" customFormat="1" ht="24" customHeight="1" x14ac:dyDescent="0.25">
      <c r="A59" s="748"/>
      <c r="B59" s="748"/>
      <c r="C59" s="748"/>
      <c r="D59" s="738">
        <v>58</v>
      </c>
      <c r="E59" s="738" t="s">
        <v>747</v>
      </c>
      <c r="F59" s="738" t="s">
        <v>748</v>
      </c>
      <c r="G59" s="658"/>
      <c r="H59" s="658"/>
    </row>
    <row r="60" spans="1:8" s="196" customFormat="1" ht="24" customHeight="1" x14ac:dyDescent="0.25">
      <c r="A60" s="748"/>
      <c r="B60" s="748"/>
      <c r="C60" s="748"/>
      <c r="D60" s="738">
        <v>59</v>
      </c>
      <c r="E60" s="738" t="s">
        <v>752</v>
      </c>
      <c r="F60" s="738" t="s">
        <v>753</v>
      </c>
      <c r="G60" s="658"/>
      <c r="H60" s="658"/>
    </row>
    <row r="61" spans="1:8" s="196" customFormat="1" ht="24" customHeight="1" x14ac:dyDescent="0.25">
      <c r="A61" s="748"/>
      <c r="B61" s="748"/>
      <c r="C61" s="748"/>
      <c r="D61" s="738">
        <v>60</v>
      </c>
      <c r="E61" s="738" t="s">
        <v>967</v>
      </c>
      <c r="F61" s="738" t="s">
        <v>770</v>
      </c>
      <c r="G61" s="658"/>
      <c r="H61" s="658"/>
    </row>
    <row r="62" spans="1:8" s="196" customFormat="1" ht="24" customHeight="1" x14ac:dyDescent="0.25">
      <c r="A62" s="748"/>
      <c r="B62" s="748"/>
      <c r="C62" s="748"/>
      <c r="D62" s="738">
        <v>61</v>
      </c>
      <c r="E62" s="752" t="s">
        <v>673</v>
      </c>
      <c r="F62" s="749" t="s">
        <v>894</v>
      </c>
      <c r="G62" s="658"/>
      <c r="H62" s="658"/>
    </row>
    <row r="63" spans="1:8" s="196" customFormat="1" ht="24" customHeight="1" x14ac:dyDescent="0.25">
      <c r="A63" s="748"/>
      <c r="B63" s="748"/>
      <c r="C63" s="748"/>
      <c r="D63" s="738">
        <v>62</v>
      </c>
      <c r="E63" s="752" t="s">
        <v>674</v>
      </c>
      <c r="F63" s="749" t="s">
        <v>804</v>
      </c>
      <c r="G63" s="658"/>
      <c r="H63" s="658"/>
    </row>
    <row r="64" spans="1:8" s="196" customFormat="1" ht="24" customHeight="1" x14ac:dyDescent="0.25">
      <c r="A64" s="748"/>
      <c r="B64" s="748"/>
      <c r="C64" s="748"/>
      <c r="D64" s="738">
        <v>63</v>
      </c>
      <c r="E64" s="659" t="s">
        <v>895</v>
      </c>
      <c r="F64" s="749" t="s">
        <v>805</v>
      </c>
      <c r="G64" s="658"/>
      <c r="H64" s="658"/>
    </row>
    <row r="65" spans="1:8" s="196" customFormat="1" ht="24" customHeight="1" x14ac:dyDescent="0.25">
      <c r="A65" s="748"/>
      <c r="B65" s="748"/>
      <c r="C65" s="748"/>
      <c r="D65" s="738">
        <v>64</v>
      </c>
      <c r="E65" s="738" t="s">
        <v>971</v>
      </c>
      <c r="F65" s="738" t="s">
        <v>972</v>
      </c>
      <c r="G65" s="658"/>
      <c r="H65" s="658"/>
    </row>
    <row r="66" spans="1:8" s="196" customFormat="1" ht="24" customHeight="1" x14ac:dyDescent="0.25">
      <c r="A66" s="748"/>
      <c r="B66" s="748"/>
      <c r="C66" s="748"/>
      <c r="D66" s="738">
        <v>65</v>
      </c>
      <c r="E66" s="738" t="s">
        <v>973</v>
      </c>
      <c r="F66" s="738" t="s">
        <v>974</v>
      </c>
      <c r="G66" s="658"/>
      <c r="H66" s="658"/>
    </row>
    <row r="67" spans="1:8" s="196" customFormat="1" ht="24" customHeight="1" x14ac:dyDescent="0.25">
      <c r="A67" s="748"/>
      <c r="B67" s="748"/>
      <c r="C67" s="748"/>
      <c r="D67" s="738">
        <v>66</v>
      </c>
      <c r="E67" s="738" t="s">
        <v>975</v>
      </c>
      <c r="F67" s="738" t="s">
        <v>976</v>
      </c>
      <c r="G67" s="658"/>
      <c r="H67" s="658"/>
    </row>
    <row r="68" spans="1:8" s="196" customFormat="1" ht="24" customHeight="1" x14ac:dyDescent="0.25">
      <c r="A68" s="748"/>
      <c r="B68" s="748"/>
      <c r="C68" s="748"/>
      <c r="D68" s="738">
        <v>67</v>
      </c>
      <c r="E68" s="659" t="s">
        <v>977</v>
      </c>
      <c r="F68" s="749" t="s">
        <v>978</v>
      </c>
      <c r="G68" s="658"/>
      <c r="H68" s="658"/>
    </row>
    <row r="69" spans="1:8" s="196" customFormat="1" ht="24" customHeight="1" x14ac:dyDescent="0.25">
      <c r="A69" s="748"/>
      <c r="B69" s="748"/>
      <c r="C69" s="748"/>
      <c r="D69" s="738">
        <v>68</v>
      </c>
      <c r="E69" s="738" t="s">
        <v>675</v>
      </c>
      <c r="F69" s="738" t="s">
        <v>676</v>
      </c>
      <c r="G69" s="658"/>
      <c r="H69" s="658"/>
    </row>
    <row r="70" spans="1:8" s="196" customFormat="1" ht="24" customHeight="1" x14ac:dyDescent="0.25">
      <c r="A70" s="748"/>
      <c r="B70" s="748"/>
      <c r="C70" s="748"/>
      <c r="D70" s="738">
        <v>69</v>
      </c>
      <c r="E70" s="738" t="s">
        <v>677</v>
      </c>
      <c r="F70" s="738" t="s">
        <v>678</v>
      </c>
      <c r="G70" s="658"/>
      <c r="H70" s="658"/>
    </row>
    <row r="71" spans="1:8" s="196" customFormat="1" ht="24" customHeight="1" x14ac:dyDescent="0.25">
      <c r="A71" s="748"/>
      <c r="B71" s="748"/>
      <c r="C71" s="748"/>
      <c r="D71" s="738">
        <v>70</v>
      </c>
      <c r="E71" s="738" t="s">
        <v>679</v>
      </c>
      <c r="F71" s="738" t="s">
        <v>680</v>
      </c>
      <c r="G71" s="658"/>
      <c r="H71" s="658"/>
    </row>
    <row r="72" spans="1:8" s="196" customFormat="1" ht="24" customHeight="1" x14ac:dyDescent="0.25">
      <c r="A72" s="748"/>
      <c r="B72" s="748"/>
      <c r="C72" s="748"/>
      <c r="D72" s="738">
        <v>71</v>
      </c>
      <c r="E72" s="743" t="s">
        <v>692</v>
      </c>
      <c r="F72" s="738" t="s">
        <v>693</v>
      </c>
      <c r="G72" s="658"/>
      <c r="H72" s="658"/>
    </row>
    <row r="73" spans="1:8" s="196" customFormat="1" ht="33.75" customHeight="1" x14ac:dyDescent="0.25">
      <c r="A73" s="748"/>
      <c r="B73" s="748"/>
      <c r="C73" s="748"/>
      <c r="D73" s="738">
        <v>72</v>
      </c>
      <c r="E73" s="742" t="s">
        <v>896</v>
      </c>
      <c r="F73" s="742" t="s">
        <v>694</v>
      </c>
      <c r="G73" s="658"/>
      <c r="H73" s="658"/>
    </row>
    <row r="74" spans="1:8" s="196" customFormat="1" ht="24" customHeight="1" x14ac:dyDescent="0.25">
      <c r="A74" s="748"/>
      <c r="B74" s="748"/>
      <c r="C74" s="748"/>
      <c r="D74" s="738">
        <v>73</v>
      </c>
      <c r="E74" s="743" t="s">
        <v>897</v>
      </c>
      <c r="F74" s="738" t="s">
        <v>695</v>
      </c>
      <c r="G74" s="658"/>
      <c r="H74" s="658"/>
    </row>
    <row r="75" spans="1:8" s="196" customFormat="1" ht="24" customHeight="1" x14ac:dyDescent="0.25">
      <c r="A75" s="748"/>
      <c r="B75" s="748"/>
      <c r="C75" s="748"/>
      <c r="D75" s="738">
        <v>74</v>
      </c>
      <c r="E75" s="743" t="s">
        <v>696</v>
      </c>
      <c r="F75" s="738" t="s">
        <v>697</v>
      </c>
      <c r="G75" s="658"/>
      <c r="H75" s="658"/>
    </row>
    <row r="76" spans="1:8" s="196" customFormat="1" ht="24" customHeight="1" x14ac:dyDescent="0.25">
      <c r="A76" s="748"/>
      <c r="B76" s="748"/>
      <c r="C76" s="748"/>
      <c r="D76" s="738">
        <v>75</v>
      </c>
      <c r="E76" s="738" t="s">
        <v>698</v>
      </c>
      <c r="F76" s="738" t="s">
        <v>699</v>
      </c>
      <c r="G76" s="658"/>
      <c r="H76" s="658"/>
    </row>
    <row r="77" spans="1:8" s="196" customFormat="1" ht="27.75" customHeight="1" x14ac:dyDescent="0.25">
      <c r="A77" s="748"/>
      <c r="B77" s="748"/>
      <c r="C77" s="748"/>
      <c r="D77" s="738">
        <v>76</v>
      </c>
      <c r="E77" s="738" t="s">
        <v>700</v>
      </c>
      <c r="F77" s="738" t="s">
        <v>701</v>
      </c>
      <c r="G77" s="658"/>
      <c r="H77" s="658"/>
    </row>
    <row r="78" spans="1:8" s="196" customFormat="1" ht="27.75" customHeight="1" x14ac:dyDescent="0.25">
      <c r="A78" s="748"/>
      <c r="B78" s="748"/>
      <c r="C78" s="748"/>
      <c r="D78" s="738">
        <v>77</v>
      </c>
      <c r="E78" s="738" t="s">
        <v>702</v>
      </c>
      <c r="F78" s="742" t="s">
        <v>703</v>
      </c>
      <c r="G78" s="658"/>
      <c r="H78" s="658"/>
    </row>
    <row r="79" spans="1:8" s="195" customFormat="1" ht="27.75" customHeight="1" x14ac:dyDescent="0.25">
      <c r="A79" s="748"/>
      <c r="B79" s="748"/>
      <c r="C79" s="748"/>
      <c r="D79" s="738">
        <v>78</v>
      </c>
      <c r="E79" s="752" t="s">
        <v>236</v>
      </c>
      <c r="F79" s="749" t="s">
        <v>237</v>
      </c>
      <c r="G79" s="658"/>
      <c r="H79" s="658"/>
    </row>
    <row r="80" spans="1:8" s="195" customFormat="1" ht="27.75" customHeight="1" x14ac:dyDescent="0.25">
      <c r="A80" s="748"/>
      <c r="B80" s="748"/>
      <c r="C80" s="748"/>
      <c r="D80" s="738">
        <v>79</v>
      </c>
      <c r="E80" s="738" t="s">
        <v>704</v>
      </c>
      <c r="F80" s="738" t="s">
        <v>417</v>
      </c>
      <c r="G80" s="658"/>
      <c r="H80" s="658"/>
    </row>
    <row r="81" spans="1:8" s="195" customFormat="1" ht="27.75" customHeight="1" x14ac:dyDescent="0.25">
      <c r="A81" s="748"/>
      <c r="B81" s="748"/>
      <c r="C81" s="748"/>
      <c r="D81" s="738">
        <v>80</v>
      </c>
      <c r="E81" s="738" t="s">
        <v>705</v>
      </c>
      <c r="F81" s="738" t="s">
        <v>238</v>
      </c>
      <c r="G81" s="658"/>
      <c r="H81" s="658"/>
    </row>
    <row r="82" spans="1:8" s="195" customFormat="1" ht="27.75" customHeight="1" x14ac:dyDescent="0.25">
      <c r="A82" s="748"/>
      <c r="B82" s="748"/>
      <c r="C82" s="748"/>
      <c r="D82" s="738">
        <v>81</v>
      </c>
      <c r="E82" s="659" t="s">
        <v>41</v>
      </c>
      <c r="F82" s="749" t="s">
        <v>749</v>
      </c>
      <c r="G82" s="658"/>
      <c r="H82" s="658"/>
    </row>
    <row r="83" spans="1:8" s="195" customFormat="1" ht="27.75" customHeight="1" x14ac:dyDescent="0.25">
      <c r="A83" s="748"/>
      <c r="B83" s="748"/>
      <c r="C83" s="748"/>
      <c r="D83" s="738">
        <v>82</v>
      </c>
      <c r="E83" s="659" t="s">
        <v>241</v>
      </c>
      <c r="F83" s="749" t="s">
        <v>706</v>
      </c>
      <c r="G83" s="658"/>
      <c r="H83" s="658"/>
    </row>
    <row r="84" spans="1:8" s="195" customFormat="1" ht="21.75" customHeight="1" x14ac:dyDescent="0.25">
      <c r="A84" s="748"/>
      <c r="B84" s="748"/>
      <c r="C84" s="748"/>
      <c r="D84" s="738">
        <v>83</v>
      </c>
      <c r="E84" s="659" t="s">
        <v>245</v>
      </c>
      <c r="F84" s="749" t="s">
        <v>239</v>
      </c>
      <c r="G84" s="658"/>
      <c r="H84" s="658"/>
    </row>
    <row r="85" spans="1:8" s="195" customFormat="1" ht="21.75" customHeight="1" x14ac:dyDescent="0.25">
      <c r="A85" s="748"/>
      <c r="B85" s="748"/>
      <c r="C85" s="748"/>
      <c r="D85" s="738">
        <v>84</v>
      </c>
      <c r="E85" s="659" t="s">
        <v>66</v>
      </c>
      <c r="F85" s="749" t="s">
        <v>240</v>
      </c>
      <c r="G85" s="658"/>
      <c r="H85" s="658"/>
    </row>
    <row r="86" spans="1:8" s="195" customFormat="1" ht="21.75" customHeight="1" x14ac:dyDescent="0.25">
      <c r="A86" s="748"/>
      <c r="B86" s="748"/>
      <c r="C86" s="748"/>
      <c r="D86" s="738">
        <v>85</v>
      </c>
      <c r="E86" s="659" t="s">
        <v>707</v>
      </c>
      <c r="F86" s="749" t="s">
        <v>244</v>
      </c>
      <c r="G86" s="658"/>
      <c r="H86" s="658"/>
    </row>
    <row r="87" spans="1:8" s="195" customFormat="1" ht="37.5" customHeight="1" x14ac:dyDescent="0.25">
      <c r="A87" s="748"/>
      <c r="B87" s="748"/>
      <c r="C87" s="748"/>
      <c r="D87" s="738">
        <v>86</v>
      </c>
      <c r="E87" s="659" t="s">
        <v>243</v>
      </c>
      <c r="F87" s="749" t="s">
        <v>242</v>
      </c>
      <c r="G87" s="658"/>
      <c r="H87" s="658"/>
    </row>
    <row r="88" spans="1:8" s="195" customFormat="1" ht="21.75" customHeight="1" x14ac:dyDescent="0.25">
      <c r="A88" s="748"/>
      <c r="B88" s="748"/>
      <c r="C88" s="748"/>
      <c r="D88" s="738">
        <v>87</v>
      </c>
      <c r="E88" s="754" t="s">
        <v>188</v>
      </c>
      <c r="F88" s="754" t="s">
        <v>183</v>
      </c>
      <c r="G88" s="658"/>
      <c r="H88" s="658"/>
    </row>
    <row r="89" spans="1:8" s="195" customFormat="1" ht="21.75" customHeight="1" x14ac:dyDescent="0.25">
      <c r="A89" s="748"/>
      <c r="B89" s="748"/>
      <c r="C89" s="748"/>
      <c r="D89" s="738">
        <v>88</v>
      </c>
      <c r="E89" s="738"/>
      <c r="F89" s="738"/>
      <c r="G89" s="658"/>
      <c r="H89" s="658"/>
    </row>
    <row r="90" spans="1:8" s="195" customFormat="1" x14ac:dyDescent="0.25">
      <c r="A90" s="748"/>
      <c r="B90" s="748"/>
      <c r="C90" s="748"/>
      <c r="D90" s="738">
        <v>89</v>
      </c>
      <c r="E90" s="738"/>
      <c r="F90" s="738"/>
      <c r="G90" s="658"/>
      <c r="H90" s="658"/>
    </row>
    <row r="91" spans="1:8" s="195" customFormat="1" x14ac:dyDescent="0.25">
      <c r="A91" s="748"/>
      <c r="B91" s="748"/>
      <c r="C91" s="748"/>
      <c r="D91" s="748"/>
      <c r="E91" s="748"/>
      <c r="F91" s="748"/>
      <c r="G91" s="658"/>
      <c r="H91" s="658"/>
    </row>
  </sheetData>
  <protectedRanges>
    <protectedRange password="CC51" sqref="A3 A5 A7 A9 A11 A13 A15 A17 A19 A21 A23 A25 A27" name="Диапазон44_1_1_1"/>
  </protectedRanges>
  <customSheetViews>
    <customSheetView guid="{9AA7F8D2-F967-49D0-A431-45AC7CAADBAA}" scale="70" showPageBreaks="1" printArea="1" view="pageBreakPreview" topLeftCell="A55">
      <selection activeCell="I76" sqref="I76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1"/>
    </customSheetView>
    <customSheetView guid="{088AEEB3-F71F-4FD6-B49B-55643D920FC6}" scale="70" showPageBreaks="1" printArea="1" view="pageBreakPreview" topLeftCell="A55">
      <selection activeCell="F81" sqref="F81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2"/>
    </customSheetView>
    <customSheetView guid="{29BD9A5E-D50F-4A88-A654-39BA9D666C53}" scale="70" showPageBreaks="1" printArea="1" view="pageBreakPreview" topLeftCell="A55">
      <selection activeCell="F81" sqref="F81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3"/>
    </customSheetView>
    <customSheetView guid="{D9EA6DAB-3BBE-4AEB-835D-410DB85E8702}" scale="70" showPageBreaks="1" printArea="1" view="pageBreakPreview" topLeftCell="A55">
      <selection activeCell="F81" sqref="F81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4"/>
    </customSheetView>
    <customSheetView guid="{CFB4A573-2790-4D20-894C-21E3B146481E}" scale="70" showPageBreaks="1" printArea="1" view="pageBreakPreview" topLeftCell="A55">
      <selection activeCell="F81" sqref="F81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5"/>
    </customSheetView>
    <customSheetView guid="{B2A463F0-D351-4C59-A7CF-DC4487562EFC}" scale="70" showPageBreaks="1" printArea="1" view="pageBreakPreview" topLeftCell="A55">
      <selection activeCell="F81" sqref="F81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6"/>
    </customSheetView>
  </customSheetViews>
  <mergeCells count="3">
    <mergeCell ref="D1:F1"/>
    <mergeCell ref="A29:C29"/>
    <mergeCell ref="A1:C1"/>
  </mergeCells>
  <pageMargins left="0.70866141732283472" right="0.70866141732283472" top="0.74803149606299213" bottom="0.74803149606299213" header="0.31496062992125984" footer="0.31496062992125984"/>
  <pageSetup paperSize="9" scale="32" orientation="portrait" r:id="rId7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D31"/>
  <sheetViews>
    <sheetView view="pageBreakPreview" zoomScaleNormal="80" zoomScaleSheetLayoutView="100" workbookViewId="0">
      <selection activeCell="A4" sqref="A4:A5"/>
    </sheetView>
  </sheetViews>
  <sheetFormatPr defaultRowHeight="13.2" x14ac:dyDescent="0.25"/>
  <cols>
    <col min="1" max="1" width="17.109375" customWidth="1"/>
    <col min="40" max="40" width="8" customWidth="1"/>
    <col min="43" max="43" width="8.109375" customWidth="1"/>
    <col min="46" max="46" width="8.109375" customWidth="1"/>
    <col min="55" max="55" width="8.44140625" customWidth="1"/>
    <col min="58" max="58" width="10.6640625" customWidth="1"/>
  </cols>
  <sheetData>
    <row r="1" spans="1:108" s="952" customFormat="1" ht="26.25" customHeight="1" x14ac:dyDescent="0.25">
      <c r="A1" s="2486" t="s">
        <v>59</v>
      </c>
      <c r="B1" s="2489" t="s">
        <v>60</v>
      </c>
      <c r="C1" s="2480" t="s">
        <v>1191</v>
      </c>
      <c r="D1" s="2480"/>
      <c r="E1" s="2480"/>
      <c r="F1" s="2480" t="s">
        <v>1172</v>
      </c>
      <c r="G1" s="2480"/>
      <c r="H1" s="2480"/>
      <c r="I1" s="2477" t="s">
        <v>1192</v>
      </c>
      <c r="J1" s="2477"/>
      <c r="K1" s="2477"/>
      <c r="L1" s="2477"/>
      <c r="M1" s="2477"/>
      <c r="N1" s="2477"/>
      <c r="O1" s="2477"/>
      <c r="P1" s="2480" t="s">
        <v>1193</v>
      </c>
      <c r="Q1" s="2480"/>
      <c r="R1" s="2480"/>
      <c r="S1" s="2480" t="s">
        <v>1173</v>
      </c>
      <c r="T1" s="2480"/>
      <c r="U1" s="2480"/>
      <c r="V1" s="2481" t="s">
        <v>1194</v>
      </c>
      <c r="W1" s="2481"/>
      <c r="X1" s="2481"/>
      <c r="Y1" s="2477" t="s">
        <v>1195</v>
      </c>
      <c r="Z1" s="2477"/>
      <c r="AA1" s="2477"/>
      <c r="AB1" s="2477"/>
      <c r="AC1" s="2477"/>
      <c r="AD1" s="2477"/>
      <c r="AE1" s="2477"/>
      <c r="AF1" s="2477"/>
      <c r="AG1" s="2477"/>
      <c r="AH1" s="2477"/>
      <c r="AI1" s="2477"/>
      <c r="AJ1" s="2477"/>
      <c r="AK1" s="2482" t="s">
        <v>1196</v>
      </c>
      <c r="AL1" s="2482"/>
      <c r="AM1" s="2482"/>
      <c r="AN1" s="2477" t="s">
        <v>1197</v>
      </c>
      <c r="AO1" s="2477"/>
      <c r="AP1" s="2477"/>
      <c r="AQ1" s="2483" t="s">
        <v>1198</v>
      </c>
      <c r="AR1" s="2483"/>
      <c r="AS1" s="2483"/>
      <c r="AT1" s="2483"/>
      <c r="AU1" s="2483"/>
      <c r="AV1" s="2483"/>
      <c r="AW1" s="2483"/>
      <c r="AX1" s="2483"/>
      <c r="AY1" s="2483"/>
      <c r="AZ1" s="2482" t="s">
        <v>1199</v>
      </c>
      <c r="BA1" s="2482"/>
      <c r="BB1" s="2482"/>
      <c r="BC1" s="2481" t="s">
        <v>1200</v>
      </c>
      <c r="BD1" s="2481"/>
      <c r="BE1" s="2481"/>
      <c r="BF1" s="2481"/>
      <c r="BG1" s="2481"/>
      <c r="BH1" s="2481"/>
      <c r="BI1" s="2481"/>
      <c r="BJ1" s="2481"/>
      <c r="BK1" s="2481"/>
      <c r="BL1" s="2481"/>
      <c r="BM1" s="2481"/>
      <c r="BN1" s="2481"/>
      <c r="BO1" s="2481"/>
      <c r="BP1" s="2483" t="s">
        <v>1201</v>
      </c>
      <c r="BQ1" s="2483"/>
      <c r="BR1" s="2483"/>
      <c r="BS1" s="2477" t="s">
        <v>1202</v>
      </c>
      <c r="BT1" s="2477"/>
      <c r="BU1" s="2477"/>
      <c r="BV1" s="2477"/>
      <c r="BW1" s="2477"/>
      <c r="BX1" s="2477"/>
      <c r="BY1" s="2478" t="s">
        <v>1203</v>
      </c>
      <c r="BZ1" s="2478"/>
      <c r="CA1" s="2478"/>
      <c r="CB1" s="2478"/>
      <c r="CC1" s="2478"/>
      <c r="CD1" s="2478"/>
      <c r="CE1" s="2477" t="s">
        <v>1204</v>
      </c>
      <c r="CF1" s="2477"/>
      <c r="CG1" s="2477"/>
      <c r="CH1" s="2477"/>
      <c r="CI1" s="2477"/>
      <c r="CJ1" s="2477"/>
      <c r="CK1" s="2477" t="s">
        <v>1205</v>
      </c>
      <c r="CL1" s="2477"/>
      <c r="CM1" s="2477"/>
      <c r="CN1" s="2477"/>
      <c r="CO1" s="2477"/>
      <c r="CP1" s="2477"/>
      <c r="CQ1" s="2477" t="s">
        <v>633</v>
      </c>
      <c r="CR1" s="2477"/>
      <c r="CS1" s="2477"/>
      <c r="CT1" s="2477"/>
      <c r="CU1" s="2477"/>
      <c r="CV1" s="2477"/>
      <c r="CW1" s="2477"/>
      <c r="CX1" s="2477"/>
      <c r="CY1" s="2477"/>
      <c r="CZ1" s="2477" t="s">
        <v>1066</v>
      </c>
      <c r="DA1" s="2477"/>
      <c r="DB1" s="2477"/>
      <c r="DC1" s="951"/>
      <c r="DD1" s="951"/>
    </row>
    <row r="2" spans="1:108" s="956" customFormat="1" ht="26.25" customHeight="1" x14ac:dyDescent="0.25">
      <c r="A2" s="2487"/>
      <c r="B2" s="2489"/>
      <c r="C2" s="1135" t="s">
        <v>1206</v>
      </c>
      <c r="D2" s="1134" t="s">
        <v>1207</v>
      </c>
      <c r="E2" s="1134" t="s">
        <v>1208</v>
      </c>
      <c r="F2" s="1135" t="s">
        <v>1209</v>
      </c>
      <c r="G2" s="1134" t="s">
        <v>1207</v>
      </c>
      <c r="H2" s="1134" t="s">
        <v>1208</v>
      </c>
      <c r="I2" s="1135" t="s">
        <v>1210</v>
      </c>
      <c r="J2" s="1134" t="s">
        <v>1207</v>
      </c>
      <c r="K2" s="1134" t="s">
        <v>1208</v>
      </c>
      <c r="L2" s="1135" t="s">
        <v>1206</v>
      </c>
      <c r="M2" s="1134" t="s">
        <v>1207</v>
      </c>
      <c r="N2" s="1134" t="s">
        <v>1208</v>
      </c>
      <c r="O2" s="1136" t="s">
        <v>1211</v>
      </c>
      <c r="P2" s="1135" t="s">
        <v>1210</v>
      </c>
      <c r="Q2" s="1134" t="s">
        <v>1207</v>
      </c>
      <c r="R2" s="1134" t="s">
        <v>1208</v>
      </c>
      <c r="S2" s="1135" t="s">
        <v>1209</v>
      </c>
      <c r="T2" s="1134" t="s">
        <v>1207</v>
      </c>
      <c r="U2" s="1134" t="s">
        <v>1208</v>
      </c>
      <c r="V2" s="1135" t="s">
        <v>1212</v>
      </c>
      <c r="W2" s="1134" t="s">
        <v>1207</v>
      </c>
      <c r="X2" s="1134" t="s">
        <v>1208</v>
      </c>
      <c r="Y2" s="1135" t="s">
        <v>1209</v>
      </c>
      <c r="Z2" s="1134" t="s">
        <v>1207</v>
      </c>
      <c r="AA2" s="1134" t="s">
        <v>1208</v>
      </c>
      <c r="AB2" s="1135" t="s">
        <v>1213</v>
      </c>
      <c r="AC2" s="1134" t="s">
        <v>1207</v>
      </c>
      <c r="AD2" s="1134" t="s">
        <v>1208</v>
      </c>
      <c r="AE2" s="1135" t="s">
        <v>1214</v>
      </c>
      <c r="AF2" s="1134" t="s">
        <v>1207</v>
      </c>
      <c r="AG2" s="1134" t="s">
        <v>1208</v>
      </c>
      <c r="AH2" s="1135" t="s">
        <v>1212</v>
      </c>
      <c r="AI2" s="1134" t="s">
        <v>1207</v>
      </c>
      <c r="AJ2" s="1134" t="s">
        <v>1208</v>
      </c>
      <c r="AK2" s="1135" t="s">
        <v>1212</v>
      </c>
      <c r="AL2" s="1134" t="s">
        <v>1207</v>
      </c>
      <c r="AM2" s="1134" t="s">
        <v>1208</v>
      </c>
      <c r="AN2" s="1135" t="s">
        <v>1215</v>
      </c>
      <c r="AO2" s="1134" t="s">
        <v>1207</v>
      </c>
      <c r="AP2" s="1134" t="s">
        <v>1208</v>
      </c>
      <c r="AQ2" s="1135" t="s">
        <v>1215</v>
      </c>
      <c r="AR2" s="1134" t="s">
        <v>1207</v>
      </c>
      <c r="AS2" s="1134" t="s">
        <v>1208</v>
      </c>
      <c r="AT2" s="1135" t="s">
        <v>1216</v>
      </c>
      <c r="AU2" s="1134" t="s">
        <v>1207</v>
      </c>
      <c r="AV2" s="1134" t="s">
        <v>1208</v>
      </c>
      <c r="AW2" s="1135" t="s">
        <v>1213</v>
      </c>
      <c r="AX2" s="1134" t="s">
        <v>1207</v>
      </c>
      <c r="AY2" s="1134" t="s">
        <v>1208</v>
      </c>
      <c r="AZ2" s="1135" t="s">
        <v>1217</v>
      </c>
      <c r="BA2" s="1134" t="s">
        <v>1207</v>
      </c>
      <c r="BB2" s="1134" t="s">
        <v>1208</v>
      </c>
      <c r="BC2" s="1135" t="s">
        <v>1218</v>
      </c>
      <c r="BD2" s="1134" t="s">
        <v>1207</v>
      </c>
      <c r="BE2" s="1134" t="s">
        <v>1208</v>
      </c>
      <c r="BF2" s="1136" t="s">
        <v>1211</v>
      </c>
      <c r="BG2" s="1135" t="s">
        <v>1213</v>
      </c>
      <c r="BH2" s="1134" t="s">
        <v>1207</v>
      </c>
      <c r="BI2" s="1134" t="s">
        <v>1208</v>
      </c>
      <c r="BJ2" s="1135" t="s">
        <v>1212</v>
      </c>
      <c r="BK2" s="1134" t="s">
        <v>1207</v>
      </c>
      <c r="BL2" s="1134" t="s">
        <v>1208</v>
      </c>
      <c r="BM2" s="1135" t="s">
        <v>1212</v>
      </c>
      <c r="BN2" s="1134" t="s">
        <v>1207</v>
      </c>
      <c r="BO2" s="1134" t="s">
        <v>1208</v>
      </c>
      <c r="BP2" s="1135" t="s">
        <v>1217</v>
      </c>
      <c r="BQ2" s="1134" t="s">
        <v>1207</v>
      </c>
      <c r="BR2" s="1134" t="s">
        <v>1208</v>
      </c>
      <c r="BS2" s="1135" t="s">
        <v>1219</v>
      </c>
      <c r="BT2" s="1134" t="s">
        <v>1207</v>
      </c>
      <c r="BU2" s="1134" t="s">
        <v>1208</v>
      </c>
      <c r="BV2" s="1135" t="s">
        <v>1220</v>
      </c>
      <c r="BW2" s="1134" t="s">
        <v>1207</v>
      </c>
      <c r="BX2" s="1134" t="s">
        <v>1208</v>
      </c>
      <c r="BY2" s="1134" t="s">
        <v>1221</v>
      </c>
      <c r="BZ2" s="1134" t="s">
        <v>1207</v>
      </c>
      <c r="CA2" s="1134" t="s">
        <v>1208</v>
      </c>
      <c r="CB2" s="1134" t="s">
        <v>1213</v>
      </c>
      <c r="CC2" s="1134" t="s">
        <v>1207</v>
      </c>
      <c r="CD2" s="1134" t="s">
        <v>1208</v>
      </c>
      <c r="CE2" s="1135" t="s">
        <v>1219</v>
      </c>
      <c r="CF2" s="1134" t="s">
        <v>1207</v>
      </c>
      <c r="CG2" s="1134" t="s">
        <v>1208</v>
      </c>
      <c r="CH2" s="1135" t="s">
        <v>1220</v>
      </c>
      <c r="CI2" s="1134" t="s">
        <v>1207</v>
      </c>
      <c r="CJ2" s="1134" t="s">
        <v>1208</v>
      </c>
      <c r="CK2" s="1135" t="s">
        <v>1221</v>
      </c>
      <c r="CL2" s="1134" t="s">
        <v>1207</v>
      </c>
      <c r="CM2" s="1134" t="s">
        <v>1208</v>
      </c>
      <c r="CN2" s="1135" t="s">
        <v>1213</v>
      </c>
      <c r="CO2" s="1134" t="s">
        <v>1207</v>
      </c>
      <c r="CP2" s="1134" t="s">
        <v>1208</v>
      </c>
      <c r="CQ2" s="1135" t="s">
        <v>1212</v>
      </c>
      <c r="CR2" s="1134" t="s">
        <v>1207</v>
      </c>
      <c r="CS2" s="1134" t="s">
        <v>1208</v>
      </c>
      <c r="CT2" s="1135" t="s">
        <v>1213</v>
      </c>
      <c r="CU2" s="1134" t="s">
        <v>1207</v>
      </c>
      <c r="CV2" s="1134" t="s">
        <v>1208</v>
      </c>
      <c r="CW2" s="1135" t="s">
        <v>1209</v>
      </c>
      <c r="CX2" s="1134" t="s">
        <v>1207</v>
      </c>
      <c r="CY2" s="1134" t="s">
        <v>1208</v>
      </c>
      <c r="CZ2" s="1135" t="s">
        <v>1066</v>
      </c>
      <c r="DA2" s="1134" t="s">
        <v>1207</v>
      </c>
      <c r="DB2" s="1134" t="s">
        <v>1208</v>
      </c>
      <c r="DC2" s="955"/>
      <c r="DD2" s="955"/>
    </row>
    <row r="3" spans="1:108" s="954" customFormat="1" ht="26.25" customHeight="1" x14ac:dyDescent="0.25">
      <c r="A3" s="2488"/>
      <c r="B3" s="2489"/>
      <c r="C3" s="2479" t="s">
        <v>1222</v>
      </c>
      <c r="D3" s="2479"/>
      <c r="E3" s="2479"/>
      <c r="F3" s="2479" t="s">
        <v>1223</v>
      </c>
      <c r="G3" s="2479"/>
      <c r="H3" s="2479"/>
      <c r="I3" s="2479" t="s">
        <v>1224</v>
      </c>
      <c r="J3" s="2479"/>
      <c r="K3" s="2479"/>
      <c r="L3" s="2479" t="s">
        <v>1225</v>
      </c>
      <c r="M3" s="2479"/>
      <c r="N3" s="2479"/>
      <c r="O3" s="1137" t="s">
        <v>1226</v>
      </c>
      <c r="P3" s="2490" t="s">
        <v>1227</v>
      </c>
      <c r="Q3" s="2490"/>
      <c r="R3" s="2490"/>
      <c r="S3" s="2479" t="s">
        <v>1228</v>
      </c>
      <c r="T3" s="2479"/>
      <c r="U3" s="2479"/>
      <c r="V3" s="2479" t="s">
        <v>1229</v>
      </c>
      <c r="W3" s="2479"/>
      <c r="X3" s="2479"/>
      <c r="Y3" s="2479" t="s">
        <v>1411</v>
      </c>
      <c r="Z3" s="2479"/>
      <c r="AA3" s="2479"/>
      <c r="AB3" s="2479" t="s">
        <v>1230</v>
      </c>
      <c r="AC3" s="2479"/>
      <c r="AD3" s="2479"/>
      <c r="AE3" s="2479" t="s">
        <v>1231</v>
      </c>
      <c r="AF3" s="2479"/>
      <c r="AG3" s="2479"/>
      <c r="AH3" s="2491" t="s">
        <v>1232</v>
      </c>
      <c r="AI3" s="2491"/>
      <c r="AJ3" s="2491"/>
      <c r="AK3" s="2479" t="s">
        <v>1233</v>
      </c>
      <c r="AL3" s="2479"/>
      <c r="AM3" s="2479"/>
      <c r="AN3" s="2479" t="s">
        <v>1234</v>
      </c>
      <c r="AO3" s="2479"/>
      <c r="AP3" s="2479"/>
      <c r="AQ3" s="2479" t="s">
        <v>1235</v>
      </c>
      <c r="AR3" s="2479"/>
      <c r="AS3" s="2479"/>
      <c r="AT3" s="2479" t="s">
        <v>1236</v>
      </c>
      <c r="AU3" s="2479"/>
      <c r="AV3" s="2479"/>
      <c r="AW3" s="2479" t="s">
        <v>1237</v>
      </c>
      <c r="AX3" s="2479"/>
      <c r="AY3" s="2479"/>
      <c r="AZ3" s="2479" t="s">
        <v>1238</v>
      </c>
      <c r="BA3" s="2479"/>
      <c r="BB3" s="2479"/>
      <c r="BC3" s="2479" t="s">
        <v>1239</v>
      </c>
      <c r="BD3" s="2479"/>
      <c r="BE3" s="2479"/>
      <c r="BF3" s="1137" t="s">
        <v>1240</v>
      </c>
      <c r="BG3" s="2479" t="s">
        <v>1241</v>
      </c>
      <c r="BH3" s="2479"/>
      <c r="BI3" s="2479"/>
      <c r="BJ3" s="2479" t="s">
        <v>1242</v>
      </c>
      <c r="BK3" s="2479"/>
      <c r="BL3" s="2479"/>
      <c r="BM3" s="2479" t="s">
        <v>1243</v>
      </c>
      <c r="BN3" s="2479"/>
      <c r="BO3" s="2479"/>
      <c r="BP3" s="2479" t="s">
        <v>1244</v>
      </c>
      <c r="BQ3" s="2479"/>
      <c r="BR3" s="2479"/>
      <c r="BS3" s="2479" t="s">
        <v>1245</v>
      </c>
      <c r="BT3" s="2479"/>
      <c r="BU3" s="2479"/>
      <c r="BV3" s="2479" t="s">
        <v>1246</v>
      </c>
      <c r="BW3" s="2479"/>
      <c r="BX3" s="2479"/>
      <c r="BY3" s="2479" t="s">
        <v>1247</v>
      </c>
      <c r="BZ3" s="2479"/>
      <c r="CA3" s="2479"/>
      <c r="CB3" s="2479" t="s">
        <v>1248</v>
      </c>
      <c r="CC3" s="2479"/>
      <c r="CD3" s="2479"/>
      <c r="CE3" s="2479" t="s">
        <v>1249</v>
      </c>
      <c r="CF3" s="2479"/>
      <c r="CG3" s="2479"/>
      <c r="CH3" s="2479" t="s">
        <v>1246</v>
      </c>
      <c r="CI3" s="2479"/>
      <c r="CJ3" s="2479"/>
      <c r="CK3" s="2479" t="s">
        <v>1250</v>
      </c>
      <c r="CL3" s="2479"/>
      <c r="CM3" s="2479"/>
      <c r="CN3" s="2479" t="s">
        <v>1251</v>
      </c>
      <c r="CO3" s="2479"/>
      <c r="CP3" s="2479"/>
      <c r="CQ3" s="2479" t="s">
        <v>1252</v>
      </c>
      <c r="CR3" s="2479"/>
      <c r="CS3" s="2479"/>
      <c r="CT3" s="2479" t="s">
        <v>1253</v>
      </c>
      <c r="CU3" s="2479"/>
      <c r="CV3" s="2479"/>
      <c r="CW3" s="2479" t="s">
        <v>1254</v>
      </c>
      <c r="CX3" s="2479"/>
      <c r="CY3" s="2479"/>
      <c r="CZ3" s="2492" t="s">
        <v>1255</v>
      </c>
      <c r="DA3" s="2492"/>
      <c r="DB3" s="2492"/>
      <c r="DC3" s="953"/>
      <c r="DD3" s="953"/>
    </row>
    <row r="4" spans="1:108" s="587" customFormat="1" ht="26.25" customHeight="1" x14ac:dyDescent="0.25">
      <c r="A4" s="2484" t="str">
        <f>'Лист контроля  '!N4</f>
        <v>04.03.2026г</v>
      </c>
      <c r="B4" s="1149">
        <v>1</v>
      </c>
      <c r="C4" s="1138">
        <f>'Лист контроля  '!C35</f>
        <v>0.06</v>
      </c>
      <c r="D4" s="1139">
        <f>COUNT('Лист контроля  '!C11:C17,'Лист контроля  '!C25:C31)</f>
        <v>3</v>
      </c>
      <c r="E4" s="1145">
        <f>COUNTIF('Лист контроля  '!C11:C17,"&gt;0,80")+COUNTIF('Лист контроля  '!C25:C31,"&gt;0,80")</f>
        <v>0</v>
      </c>
      <c r="F4" s="1140"/>
      <c r="G4" s="1140"/>
      <c r="H4" s="1141"/>
      <c r="I4" s="1139" t="e">
        <f>'Лист контроля  '!F35</f>
        <v>#DIV/0!</v>
      </c>
      <c r="J4" s="1139">
        <f>COUNT('Лист контроля  '!F11:F22,'Лист контроля  '!F25:F34)</f>
        <v>0</v>
      </c>
      <c r="K4" s="1139">
        <f>COUNTIF('Лист контроля  '!F11:F22,"&gt;8,0")+COUNTIF('Лист контроля  '!F25:F34,"&gt;8,0")</f>
        <v>0</v>
      </c>
      <c r="L4" s="1138">
        <f>'Лист контроля  '!E35</f>
        <v>0.06</v>
      </c>
      <c r="M4" s="1139">
        <f>COUNT('Лист контроля  '!E11:E22,'Лист контроля  '!E25:E34)</f>
        <v>4</v>
      </c>
      <c r="N4" s="1145">
        <f>COUNTIF('Лист контроля  '!E11:E22,"&gt;0,80")+COUNTIF('Лист контроля  '!E25:E34,"&gt;0,80")</f>
        <v>0</v>
      </c>
      <c r="O4" s="1145">
        <f>COUNTIF('Лист контроля  '!E11:E22,"&gt;0,20")+COUNTIF('Лист контроля  '!E25:E34,"&gt;0,20")</f>
        <v>0</v>
      </c>
      <c r="P4" s="1142">
        <f>'Лист контроля  '!AC90</f>
        <v>86</v>
      </c>
      <c r="Q4" s="1143">
        <f>COUNT('Лист контроля  '!AC78:AC89)</f>
        <v>2</v>
      </c>
      <c r="R4" s="1139">
        <f>COUNTIF('Лист контроля  '!AC78:AC89,"&lt;90,0")</f>
        <v>2</v>
      </c>
      <c r="S4" s="1144"/>
      <c r="T4" s="1140"/>
      <c r="U4" s="1140"/>
      <c r="V4" s="1145">
        <f>'Лист контроля  '!AC55</f>
        <v>65</v>
      </c>
      <c r="W4" s="1139">
        <f>COUNT('Лист контроля  '!AC40:AC46,'Лист контроля  '!AC48:AC54)</f>
        <v>8</v>
      </c>
      <c r="X4" s="1145">
        <f>COUNTIF('Лист контроля  '!AC40:AC46,"&lt;56")+COUNTIF('Лист контроля  '!AC40:AC46,"&gt;62")+COUNTIF('Лист контроля  '!AC48:AC54,"&lt;56")+COUNTIF('Лист контроля  '!AC48:AC54,"&gt;62")</f>
        <v>3</v>
      </c>
      <c r="Y4" s="1142">
        <f>'Лист контроля  '!J35</f>
        <v>102.7</v>
      </c>
      <c r="Z4" s="1139">
        <f>COUNT('Лист контроля  '!J9:J32)</f>
        <v>12</v>
      </c>
      <c r="AA4" s="1139">
        <f>COUNTIF('Лист контроля  '!J9:J32,"&lt;102")+COUNTIF('Лист контроля  '!J9:J32,"&gt;106")</f>
        <v>0</v>
      </c>
      <c r="AB4" s="1142">
        <f>'Лист контроля  '!I35</f>
        <v>88.1</v>
      </c>
      <c r="AC4" s="1139">
        <f>COUNT('Лист контроля  '!I9:I35)</f>
        <v>3</v>
      </c>
      <c r="AD4" s="1139">
        <f>COUNTIF('Лист контроля  '!I9:I35,"&lt;86,8")</f>
        <v>0</v>
      </c>
      <c r="AE4" s="1138">
        <f>'Лист контроля  '!G35</f>
        <v>0.43</v>
      </c>
      <c r="AF4" s="1139">
        <f>COUNT('Лист контроля  '!G9:G32)</f>
        <v>2</v>
      </c>
      <c r="AG4" s="1146">
        <f>COUNTIF('Лист контроля  '!G9:G32,"&lt;0,2")+COUNTIF('Лист контроля  '!G9:G32,"&gt;1,0")</f>
        <v>0</v>
      </c>
      <c r="AH4" s="1139">
        <f>'Лист контроля  '!F73</f>
        <v>64</v>
      </c>
      <c r="AI4" s="1139">
        <f>COUNT('Лист контроля  '!F73)</f>
        <v>1</v>
      </c>
      <c r="AJ4" s="1139">
        <f>COUNTIF('Лист контроля  '!F73,"&gt;70")</f>
        <v>0</v>
      </c>
      <c r="AK4" s="1145">
        <f>'Лист контроля  '!AB55</f>
        <v>72</v>
      </c>
      <c r="AL4" s="1139">
        <f>COUNT('Лист контроля  '!AB40:AB46,'Лист контроля  '!AB48:AB54)</f>
        <v>6</v>
      </c>
      <c r="AM4" s="1145">
        <f>COUNTIF('Лист контроля  '!AB40:AB46,"&gt;71")+COUNTIF('Лист контроля  '!AB48:AB54,"&gt;71")</f>
        <v>3</v>
      </c>
      <c r="AN4" s="1496">
        <f>MAX('Лист контроля  '!U53,'Лист контроля  '!W53)</f>
        <v>5.6</v>
      </c>
      <c r="AO4" s="1139">
        <f>COUNT('Лист контроля  '!U40:U53,'Лист контроля  '!W40:W53)</f>
        <v>4</v>
      </c>
      <c r="AP4" s="1139">
        <f>COUNTIF('Лист контроля  '!U40:U53,"&gt;20")+COUNTIF('Лист контроля  '!W40:W53,"&gt;20")</f>
        <v>0</v>
      </c>
      <c r="AQ4" s="1139">
        <f>MAX('Лист контроля  '!P55,'Лист контроля  '!S53)</f>
        <v>5.0999999999999996</v>
      </c>
      <c r="AR4" s="1139">
        <f>COUNT('Лист контроля  '!P40:P46,'Лист контроля  '!P48:P54,'Лист контроля  '!S40:S53)</f>
        <v>12</v>
      </c>
      <c r="AS4" s="1139">
        <f>COUNTIF('Лист контроля  '!P40:P46,"&gt;15")+COUNTIF('Лист контроля  '!P48:P54,"&gt;15")+COUNTIF('Лист контроля  '!S40:S53,"&gt;15")</f>
        <v>0</v>
      </c>
      <c r="AT4" s="1142">
        <f>MAX('Лист контроля  '!O55,'Лист контроля  '!R53)</f>
        <v>2.9</v>
      </c>
      <c r="AU4" s="1146">
        <f>COUNT('Лист контроля  '!O40:O46,'Лист контроля  '!O48:O54,'Лист контроля  '!R40:R53)</f>
        <v>12</v>
      </c>
      <c r="AV4" s="1139">
        <f>COUNTIF('Лист контроля  '!O40:O46,"&gt;3,0")+COUNTIF('Лист контроля  '!O48:O54,"&gt;3,0")+COUNTIF('Лист контроля  '!R40:R53,"&gt;3,0")</f>
        <v>2</v>
      </c>
      <c r="AW4" s="1139">
        <f>'Лист контроля  '!Q55</f>
        <v>61.7</v>
      </c>
      <c r="AX4" s="1139">
        <f>COUNT('Лист контроля  '!Q40:Q46,'Лист контроля  '!Q48:Q54)</f>
        <v>6</v>
      </c>
      <c r="AY4" s="1139">
        <f>COUNTIF('Лист контроля  '!Q40:Q46,"&lt;60,0")+COUNTIF('Лист контроля  '!Q48:Q54,"&lt;60,0")</f>
        <v>0</v>
      </c>
      <c r="AZ4" s="1138">
        <f>'Лист контроля  '!Y55</f>
        <v>1.29</v>
      </c>
      <c r="BA4" s="1139">
        <f>COUNT('Лист контроля  '!Y40:Y54)</f>
        <v>3</v>
      </c>
      <c r="BB4" s="1139">
        <f>COUNTIF('Лист контроля  '!Y40:Y54,"&gt;2,0")</f>
        <v>0</v>
      </c>
      <c r="BC4" s="1142">
        <f>'Лист контроля  '!X35</f>
        <v>68</v>
      </c>
      <c r="BD4" s="1139">
        <f>COUNT('Лист контроля  '!T9:T33,'Лист контроля  '!X9:X33,'Лист контроля  '!AB9:AB33)</f>
        <v>9</v>
      </c>
      <c r="BE4" s="1146">
        <f>COUNTIF('Лист контроля  '!T9:T33,"&lt;70,0")+COUNTIF('Лист контроля  '!X9:X33,"&lt;70,0")+COUNTIF('Лист контроля  '!AB9:AB33,"&lt;70,0")</f>
        <v>9</v>
      </c>
      <c r="BF4" s="1146">
        <f>COUNTIF('Лист контроля  '!T9:T33,"&lt;72,0")+COUNTIF('Лист контроля  '!X9:X33,"&lt;72,0")+COUNTIF('Лист контроля  '!AB9:AB33,"&lt;72,0")</f>
        <v>9</v>
      </c>
      <c r="BG4" s="1139">
        <f>'Лист контроля  '!U35</f>
        <v>96.1</v>
      </c>
      <c r="BH4" s="1139">
        <f>COUNT('Лист контроля  '!Q9:Q33,'Лист контроля  '!U9:U33,'Лист контроля  '!Y9:Y33)</f>
        <v>9</v>
      </c>
      <c r="BI4" s="1139">
        <f>COUNTIF('Лист контроля  '!Q9:Q33,"&lt;95,0")+COUNTIF('Лист контроля  '!U9:U33,"&lt;95,0")+COUNTIF('Лист контроля  '!Y9:Y33,"&lt;95,0")</f>
        <v>0</v>
      </c>
      <c r="BJ4" s="1142">
        <f>'Лист контроля  '!AD34</f>
        <v>30</v>
      </c>
      <c r="BK4" s="1145">
        <f>'Лист контроля  '!AD35</f>
        <v>20</v>
      </c>
      <c r="BL4" s="1145">
        <f>COUNTIF('Лист контроля  '!AD4:AD33,"&lt;25")+COUNTIF('Лист контроля  '!AD4:AD33,"&gt;36")</f>
        <v>0</v>
      </c>
      <c r="BM4" s="1145">
        <f>'Лист контроля  '!AE34</f>
        <v>49</v>
      </c>
      <c r="BN4" s="1145">
        <f>'Лист контроля  '!AD35</f>
        <v>20</v>
      </c>
      <c r="BO4" s="1145">
        <f>COUNTIF('Лист контроля  '!AE4:AE33,"&lt;42")+COUNTIF('Лист контроля  '!AE4:AE33,"&gt;52")</f>
        <v>0</v>
      </c>
      <c r="BP4" s="1142">
        <f>'Лист контроля  '!L29</f>
        <v>67</v>
      </c>
      <c r="BQ4" s="1139">
        <f>COUNT('Лист контроля  '!K9:M28)</f>
        <v>4</v>
      </c>
      <c r="BR4" s="1145">
        <f>COUNTIF('Лист контроля  '!K9:M28,"&lt;55")+COUNTIF('Лист контроля  '!K9:M28,"&gt;68")</f>
        <v>1</v>
      </c>
      <c r="BS4" s="1139">
        <f>'Лист контроля  '!G90</f>
        <v>16.399999999999999</v>
      </c>
      <c r="BT4" s="1139">
        <f>'Лист контроля  '!G91</f>
        <v>6</v>
      </c>
      <c r="BU4" s="1139">
        <f>COUNTIF('Лист контроля  '!G78:G89,"&gt;19,0")</f>
        <v>0</v>
      </c>
      <c r="BV4" s="1138">
        <f>'Лист контроля  '!N90</f>
        <v>0.06</v>
      </c>
      <c r="BW4" s="1139">
        <f>'Лист контроля  '!M90</f>
        <v>9</v>
      </c>
      <c r="BX4" s="1139">
        <f>COUNTIF('Лист контроля  '!M78:T89,"&gt;0,08")</f>
        <v>0</v>
      </c>
      <c r="BY4" s="1142">
        <f>'Лист контроля  '!AF60</f>
        <v>14.6</v>
      </c>
      <c r="BZ4" s="1139">
        <f>COUNT('Лист контроля  '!AF60)</f>
        <v>1</v>
      </c>
      <c r="CA4" s="1139">
        <f>COUNTIF('Лист контроля  '!AF60,"&gt;10,0")</f>
        <v>1</v>
      </c>
      <c r="CB4" s="1147">
        <f>'Лист контроля  '!B44</f>
        <v>75.3</v>
      </c>
      <c r="CC4" s="1139">
        <f>COUNT('Лист контроля  '!I40:I51,'Лист контроля  '!B44)</f>
        <v>4</v>
      </c>
      <c r="CD4" s="1139">
        <f>COUNTIF('Лист контроля  '!I40:I51,"&lt;82,0")+COUNTIF('Лист контроля  '!B44,"&lt;82,0")</f>
        <v>3</v>
      </c>
      <c r="CE4" s="1142">
        <f>'Лист контроля  '!F91</f>
        <v>16.600000000000001</v>
      </c>
      <c r="CF4" s="1139">
        <f>'Лист контроля  '!E91</f>
        <v>12</v>
      </c>
      <c r="CG4" s="1139">
        <f>COUNTIF('Лист контроля  '!E78:F89,"&gt;16,8")</f>
        <v>6</v>
      </c>
      <c r="CH4" s="1138">
        <f>'Лист контроля  '!L90</f>
        <v>0.08</v>
      </c>
      <c r="CI4" s="1139">
        <f>'Лист контроля  '!K90</f>
        <v>12</v>
      </c>
      <c r="CJ4" s="1139">
        <f>COUNTIF('Лист контроля  '!K78:L89,"&gt;0,08")</f>
        <v>1</v>
      </c>
      <c r="CK4" s="1142">
        <f>'Лист контроля  '!AF59</f>
        <v>7</v>
      </c>
      <c r="CL4" s="1139">
        <f>COUNT('Лист контроля  '!D47:D48)</f>
        <v>2</v>
      </c>
      <c r="CM4" s="1139">
        <f>COUNTIF('Лист контроля  '!D47:D48,"&gt;3,5")</f>
        <v>2</v>
      </c>
      <c r="CN4" s="1142">
        <f>'Лист контроля  '!B42</f>
        <v>85.7</v>
      </c>
      <c r="CO4" s="1139">
        <f>COUNT('Лист контроля  '!G40:H51,'Лист контроля  '!B40:B41)</f>
        <v>8</v>
      </c>
      <c r="CP4" s="1139">
        <f>COUNTIF('Лист контроля  '!G40:H51,"&lt;91,0")+COUNTIF('Лист контроля  '!B40:B41,"&lt;91,0")</f>
        <v>8</v>
      </c>
      <c r="CQ4" s="1145">
        <f>'Лист контроля  '!F72</f>
        <v>29</v>
      </c>
      <c r="CR4" s="1139">
        <f>COUNT('Лист контроля  '!F72)</f>
        <v>1</v>
      </c>
      <c r="CS4" s="1139">
        <f>COUNTIF('Лист контроля  '!F72,"&lt;30")+COUNTIF('Лист контроля  '!F72,"&gt;40")</f>
        <v>1</v>
      </c>
      <c r="CT4" s="1138">
        <f>'Лист контроля  '!C90</f>
        <v>0.06</v>
      </c>
      <c r="CU4" s="1139">
        <f>COUNT('Лист контроля  '!C78:C89)</f>
        <v>2</v>
      </c>
      <c r="CV4" s="1139">
        <f>COUNTIF('Лист контроля  '!C78:C89,"&gt;0,3")</f>
        <v>0</v>
      </c>
      <c r="CW4" s="1139">
        <f>'Лист контроля  '!B90</f>
        <v>13.7</v>
      </c>
      <c r="CX4" s="1139">
        <f>COUNT('Лист контроля  '!B78:B89)</f>
        <v>2</v>
      </c>
      <c r="CY4" s="1139">
        <f>COUNTIF('Лист контроля  '!B78:B89,"&gt;25,0")</f>
        <v>0</v>
      </c>
      <c r="CZ4" s="1145">
        <f>'Лист контроля  '!H90</f>
        <v>305</v>
      </c>
      <c r="DA4" s="1139">
        <f>COUNT('Лист контроля  '!H78:H89)</f>
        <v>12</v>
      </c>
      <c r="DB4" s="1139">
        <f>COUNTIF('Лист контроля  '!H78:H89,"&lt;220")</f>
        <v>0</v>
      </c>
      <c r="DC4" s="951"/>
      <c r="DD4" s="951"/>
    </row>
    <row r="5" spans="1:108" s="587" customFormat="1" ht="26.25" customHeight="1" x14ac:dyDescent="0.25">
      <c r="A5" s="2485"/>
      <c r="B5" s="1150">
        <v>2</v>
      </c>
      <c r="C5" s="1138">
        <f>'Лист контроля  '!AK35</f>
        <v>0.16</v>
      </c>
      <c r="D5" s="1139">
        <f>COUNT('Лист контроля  '!AK11:AK17,'Лист контроля  '!AK25:AK31)</f>
        <v>3</v>
      </c>
      <c r="E5" s="1145">
        <f>COUNTIF('Лист контроля  '!AK11:AK17,"&gt;0,80")+COUNTIF('Лист контроля  '!AK25:AK31,"&gt;0,80")</f>
        <v>0</v>
      </c>
      <c r="F5" s="1148" t="e">
        <f>'Лист контроля  '!BL102</f>
        <v>#DIV/0!</v>
      </c>
      <c r="G5" s="1140">
        <f>COUNT('Лист контроля  '!BL95:BL101)</f>
        <v>0</v>
      </c>
      <c r="H5" s="1139">
        <f>COUNTIF('Лист контроля  '!BL95:BL101,"&gt;24,0")</f>
        <v>0</v>
      </c>
      <c r="I5" s="1139" t="e">
        <f>'Лист контроля  '!AN35</f>
        <v>#DIV/0!</v>
      </c>
      <c r="J5" s="1139">
        <f>COUNT('Лист контроля  '!AN11:AN22,'Лист контроля  '!AN25:AN34)</f>
        <v>0</v>
      </c>
      <c r="K5" s="1139">
        <f>COUNTIF('Лист контроля  '!AN11:AN22,"&gt;8,0")+COUNTIF('Лист контроля  '!AN25:AN34,"&gt;8,0")</f>
        <v>0</v>
      </c>
      <c r="L5" s="1138">
        <f>'Лист контроля  '!AM35</f>
        <v>0.2</v>
      </c>
      <c r="M5" s="1139">
        <f>COUNT('Лист контроля  '!AM11:AM22,'Лист контроля  '!AM25:AM34)</f>
        <v>1</v>
      </c>
      <c r="N5" s="1145">
        <f>COUNTIF('Лист контроля  '!AM11:AM22,"&gt;0,80")+COUNTIF('Лист контроля  '!AM25:AM34,"&gt;0,80")</f>
        <v>0</v>
      </c>
      <c r="O5" s="1145">
        <f>COUNTIF('Лист контроля  '!AM11:AM22,"&gt;0,20")+COUNTIF('Лист контроля  '!AM25:AM34,"&gt;0,20")</f>
        <v>0</v>
      </c>
      <c r="P5" s="1142">
        <f>'Лист контроля  '!BK90</f>
        <v>82</v>
      </c>
      <c r="Q5" s="1143">
        <f>COUNT('Лист контроля  '!BK78:BK89)</f>
        <v>2</v>
      </c>
      <c r="R5" s="1139">
        <f>COUNTIF('Лист контроля  '!BK78:BK89,"&lt;90,0")</f>
        <v>2</v>
      </c>
      <c r="S5" s="1144" t="e">
        <f>'Лист контроля  '!BM102</f>
        <v>#DIV/0!</v>
      </c>
      <c r="T5" s="1140">
        <f>COUNT('Лист контроля  '!BM95:BM101)</f>
        <v>0</v>
      </c>
      <c r="U5" s="1140">
        <f>COUNTIF('Лист контроля  '!BM95:BM101,"&gt;40,0")</f>
        <v>0</v>
      </c>
      <c r="V5" s="1145">
        <f>'Лист контроля  '!BK55</f>
        <v>62</v>
      </c>
      <c r="W5" s="1139">
        <f>COUNT('Лист контроля  '!BK40:BK46,'Лист контроля  '!BK48:BK54)</f>
        <v>8</v>
      </c>
      <c r="X5" s="1145">
        <f>COUNTIF('Лист контроля  '!BK40:BK46,"&lt;56")+COUNTIF('Лист контроля  '!BK40:BK46,"&gt;62")+COUNTIF('Лист контроля  '!BK48:BK54,"&lt;56")+COUNTIF('Лист контроля  '!BK48:BK54,"&gt;62")</f>
        <v>2</v>
      </c>
      <c r="Y5" s="1142">
        <f>'Лист контроля  '!AR35</f>
        <v>102.7</v>
      </c>
      <c r="Z5" s="1139">
        <f>COUNT('Лист контроля  '!AR9:AR32)</f>
        <v>10</v>
      </c>
      <c r="AA5" s="1139">
        <f>COUNTIF('Лист контроля  '!AR9:AR32,"&lt;102")+COUNTIF('Лист контроля  '!AR9:AR32,"&gt;106")</f>
        <v>1</v>
      </c>
      <c r="AB5" s="1142">
        <f>'Лист контроля  '!AQ35</f>
        <v>88.5</v>
      </c>
      <c r="AC5" s="1139">
        <f>COUNT('Лист контроля  '!AQ9:AQ35)</f>
        <v>3</v>
      </c>
      <c r="AD5" s="1139">
        <f>COUNTIF('Лист контроля  '!AQ9:AQ35,"&lt;86,8")</f>
        <v>0</v>
      </c>
      <c r="AE5" s="1138">
        <f>'Лист контроля  '!AO35</f>
        <v>0.49</v>
      </c>
      <c r="AF5" s="1139">
        <f>COUNT('Лист контроля  '!AO9:AO32)</f>
        <v>2</v>
      </c>
      <c r="AG5" s="1146">
        <f>COUNTIF('Лист контроля  '!AO9:AO32,"&lt;0,2")+COUNTIF('Лист контроля  '!AO9:AO32,"&gt;1,0")</f>
        <v>0</v>
      </c>
      <c r="AH5" s="1139">
        <f>'Лист контроля  '!AN73</f>
        <v>62</v>
      </c>
      <c r="AI5" s="1139">
        <f>COUNT('Лист контроля  '!AN73)</f>
        <v>1</v>
      </c>
      <c r="AJ5" s="1139">
        <f>COUNTIF('Лист контроля  '!AN73,"&gt;70")</f>
        <v>0</v>
      </c>
      <c r="AK5" s="1145">
        <f>'Лист контроля  '!BJ55</f>
        <v>79</v>
      </c>
      <c r="AL5" s="1139">
        <f>COUNT('Лист контроля  '!BJ40:BJ46,'Лист контроля  '!BJ48:BJ54)</f>
        <v>8</v>
      </c>
      <c r="AM5" s="1145">
        <f>COUNTIF('Лист контроля  '!BJ40:BJ46,"&gt;71")+COUNTIF('Лист контроля  '!BJ48:BJ54,"&gt;71")</f>
        <v>7</v>
      </c>
      <c r="AN5" s="1496">
        <f>MAX('Лист контроля  '!BC53,'Лист контроля  '!BE53)</f>
        <v>6</v>
      </c>
      <c r="AO5" s="1139">
        <f>COUNT('Лист контроля  '!BC40:BC53,'Лист контроля  '!BE40:BE53)</f>
        <v>4</v>
      </c>
      <c r="AP5" s="1139">
        <f>COUNTIF('Лист контроля  '!BC40:BC53,"&gt;20")+COUNTIF('Лист контроля  '!BE40:BE53,"&gt;20")</f>
        <v>0</v>
      </c>
      <c r="AQ5" s="1139">
        <f>MAX('Лист контроля  '!AX55,'Лист контроля  '!BA53)</f>
        <v>5.2</v>
      </c>
      <c r="AR5" s="1139">
        <f>COUNT('Лист контроля  '!AX40:AX46,'Лист контроля  '!AX48:AX54,'Лист контроля  '!BA40:BA53)</f>
        <v>15</v>
      </c>
      <c r="AS5" s="1139">
        <f>COUNTIF('Лист контроля  '!AX40:AX46,"&gt;15")+COUNTIF('Лист контроля  '!AX48:AX54,"&gt;15")+COUNTIF('Лист контроля  '!BA40:BA53,"&gt;15")</f>
        <v>0</v>
      </c>
      <c r="AT5" s="1142">
        <f>MAX('Лист контроля  '!AW55,'Лист контроля  '!AZ53)</f>
        <v>2.5</v>
      </c>
      <c r="AU5" s="1146">
        <f>COUNT('Лист контроля  '!AW40:AW46,'Лист контроля  '!AW48:AW54,'Лист контроля  '!AZ40:AZ53)</f>
        <v>15</v>
      </c>
      <c r="AV5" s="1139">
        <f>COUNTIF('Лист контроля  '!AW40:AW46,"&gt;3,0")+COUNTIF('Лист контроля  '!AW48:AW54,"&gt;3,0")+COUNTIF('Лист контроля  '!AZ40:AZ53,"&gt;3,0")</f>
        <v>1</v>
      </c>
      <c r="AW5" s="1139">
        <f>'Лист контроля  '!AY55</f>
        <v>64.5</v>
      </c>
      <c r="AX5" s="1139">
        <f>COUNT('Лист контроля  '!AY40:AY46,'Лист контроля  '!AY48:AY54)</f>
        <v>8</v>
      </c>
      <c r="AY5" s="1139">
        <f>COUNTIF('Лист контроля  '!AY40:AY46,"&lt;60,0")+COUNTIF('Лист контроля  '!AY48:AY54,"&lt;60,0")</f>
        <v>0</v>
      </c>
      <c r="AZ5" s="1138">
        <f>'Лист контроля  '!BG55</f>
        <v>0.47</v>
      </c>
      <c r="BA5" s="1139">
        <f>COUNT('Лист контроля  '!BG40:BG54)</f>
        <v>4</v>
      </c>
      <c r="BB5" s="1139">
        <f>COUNTIF('Лист контроля  '!BG40:BG54,"&gt;2,0")</f>
        <v>0</v>
      </c>
      <c r="BC5" s="1142">
        <f>'Лист контроля  '!BF35</f>
        <v>70.3</v>
      </c>
      <c r="BD5" s="1139">
        <f>COUNT('Лист контроля  '!BB9:BB33,'Лист контроля  '!BF9:BF33,'Лист контроля  '!BJ9:BJ33)</f>
        <v>9</v>
      </c>
      <c r="BE5" s="1146">
        <f>COUNTIF('Лист контроля  '!BB9:BB33,"&lt;70,0")+COUNTIF('Лист контроля  '!BF9:BF33,"&lt;70,0")+COUNTIF('Лист контроля  '!BJ9:BJ33,"&lt;70,0")</f>
        <v>5</v>
      </c>
      <c r="BF5" s="1146">
        <f>COUNTIF('Лист контроля  '!BB9:BB33,"&lt;72,0")+COUNTIF('Лист контроля  '!BF9:BF33,"&lt;72,0")+COUNTIF('Лист контроля  '!BJ9:BJ33,"&lt;72,0")</f>
        <v>9</v>
      </c>
      <c r="BG5" s="1139">
        <f>'Лист контроля  '!BC35</f>
        <v>98.3</v>
      </c>
      <c r="BH5" s="1139">
        <f>COUNT('Лист контроля  '!AY9:AY33,'Лист контроля  '!BC9:BC33,'Лист контроля  '!BG9:BG33)</f>
        <v>6</v>
      </c>
      <c r="BI5" s="1139">
        <f>COUNTIF('Лист контроля  '!AY9:AY33,"&lt;95,0")+COUNTIF('Лист контроля  '!BC9:BC33,"&lt;95,0")+COUNTIF('Лист контроля  '!BG9:BG33,"&lt;95,0")</f>
        <v>0</v>
      </c>
      <c r="BJ5" s="1142">
        <f>'Лист контроля  '!BL34</f>
        <v>30</v>
      </c>
      <c r="BK5" s="1145">
        <f>'Лист контроля  '!BL35</f>
        <v>20</v>
      </c>
      <c r="BL5" s="1145">
        <f>COUNTIF('Лист контроля  '!BL4:BL33,"&lt;25")+COUNTIF('Лист контроля  '!BL4:BL33,"&gt;36")</f>
        <v>0</v>
      </c>
      <c r="BM5" s="1145">
        <f>'Лист контроля  '!BM34</f>
        <v>47</v>
      </c>
      <c r="BN5" s="1145">
        <f>'Лист контроля  '!BL35</f>
        <v>20</v>
      </c>
      <c r="BO5" s="1145">
        <f>COUNTIF('Лист контроля  '!BM4:BM33,"&lt;42")+COUNTIF('Лист контроля  '!BM4:BM33,"&gt;52")</f>
        <v>0</v>
      </c>
      <c r="BP5" s="1142">
        <f>'Лист контроля  '!AT29</f>
        <v>57.5</v>
      </c>
      <c r="BQ5" s="1139">
        <f>COUNT('Лист контроля  '!AS9:AU28)</f>
        <v>6</v>
      </c>
      <c r="BR5" s="1139">
        <f>COUNTIF('Лист контроля  '!AS9:AU28,"&lt;55")+COUNTIF('Лист контроля  '!AS9:AU28,"&gt;68")</f>
        <v>1</v>
      </c>
      <c r="BS5" s="1139">
        <f>'Лист контроля  '!AO90</f>
        <v>20.3</v>
      </c>
      <c r="BT5" s="1139">
        <f>'Лист контроля  '!AO91</f>
        <v>3</v>
      </c>
      <c r="BU5" s="1139">
        <f>COUNTIF('Лист контроля  '!AO78:AO89,"&gt;19,0")</f>
        <v>3</v>
      </c>
      <c r="BV5" s="1138">
        <f>'Лист контроля  '!AV90</f>
        <v>7.0000000000000007E-2</v>
      </c>
      <c r="BW5" s="1139">
        <f>'Лист контроля  '!AU90</f>
        <v>19</v>
      </c>
      <c r="BX5" s="1139">
        <f>COUNTIF('Лист контроля  '!AU78:BB89,"&gt;0,08")</f>
        <v>0</v>
      </c>
      <c r="BY5" s="1142">
        <f>'Лист контроля  '!BN60</f>
        <v>15.7</v>
      </c>
      <c r="BZ5" s="1139">
        <f>COUNT('Лист контроля  '!BN60)</f>
        <v>1</v>
      </c>
      <c r="CA5" s="1139">
        <f>COUNTIF('Лист контроля  '!BN60,"&gt;10,0")</f>
        <v>1</v>
      </c>
      <c r="CB5" s="1147">
        <f>'Лист контроля  '!AJ44</f>
        <v>82.5</v>
      </c>
      <c r="CC5" s="1139">
        <f>COUNT('Лист контроля  '!AQ40:AQ51,'Лист контроля  '!AJ44)</f>
        <v>3</v>
      </c>
      <c r="CD5" s="1139">
        <f>COUNTIF('Лист контроля  '!AQ40:AQ51,"&lt;82,0")+COUNTIF('Лист контроля  '!AJ44,"&lt;82,0")</f>
        <v>2</v>
      </c>
      <c r="CE5" s="1142">
        <f>'Лист контроля  '!AN91</f>
        <v>15.9</v>
      </c>
      <c r="CF5" s="1139">
        <f>'Лист контроля  '!AM91</f>
        <v>6</v>
      </c>
      <c r="CG5" s="1139">
        <f>COUNTIF('Лист контроля  '!AM78:AN89,"&gt;16,8")</f>
        <v>2</v>
      </c>
      <c r="CH5" s="1138">
        <f>'Лист контроля  '!AT90</f>
        <v>7.0000000000000007E-2</v>
      </c>
      <c r="CI5" s="1139">
        <f>'Лист контроля  '!AS90</f>
        <v>12</v>
      </c>
      <c r="CJ5" s="1139">
        <f>COUNTIF('Лист контроля  '!AS78:AT89,"&gt;0,08")</f>
        <v>1</v>
      </c>
      <c r="CK5" s="1142">
        <f>'Лист контроля  '!BN59</f>
        <v>8.3000000000000007</v>
      </c>
      <c r="CL5" s="1139">
        <f>COUNT('Лист контроля  '!AL47:AL48)</f>
        <v>2</v>
      </c>
      <c r="CM5" s="1139">
        <f>COUNTIF('Лист контроля  '!AL47:AL48,"&gt;3,5")</f>
        <v>2</v>
      </c>
      <c r="CN5" s="1142">
        <f>'Лист контроля  '!AJ42</f>
        <v>89.300000000000011</v>
      </c>
      <c r="CO5" s="1139">
        <f>COUNT('Лист контроля  '!AO40:AP51,'Лист контроля  '!AJ40:AJ41)</f>
        <v>6</v>
      </c>
      <c r="CP5" s="1139">
        <f>COUNTIF('Лист контроля  '!AO40:AP51,"&lt;91,0")+COUNTIF('Лист контроля  '!AJ40:AJ41,"&lt;91,0")</f>
        <v>6</v>
      </c>
      <c r="CQ5" s="1145">
        <f>'Лист контроля  '!AN72</f>
        <v>33</v>
      </c>
      <c r="CR5" s="1139">
        <f>COUNT('Лист контроля  '!AN72)</f>
        <v>1</v>
      </c>
      <c r="CS5" s="1139">
        <f>COUNTIF('Лист контроля  '!AN72,"&lt;30")+COUNTIF('Лист контроля  '!AN72,"&gt;40")</f>
        <v>0</v>
      </c>
      <c r="CT5" s="1138">
        <f>'Лист контроля  '!AK90</f>
        <v>0.06</v>
      </c>
      <c r="CU5" s="1139">
        <f>COUNT('Лист контроля  '!AK78:AK89)</f>
        <v>2</v>
      </c>
      <c r="CV5" s="1139">
        <f>COUNTIF('Лист контроля  '!AK78:AK89,"&gt;0,3")</f>
        <v>0</v>
      </c>
      <c r="CW5" s="1142">
        <f>'Лист контроля  '!AJ90</f>
        <v>12.9</v>
      </c>
      <c r="CX5" s="1139">
        <f>COUNT('Лист контроля  '!AJ78:AJ89)</f>
        <v>2</v>
      </c>
      <c r="CY5" s="1139">
        <f>COUNTIF('Лист контроля  '!AJ78:AJ89,"&gt;25,0")</f>
        <v>0</v>
      </c>
      <c r="CZ5" s="1145">
        <f>'Лист контроля  '!AP90</f>
        <v>307</v>
      </c>
      <c r="DA5" s="1139">
        <f>COUNT('Лист контроля  '!AP78:AP89)</f>
        <v>12</v>
      </c>
      <c r="DB5" s="1139">
        <f>COUNTIF('Лист контроля  '!AP78:AP89,"&lt;220")</f>
        <v>0</v>
      </c>
      <c r="DC5" s="951"/>
      <c r="DD5" s="951"/>
    </row>
    <row r="6" spans="1:108" s="1151" customFormat="1" ht="18" customHeight="1" x14ac:dyDescent="0.25"/>
    <row r="7" spans="1:108" s="1151" customFormat="1" ht="18" customHeight="1" x14ac:dyDescent="0.25">
      <c r="AK7" s="1153" t="s">
        <v>1257</v>
      </c>
      <c r="AT7" s="1152">
        <v>3</v>
      </c>
      <c r="BF7" s="1153" t="s">
        <v>1258</v>
      </c>
      <c r="BS7" s="1152">
        <v>19</v>
      </c>
      <c r="CE7" s="1152">
        <v>16.8</v>
      </c>
    </row>
    <row r="8" spans="1:108" s="1151" customFormat="1" ht="18" customHeight="1" x14ac:dyDescent="0.25">
      <c r="AK8" s="1153" t="s">
        <v>1256</v>
      </c>
      <c r="BF8" s="1153" t="s">
        <v>1259</v>
      </c>
    </row>
    <row r="9" spans="1:108" s="1151" customFormat="1" ht="18" customHeight="1" x14ac:dyDescent="0.25">
      <c r="BF9" s="1154"/>
    </row>
    <row r="10" spans="1:108" s="1151" customFormat="1" ht="18" customHeight="1" x14ac:dyDescent="0.25"/>
    <row r="11" spans="1:108" ht="18" customHeight="1" x14ac:dyDescent="0.25"/>
    <row r="12" spans="1:108" ht="18" customHeight="1" x14ac:dyDescent="0.25"/>
    <row r="13" spans="1:108" ht="18" customHeight="1" x14ac:dyDescent="0.25"/>
    <row r="14" spans="1:108" ht="18" customHeight="1" x14ac:dyDescent="0.25"/>
    <row r="15" spans="1:108" ht="18" customHeight="1" x14ac:dyDescent="0.25"/>
    <row r="16" spans="1:108" ht="18" customHeight="1" x14ac:dyDescent="0.25"/>
    <row r="17" ht="18" customHeight="1" x14ac:dyDescent="0.25"/>
    <row r="18" ht="18" customHeight="1" x14ac:dyDescent="0.25"/>
    <row r="19" ht="18" customHeight="1" x14ac:dyDescent="0.25"/>
    <row r="20" ht="18" customHeight="1" x14ac:dyDescent="0.25"/>
    <row r="21" ht="18" customHeight="1" x14ac:dyDescent="0.25"/>
    <row r="22" ht="18" customHeight="1" x14ac:dyDescent="0.25"/>
    <row r="23" ht="18" customHeight="1" x14ac:dyDescent="0.25"/>
    <row r="24" ht="18" customHeight="1" x14ac:dyDescent="0.25"/>
    <row r="25" ht="18" customHeight="1" x14ac:dyDescent="0.25"/>
    <row r="26" ht="18" customHeight="1" x14ac:dyDescent="0.25"/>
    <row r="27" ht="18" customHeight="1" x14ac:dyDescent="0.25"/>
    <row r="28" ht="18" customHeight="1" x14ac:dyDescent="0.25"/>
    <row r="29" ht="18" customHeight="1" x14ac:dyDescent="0.25"/>
    <row r="30" ht="18" customHeight="1" x14ac:dyDescent="0.25"/>
    <row r="31" ht="18" customHeight="1" x14ac:dyDescent="0.25"/>
  </sheetData>
  <mergeCells count="56">
    <mergeCell ref="CW3:CY3"/>
    <mergeCell ref="CZ3:DB3"/>
    <mergeCell ref="CB3:CD3"/>
    <mergeCell ref="CE3:CG3"/>
    <mergeCell ref="CH3:CJ3"/>
    <mergeCell ref="CK3:CM3"/>
    <mergeCell ref="CN3:CP3"/>
    <mergeCell ref="CQ3:CS3"/>
    <mergeCell ref="CT3:CV3"/>
    <mergeCell ref="BY3:CA3"/>
    <mergeCell ref="BM3:BO3"/>
    <mergeCell ref="BP3:BR3"/>
    <mergeCell ref="BS3:BU3"/>
    <mergeCell ref="BV3:BX3"/>
    <mergeCell ref="AT3:AV3"/>
    <mergeCell ref="AW3:AY3"/>
    <mergeCell ref="AZ3:BB3"/>
    <mergeCell ref="BC3:BE3"/>
    <mergeCell ref="BG3:BI3"/>
    <mergeCell ref="AE3:AG3"/>
    <mergeCell ref="AH3:AJ3"/>
    <mergeCell ref="AK3:AM3"/>
    <mergeCell ref="AN3:AP3"/>
    <mergeCell ref="AQ3:AS3"/>
    <mergeCell ref="A4:A5"/>
    <mergeCell ref="A1:A3"/>
    <mergeCell ref="B1:B3"/>
    <mergeCell ref="C1:E1"/>
    <mergeCell ref="BJ3:BL3"/>
    <mergeCell ref="F1:H1"/>
    <mergeCell ref="I1:O1"/>
    <mergeCell ref="BC1:BO1"/>
    <mergeCell ref="F3:H3"/>
    <mergeCell ref="I3:K3"/>
    <mergeCell ref="L3:N3"/>
    <mergeCell ref="P3:R3"/>
    <mergeCell ref="S3:U3"/>
    <mergeCell ref="V3:X3"/>
    <mergeCell ref="Y3:AA3"/>
    <mergeCell ref="AB3:AD3"/>
    <mergeCell ref="BS1:BX1"/>
    <mergeCell ref="BY1:CD1"/>
    <mergeCell ref="C3:E3"/>
    <mergeCell ref="CQ1:CY1"/>
    <mergeCell ref="CZ1:DB1"/>
    <mergeCell ref="P1:R1"/>
    <mergeCell ref="S1:U1"/>
    <mergeCell ref="V1:X1"/>
    <mergeCell ref="Y1:AJ1"/>
    <mergeCell ref="AK1:AM1"/>
    <mergeCell ref="AN1:AP1"/>
    <mergeCell ref="AQ1:AY1"/>
    <mergeCell ref="AZ1:BB1"/>
    <mergeCell ref="BP1:BR1"/>
    <mergeCell ref="CE1:CJ1"/>
    <mergeCell ref="CK1:CP1"/>
  </mergeCells>
  <pageMargins left="0.7" right="0.7" top="0.75" bottom="0.75" header="0.3" footer="0.3"/>
  <colBreaks count="5" manualBreakCount="5">
    <brk id="15" max="1048575" man="1"/>
    <brk id="30" max="1048575" man="1"/>
    <brk id="47" max="1048575" man="1"/>
    <brk id="64" max="1048575" man="1"/>
    <brk id="8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Листы</vt:lpstr>
      </vt:variant>
      <vt:variant>
        <vt:i4>10</vt:i4>
      </vt:variant>
      <vt:variant>
        <vt:lpstr>Диаграммы</vt:lpstr>
      </vt:variant>
      <vt:variant>
        <vt:i4>1</vt:i4>
      </vt:variant>
      <vt:variant>
        <vt:lpstr>Именованные диапазоны</vt:lpstr>
      </vt:variant>
      <vt:variant>
        <vt:i4>7</vt:i4>
      </vt:variant>
    </vt:vector>
  </HeadingPairs>
  <TitlesOfParts>
    <vt:vector size="18" baseType="lpstr">
      <vt:lpstr>Лист контроля  </vt:lpstr>
      <vt:lpstr>Доп.анализы</vt:lpstr>
      <vt:lpstr>Анализ возд.среды </vt:lpstr>
      <vt:lpstr>Декадные анализы</vt:lpstr>
      <vt:lpstr>Анализы на период ОКР</vt:lpstr>
      <vt:lpstr>ПАК </vt:lpstr>
      <vt:lpstr>Техкарта </vt:lpstr>
      <vt:lpstr>Авт.контроль</vt:lpstr>
      <vt:lpstr>Обозначения и сокращения</vt:lpstr>
      <vt:lpstr>Качеств.показатели</vt:lpstr>
      <vt:lpstr>Диаграмма1</vt:lpstr>
      <vt:lpstr>'ПАК '!_GoBack</vt:lpstr>
      <vt:lpstr>Авт.контроль!Область_печати</vt:lpstr>
      <vt:lpstr>'Анализы на период ОКР'!Область_печати</vt:lpstr>
      <vt:lpstr>'Лист контроля  '!Область_печати</vt:lpstr>
      <vt:lpstr>'Обозначения и сокращения'!Область_печати</vt:lpstr>
      <vt:lpstr>'ПАК '!Область_печати</vt:lpstr>
      <vt:lpstr>'Техкарта 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Тришина Татьяна Владимировна</dc:creator>
  <cp:lastModifiedBy>Захарова Александра Ивановна</cp:lastModifiedBy>
  <cp:lastPrinted>2026-03-05T02:45:00Z</cp:lastPrinted>
  <dcterms:created xsi:type="dcterms:W3CDTF">2006-12-18T08:28:10Z</dcterms:created>
  <dcterms:modified xsi:type="dcterms:W3CDTF">2026-03-05T08:49:16Z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