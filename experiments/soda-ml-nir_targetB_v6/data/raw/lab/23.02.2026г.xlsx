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DT190" i="2" l="1"/>
  <c r="DS190" i="2"/>
  <c r="DR190" i="2"/>
  <c r="DQ190" i="2"/>
  <c r="DP190" i="2"/>
  <c r="DO190" i="2"/>
  <c r="DN190" i="2"/>
  <c r="DM190" i="2"/>
  <c r="DL190" i="2"/>
  <c r="DK190" i="2"/>
  <c r="DJ190" i="2"/>
  <c r="DI190" i="2"/>
  <c r="DH190" i="2"/>
  <c r="DG190" i="2"/>
  <c r="DF190" i="2"/>
  <c r="DE190" i="2"/>
  <c r="DD190" i="2"/>
  <c r="DC190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DT189" i="2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BE59" i="2" l="1"/>
  <c r="BE58" i="2"/>
  <c r="AU46" i="2"/>
  <c r="BJ21" i="2"/>
  <c r="BF21" i="2"/>
  <c r="BB21" i="2"/>
  <c r="AU40" i="2" l="1"/>
  <c r="BJ9" i="2" l="1"/>
  <c r="BF9" i="2"/>
  <c r="BB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F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D61" i="2" s="1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BF5" i="15" l="1"/>
  <c r="BE5" i="15"/>
  <c r="BF4" i="15"/>
  <c r="BE4" i="15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BM57" i="2"/>
  <c r="BN61" i="2" s="1"/>
  <c r="BC5" i="15"/>
  <c r="AE57" i="2"/>
  <c r="AF61" i="2" s="1"/>
  <c r="BC4" i="15"/>
  <c r="D48" i="2"/>
  <c r="AY214" i="2" s="1"/>
  <c r="D47" i="2"/>
  <c r="AL48" i="2"/>
  <c r="AY215" i="2" s="1"/>
  <c r="BM59" i="2"/>
  <c r="BN60" i="2"/>
  <c r="AD59" i="2"/>
  <c r="AE59" i="2" s="1"/>
  <c r="AL47" i="2"/>
  <c r="BS74" i="2"/>
  <c r="BR74" i="2" s="1"/>
  <c r="BR79" i="2" s="1"/>
  <c r="BT79" i="2" s="1"/>
  <c r="BN59" i="2"/>
  <c r="CK5" i="15" s="1"/>
  <c r="BT78" i="2" l="1"/>
  <c r="AZ214" i="2"/>
  <c r="CY40" i="2"/>
  <c r="BY4" i="15"/>
  <c r="CA4" i="15"/>
  <c r="DA40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E158" i="2"/>
  <c r="BG157" i="2"/>
  <c r="BF157" i="2"/>
  <c r="BG156" i="2"/>
  <c r="BF156" i="2"/>
  <c r="BE156" i="2"/>
  <c r="BE157" i="2"/>
  <c r="BC139" i="2"/>
  <c r="BN152" i="2" l="1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AT157" i="2"/>
  <c r="AS157" i="2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E157" i="2"/>
  <c r="D157" i="2"/>
  <c r="B157" i="2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BJ139" i="2" l="1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BB156" i="2" l="1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B163" i="2"/>
  <c r="BA163" i="2"/>
  <c r="AZ163" i="2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AW162" i="2"/>
  <c r="AV162" i="2"/>
  <c r="AU162" i="2"/>
  <c r="AT162" i="2"/>
  <c r="AP162" i="2"/>
  <c r="AN162" i="2"/>
  <c r="AM162" i="2"/>
  <c r="AL162" i="2"/>
  <c r="AK162" i="2"/>
  <c r="AI162" i="2"/>
  <c r="AH162" i="2"/>
  <c r="AG162" i="2"/>
  <c r="AF162" i="2"/>
  <c r="AD162" i="2"/>
  <c r="AC162" i="2"/>
  <c r="AB162" i="2"/>
  <c r="AA162" i="2"/>
  <c r="Y162" i="2"/>
  <c r="X162" i="2"/>
  <c r="W162" i="2"/>
  <c r="V162" i="2"/>
  <c r="T162" i="2"/>
  <c r="S162" i="2"/>
  <c r="R162" i="2"/>
  <c r="Q162" i="2"/>
  <c r="O162" i="2"/>
  <c r="N162" i="2"/>
  <c r="M162" i="2"/>
  <c r="L162" i="2"/>
  <c r="J162" i="2"/>
  <c r="I162" i="2"/>
  <c r="H162" i="2"/>
  <c r="F162" i="2"/>
  <c r="E162" i="2"/>
  <c r="AW156" i="2"/>
  <c r="N167" i="2" l="1"/>
  <c r="N168" i="2"/>
  <c r="M167" i="2"/>
  <c r="P167" i="2"/>
  <c r="R150" i="2"/>
  <c r="L167" i="2" l="1"/>
  <c r="L168" i="2"/>
  <c r="AX157" i="2"/>
  <c r="AW157" i="2"/>
  <c r="AY157" i="2"/>
  <c r="AX156" i="2"/>
  <c r="H151" i="2" l="1"/>
  <c r="H150" i="2"/>
  <c r="O168" i="2"/>
  <c r="P168" i="2"/>
  <c r="M168" i="2"/>
  <c r="O167" i="2"/>
  <c r="Q168" i="2"/>
  <c r="Q167" i="2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AV156" i="2" l="1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Y150" i="2"/>
  <c r="G150" i="2"/>
  <c r="C150" i="2" l="1"/>
  <c r="S167" i="2"/>
  <c r="T167" i="2"/>
  <c r="T168" i="2"/>
  <c r="U167" i="2"/>
  <c r="U168" i="2"/>
  <c r="AD156" i="2"/>
  <c r="M196" i="2"/>
  <c r="R167" i="2" l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150" i="2" l="1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E150" i="2" l="1"/>
  <c r="B151" i="2"/>
  <c r="AD194" i="2"/>
  <c r="AV157" i="2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J151" i="2"/>
  <c r="BI196" i="2"/>
  <c r="U150" i="2" l="1"/>
  <c r="U152" i="2"/>
  <c r="S150" i="2"/>
  <c r="K162" i="2"/>
  <c r="P162" i="2"/>
  <c r="AH196" i="2"/>
  <c r="AJ150" i="2" l="1"/>
  <c r="AJ152" i="2"/>
  <c r="AH150" i="2"/>
  <c r="BN156" i="2"/>
  <c r="B195" i="2" l="1"/>
  <c r="B194" i="2"/>
  <c r="G157" i="2" l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AN151" i="2"/>
  <c r="BE163" i="2" l="1"/>
  <c r="BD163" i="2"/>
  <c r="AK156" i="2"/>
  <c r="AL156" i="2"/>
  <c r="AM156" i="2" l="1"/>
  <c r="K156" i="2"/>
  <c r="G194" i="2"/>
  <c r="I151" i="2"/>
  <c r="K151" i="2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M157" i="2"/>
  <c r="K157" i="2"/>
  <c r="J157" i="2"/>
  <c r="I157" i="2"/>
  <c r="AD150" i="2"/>
  <c r="T151" i="2" l="1"/>
  <c r="T152" i="2"/>
  <c r="S151" i="2"/>
  <c r="L158" i="2"/>
  <c r="S152" i="2"/>
  <c r="R157" i="2"/>
  <c r="R158" i="2"/>
  <c r="U163" i="2"/>
  <c r="G168" i="2"/>
  <c r="P163" i="2"/>
  <c r="H168" i="2"/>
  <c r="BJ162" i="2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<sst xmlns="http://schemas.openxmlformats.org/spreadsheetml/2006/main" count="4311" uniqueCount="1743">
  <si>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</si>
  <si>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</si>
  <si>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</si>
  <si>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</si>
  <si>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</si>
  <si>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</si>
  <si>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</si>
  <si>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</si>
  <si>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</si>
  <si>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</si>
  <si>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</si>
  <si>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</si>
  <si>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</si>
  <si>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</si>
  <si>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</si>
  <si>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</si>
  <si>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</si>
  <si>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</si>
  <si>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</si>
  <si>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</si>
  <si>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</si>
  <si>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</si>
  <si>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</si>
  <si>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</si>
  <si>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</si>
  <si>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</si>
  <si>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</si>
  <si>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</si>
  <si>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</si>
  <si>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</si>
  <si>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</si>
  <si>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</si>
  <si>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</si>
  <si>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</si>
  <si>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</si>
  <si>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</si>
  <si>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</si>
  <si>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</si>
  <si>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</si>
  <si>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</si>
  <si>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</si>
  <si>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</si>
  <si>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</si>
  <si>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</si>
  <si>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</si>
  <si>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</si>
  <si>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</si>
  <si>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</si>
  <si>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</si>
  <si>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</si>
  <si>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</si>
  <si>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</si>
  <si>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</si>
  <si>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</si>
  <si>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</si>
  <si>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</si>
  <si>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</si>
  <si>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</si>
  <si>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</si>
  <si>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</si>
  <si>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</si>
  <si>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</si>
  <si>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</si>
  <si>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</si>
  <si>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</si>
  <si>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</si>
  <si>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</si>
  <si>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</si>
  <si>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</si>
  <si>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</si>
  <si>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</si>
  <si>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</si>
  <si>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</si>
  <si>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</si>
  <si>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</si>
  <si>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</si>
  <si>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</si>
  <si>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</si>
  <si>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</si>
  <si>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</si>
  <si>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</si>
  <si>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</si>
  <si>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</si>
  <si>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</si>
  <si>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</si>
  <si>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</si>
  <si>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</si>
  <si>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</si>
  <si>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</si>
  <si>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</si>
  <si>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</si>
  <si>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</si>
  <si>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</si>
  <si>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</si>
  <si>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</si>
  <si>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</si>
  <si>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</si>
  <si>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</si>
  <si>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</si>
  <si>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</si>
  <si>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</si>
  <si>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</si>
  <si>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</si>
  <si>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</si>
  <si>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</si>
  <si>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</si>
  <si>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</si>
  <si>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</si>
  <si>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</si>
  <si>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</si>
  <si>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</si>
  <si>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</si>
  <si>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</si>
  <si>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</si>
  <si>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</si>
  <si>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</si>
  <si>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</si>
  <si>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</si>
  <si>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</si>
  <si>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</si>
  <si>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</si>
  <si>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</si>
  <si>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</si>
  <si>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</si>
  <si>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</si>
  <si>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</si>
  <si>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</si>
  <si>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</si>
  <si>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</si>
  <si>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</si>
  <si>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</si>
  <si>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</si>
  <si>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</si>
  <si>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</si>
  <si>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</si>
  <si>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</si>
  <si>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</si>
  <si>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</si>
  <si>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</si>
  <si>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</si>
  <si>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</si>
  <si>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</si>
  <si>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</si>
  <si>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</si>
  <si>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</si>
  <si>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</si>
  <si>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</si>
  <si>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</si>
  <si>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</si>
  <si>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</si>
  <si>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</si>
  <si>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</si>
  <si>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</si>
  <si>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</si>
  <si>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</si>
  <si>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</si>
  <si>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</si>
  <si>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</si>
  <si>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</si>
  <si>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</si>
  <si>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</si>
  <si>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</si>
  <si>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</si>
  <si>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</si>
  <si>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</si>
  <si>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</si>
  <si>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</si>
  <si>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</si>
  <si>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</si>
  <si>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</si>
  <si>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</si>
  <si>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</si>
  <si>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</si>
  <si>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</si>
  <si>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</si>
  <si>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</si>
  <si>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</si>
  <si>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</si>
  <si>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</si>
  <si>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</si>
  <si>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</si>
  <si>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</si>
  <si>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</si>
  <si>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</si>
  <si>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</si>
  <si>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</si>
  <si>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</si>
  <si>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</si>
  <si>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</si>
  <si>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</si>
  <si>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</si>
  <si>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</si>
  <si>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</si>
  <si>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</si>
  <si>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</si>
  <si>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</si>
  <si>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</si>
  <si>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</si>
  <si>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</si>
  <si>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</si>
  <si>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</si>
  <si>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</si>
  <si>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</si>
  <si>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</si>
  <si>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</si>
  <si>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</si>
  <si>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</si>
  <si>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</si>
  <si>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</si>
  <si>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</si>
  <si>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</si>
  <si>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</si>
  <si>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</si>
  <si>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</si>
  <si>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</si>
  <si>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</si>
  <si>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</si>
  <si>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</si>
  <si>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</si>
  <si>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</si>
  <si>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</si>
  <si>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</si>
  <si>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</si>
  <si>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</si>
  <si>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</si>
  <si>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</si>
  <si>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</si>
  <si>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</si>
  <si>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</si>
  <si>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</si>
  <si>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</si>
  <si>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</si>
  <si>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</si>
  <si>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</si>
  <si>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</si>
  <si>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</si>
  <si>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</si>
  <si>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</si>
  <si>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</si>
  <si>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</si>
  <si>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</si>
  <si>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</si>
  <si>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</si>
  <si>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</si>
  <si>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</si>
  <si>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</si>
  <si>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</si>
  <si>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</si>
  <si>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</si>
  <si>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</si>
  <si>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</si>
  <si>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</si>
  <si>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</si>
  <si>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</si>
  <si>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</si>
  <si>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</si>
  <si>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</si>
  <si>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</si>
  <si>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</si>
  <si>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</si>
  <si>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</si>
  <si>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</si>
  <si>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</si>
  <si>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</si>
  <si>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</si>
  <si>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</si>
  <si>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</si>
  <si>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</si>
  <si>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</si>
  <si>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</si>
  <si>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</si>
  <si>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</si>
  <si>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</si>
  <si>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</si>
  <si>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</si>
  <si>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</si>
  <si>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</si>
  <si>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</si>
  <si>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</si>
  <si>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</si>
  <si>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</si>
  <si>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</si>
  <si>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</si>
  <si>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</si>
  <si>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</si>
  <si>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</si>
  <si>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</si>
  <si>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</si>
  <si>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</si>
  <si>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</si>
  <si>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</si>
  <si>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</si>
  <si>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</si>
  <si>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</si>
  <si>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</si>
  <si>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</si>
  <si>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</si>
  <si>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</si>
  <si>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</si>
  <si>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</si>
  <si>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</si>
  <si>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</si>
  <si>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</si>
  <si>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</si>
  <si>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</si>
  <si>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</si>
  <si>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</si>
  <si>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</si>
  <si>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</si>
  <si>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</si>
  <si>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</si>
  <si>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</si>
  <si>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</si>
  <si>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</si>
  <si>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</si>
  <si>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</si>
  <si>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</si>
  <si>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</si>
  <si>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</si>
  <si>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</si>
  <si>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</si>
  <si>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</si>
  <si>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</si>
  <si>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</si>
  <si>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</si>
  <si>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</si>
  <si>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</si>
  <si>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</si>
  <si>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</si>
  <si>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</si>
  <si>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</si>
  <si>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</si>
  <si>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</si>
  <si>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</si>
  <si>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</si>
  <si>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</si>
  <si>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</si>
  <si>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</si>
  <si>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</si>
  <si>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</si>
  <si>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</si>
  <si>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</si>
  <si>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</si>
  <si>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</si>
  <si>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</si>
  <si>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</si>
  <si>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</si>
  <si>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</si>
  <si>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</si>
  <si>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</si>
  <si>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</si>
  <si>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</si>
  <si>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</si>
  <si>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</si>
  <si>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</si>
  <si>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</si>
  <si>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</si>
  <si>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</si>
  <si>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</si>
  <si>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</si>
  <si>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</si>
  <si>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</si>
  <si>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</si>
  <si>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</si>
  <si>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</si>
  <si>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</si>
  <si>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</si>
  <si>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</si>
  <si>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</si>
  <si>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</si>
  <si>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</si>
  <si>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</si>
  <si>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</si>
  <si>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</si>
  <si>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</si>
  <si>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</si>
  <si>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</si>
  <si>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</si>
  <si>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</si>
  <si>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</si>
  <si>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</si>
  <si>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</si>
  <si>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</si>
  <si>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</si>
  <si>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</si>
  <si>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</si>
  <si>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</si>
  <si>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</si>
  <si>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</si>
  <si>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</si>
  <si>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</si>
  <si>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</si>
  <si>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</si>
  <si>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</si>
  <si>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</si>
  <si>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</si>
  <si>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</si>
  <si>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</si>
  <si>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</si>
  <si>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</si>
  <si>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</si>
  <si>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</si>
  <si>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</si>
  <si>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</si>
  <si>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</si>
  <si>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</si>
  <si>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</si>
  <si>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</si>
  <si>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</si>
  <si>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</si>
  <si>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</si>
  <si>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</si>
  <si>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</si>
  <si>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</si>
  <si>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</si>
  <si>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</si>
  <si>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</si>
  <si>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</si>
  <si>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</si>
  <si>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</si>
  <si>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</si>
  <si>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</si>
  <si>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</si>
  <si>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</si>
  <si>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</si>
  <si>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</si>
  <si>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</si>
  <si>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</si>
  <si>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</si>
  <si>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</si>
  <si>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</si>
  <si>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</si>
  <si>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</si>
  <si>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</si>
  <si>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</si>
  <si>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</si>
  <si>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</si>
  <si>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</si>
  <si>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</si>
  <si>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</si>
  <si>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</si>
  <si>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</si>
  <si>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</si>
  <si>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</si>
  <si>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</si>
  <si>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</si>
  <si>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</si>
  <si>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</si>
  <si>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</si>
  <si>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</si>
  <si>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</si>
  <si>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</si>
  <si>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</si>
  <si>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</si>
  <si>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</si>
  <si>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</si>
  <si>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</si>
  <si>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</si>
  <si>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</si>
  <si>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</si>
  <si>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</si>
  <si>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</si>
  <si>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</si>
  <si>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</si>
  <si>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</si>
  <si>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</si>
  <si>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</si>
  <si>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</si>
  <si>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</si>
  <si>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</si>
  <si>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</si>
  <si>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</si>
  <si>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</si>
  <si>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</si>
  <si>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</si>
  <si>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</si>
  <si>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</si>
  <si>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</si>
  <si>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</si>
  <si>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</si>
  <si>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</si>
  <si>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</si>
  <si>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</si>
  <si>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</si>
  <si>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</si>
  <si>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</si>
  <si>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</si>
  <si>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</si>
  <si>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</si>
  <si>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</si>
  <si>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</si>
  <si>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</si>
  <si>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</si>
  <si>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</si>
  <si>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</si>
  <si>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</si>
  <si>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</si>
  <si>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</si>
  <si>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</si>
  <si>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</si>
  <si>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</si>
  <si>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</si>
  <si>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</si>
  <si>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</si>
  <si>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</si>
  <si>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</si>
  <si>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</si>
  <si>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</si>
  <si>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</si>
  <si>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</si>
  <si>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</si>
  <si>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</si>
  <si>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</si>
  <si>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</si>
  <si>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</si>
  <si>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</si>
  <si>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</si>
  <si>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</si>
  <si>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</si>
  <si>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</si>
  <si>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</si>
  <si>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</si>
  <si>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</si>
  <si>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</si>
  <si>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</si>
  <si>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</si>
  <si>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</si>
  <si>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</si>
  <si>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</si>
  <si>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</si>
  <si>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</si>
  <si>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</si>
  <si>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</si>
  <si>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</si>
  <si>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</si>
  <si>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</si>
  <si>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</si>
  <si>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</si>
  <si>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</si>
  <si>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</si>
  <si>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</si>
  <si>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</si>
  <si>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</si>
  <si>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</si>
  <si>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</si>
  <si>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</si>
  <si>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</si>
  <si>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</si>
  <si>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</si>
  <si>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</si>
  <si>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</si>
  <si>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</si>
  <si>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</si>
  <si>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</si>
  <si>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</si>
  <si>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</si>
  <si>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</si>
  <si>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</si>
  <si>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</si>
  <si>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</si>
  <si>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</si>
  <si>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</si>
  <si>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</si>
  <si>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</si>
  <si>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</si>
  <si>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</si>
  <si>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</si>
  <si>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</si>
  <si>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</si>
  <si>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</si>
  <si>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</si>
  <si>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</si>
  <si>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</si>
  <si>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</si>
  <si>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</si>
  <si>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</si>
  <si>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</si>
  <si>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</si>
  <si>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</si>
  <si>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</si>
  <si>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</si>
  <si>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</si>
  <si>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</si>
  <si>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</si>
  <si>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</si>
  <si>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</si>
  <si>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</si>
  <si>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</si>
  <si>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</si>
  <si>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</si>
  <si>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</si>
  <si>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</si>
  <si>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</si>
  <si>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</si>
  <si>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</si>
  <si>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</si>
  <si>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</si>
  <si>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</si>
  <si>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</si>
  <si>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</si>
  <si>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</si>
  <si>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</si>
  <si>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</si>
  <si>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</si>
  <si>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</si>
  <si>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</si>
  <si>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</si>
  <si>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</si>
  <si>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</si>
  <si>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</si>
  <si>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</si>
  <si>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</si>
  <si>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</si>
  <si>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</si>
  <si>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</si>
  <si>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</si>
  <si>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</si>
  <si>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</si>
  <si>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</si>
  <si>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</si>
  <si>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</si>
  <si>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</si>
  <si>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</si>
  <si>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</si>
  <si>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</si>
  <si>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</si>
  <si>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</si>
  <si>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</si>
  <si>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</si>
  <si>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</si>
  <si>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</si>
  <si>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</si>
  <si>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</si>
  <si>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</si>
  <si>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</si>
  <si>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</si>
  <si>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</si>
  <si>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</si>
  <si>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</si>
  <si>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</si>
  <si>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</si>
  <si>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</si>
  <si>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</si>
  <si>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</si>
  <si>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</si>
  <si>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</si>
  <si>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</si>
  <si>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</si>
  <si>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</si>
  <si>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</si>
  <si>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</si>
  <si>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</si>
  <si>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</si>
  <si>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</si>
  <si>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</si>
  <si>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</si>
  <si>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</si>
  <si>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</si>
  <si>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</si>
  <si>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</si>
  <si>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</si>
  <si>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</si>
  <si>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</si>
  <si>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</si>
  <si>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</si>
  <si>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</si>
  <si>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</si>
  <si>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</si>
  <si>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</si>
  <si>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</si>
  <si>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</si>
  <si>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</si>
  <si>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</si>
  <si>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</si>
  <si>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</si>
  <si>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</si>
  <si>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</si>
  <si>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</si>
  <si>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</si>
  <si>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</si>
  <si>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</si>
  <si>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</si>
  <si>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</si>
  <si>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</si>
  <si>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</si>
  <si>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</si>
  <si>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</si>
  <si>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</si>
  <si>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</si>
  <si>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</si>
  <si>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</si>
  <si>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</si>
  <si>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</si>
  <si>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</si>
  <si>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</si>
  <si>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</si>
  <si>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</si>
  <si>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</si>
  <si>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</si>
  <si>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</si>
  <si>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</si>
  <si>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</si>
  <si>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</si>
  <si>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</si>
  <si>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</si>
  <si>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</si>
  <si>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</si>
  <si>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</si>
  <si>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</si>
  <si>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</si>
  <si>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</si>
  <si>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</si>
  <si>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</si>
  <si>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</si>
  <si>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</si>
  <si>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</si>
  <si>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</si>
  <si>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</si>
  <si>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</si>
  <si>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</si>
  <si>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</si>
  <si>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</si>
  <si>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</si>
  <si>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</si>
  <si>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</si>
  <si>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</si>
  <si>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</si>
  <si>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</si>
  <si>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</si>
  <si>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</si>
  <si>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</si>
  <si>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</si>
  <si>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</si>
  <si>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</si>
  <si>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</si>
  <si>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</si>
  <si>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</si>
  <si>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</si>
  <si>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</si>
  <si>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</si>
  <si>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</si>
  <si>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</si>
  <si>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</si>
  <si>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</si>
  <si>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</si>
  <si>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</si>
  <si>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</si>
  <si>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</si>
  <si>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</si>
  <si>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</si>
  <si>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</si>
  <si>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</si>
  <si>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</si>
  <si>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</si>
  <si>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</si>
  <si>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</si>
  <si>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</si>
  <si>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</si>
  <si>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</si>
  <si>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</si>
  <si>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</si>
  <si>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</si>
  <si>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</si>
  <si>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</si>
  <si>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</si>
  <si>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</si>
  <si>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</si>
  <si>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</si>
  <si>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</si>
  <si>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</si>
  <si>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</si>
  <si>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</si>
  <si>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</si>
  <si>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</si>
  <si>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</si>
  <si>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</si>
  <si>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</si>
  <si>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</si>
  <si>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</si>
  <si>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</si>
  <si>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</si>
  <si>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</si>
  <si>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</si>
  <si>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</si>
  <si>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</si>
  <si>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</si>
  <si>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</si>
  <si>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</si>
  <si>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</si>
  <si>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</si>
  <si>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</si>
  <si>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</si>
  <si>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</si>
  <si>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</si>
  <si>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</si>
  <si>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</si>
  <si>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</si>
  <si>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</si>
  <si>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</si>
  <si>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</si>
  <si>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</si>
  <si>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</si>
  <si>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</si>
  <si>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</si>
  <si>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</si>
  <si>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</si>
  <si>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</si>
  <si>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</si>
  <si>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</si>
  <si>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</si>
  <si>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</si>
  <si>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</si>
  <si>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</si>
  <si>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</si>
  <si>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</si>
  <si>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</si>
  <si>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</si>
  <si>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</si>
  <si>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</si>
  <si>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</si>
  <si>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</si>
  <si>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</si>
  <si>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</si>
  <si>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</si>
  <si>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</si>
  <si>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</si>
  <si>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</si>
  <si>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</si>
  <si>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</si>
  <si>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</si>
  <si>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</si>
  <si>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</si>
  <si>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</si>
  <si>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</si>
  <si>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</si>
  <si>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</si>
  <si>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</si>
  <si>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</si>
  <si>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</si>
  <si>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</si>
  <si>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</si>
  <si>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</si>
  <si>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</si>
  <si>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</si>
  <si>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</si>
  <si>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</si>
  <si>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</si>
  <si>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</si>
  <si>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</si>
  <si>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</si>
  <si>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</si>
  <si>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</si>
  <si>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</si>
  <si>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</si>
  <si>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</si>
  <si>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</si>
  <si>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</si>
  <si>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</si>
  <si>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</si>
  <si>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</si>
  <si>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</si>
  <si>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</si>
  <si>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</si>
  <si>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</si>
  <si>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</si>
  <si>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</si>
  <si>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</si>
  <si>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</si>
  <si>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</si>
  <si>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</si>
  <si>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</si>
  <si>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</si>
  <si>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</si>
  <si>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</si>
  <si>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</si>
  <si>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</si>
  <si>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</si>
  <si>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</si>
  <si>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</si>
  <si>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</si>
  <si>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</si>
  <si>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</si>
  <si>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</si>
  <si>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</si>
  <si>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</si>
  <si>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</si>
  <si>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</si>
  <si>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</si>
  <si>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</si>
  <si>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</si>
  <si>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</si>
  <si>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</si>
  <si>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</si>
  <si>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</si>
  <si>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</si>
  <si>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</si>
  <si>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</si>
  <si>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</si>
  <si>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</si>
  <si>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</si>
  <si>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</si>
  <si>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</si>
  <si>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</si>
  <si>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</si>
  <si>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</si>
  <si>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</si>
  <si>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</si>
  <si>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</si>
  <si>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</si>
  <si>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</si>
  <si>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</si>
  <si>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</si>
  <si>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</si>
  <si>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</si>
  <si>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</si>
  <si>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</si>
  <si>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</si>
  <si>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</si>
  <si>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</si>
  <si>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</si>
  <si>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</si>
  <si>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</si>
  <si>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</si>
  <si>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</si>
  <si>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</si>
  <si>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</si>
  <si>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</si>
  <si>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</si>
  <si>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</si>
  <si>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</si>
  <si>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</si>
  <si>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</si>
  <si>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</si>
  <si>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</si>
  <si>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</si>
  <si>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</si>
  <si>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</si>
  <si>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</si>
  <si>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</si>
  <si>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</si>
  <si>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</si>
  <si>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</si>
  <si>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</si>
  <si>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</si>
  <si>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</si>
  <si>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</si>
  <si>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</si>
  <si>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</si>
  <si>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</si>
  <si>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</si>
  <si>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</si>
  <si>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</si>
  <si>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</si>
  <si>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</si>
  <si>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</si>
  <si>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</si>
  <si>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</si>
  <si>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</si>
  <si>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</si>
  <si>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</si>
  <si>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</si>
  <si>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</si>
  <si>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</si>
  <si>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</si>
  <si>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</si>
  <si>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</si>
  <si>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</si>
  <si>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</si>
  <si>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</si>
  <si>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</si>
  <si>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</si>
  <si>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</si>
  <si>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</si>
  <si>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</si>
  <si>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</si>
  <si>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</si>
  <si>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</si>
  <si>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</si>
  <si>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</si>
  <si>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</si>
  <si>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</si>
  <si>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</si>
  <si>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</si>
  <si>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</si>
  <si>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</si>
  <si>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</si>
  <si>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</si>
  <si>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</si>
  <si>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</si>
  <si>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</si>
  <si>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</si>
  <si>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</si>
  <si>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</si>
  <si>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</si>
  <si>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</si>
  <si>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</si>
  <si>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</si>
  <si>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</si>
  <si>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</si>
  <si>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</si>
  <si>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</si>
  <si>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</si>
  <si>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</si>
  <si>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</si>
  <si>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</si>
  <si>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</si>
  <si>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</si>
  <si>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</si>
  <si>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</si>
  <si>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</si>
  <si>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</si>
  <si>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</si>
  <si>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</si>
  <si>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</si>
  <si>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</si>
  <si>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</si>
  <si>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</si>
  <si>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</si>
  <si>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</si>
  <si>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</si>
  <si>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</si>
  <si>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</si>
  <si>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</si>
  <si>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</si>
  <si>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</si>
  <si>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</si>
  <si>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</si>
  <si>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</si>
  <si>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</si>
  <si>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</si>
  <si>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</si>
  <si>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</si>
  <si>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</si>
  <si>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</si>
  <si>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</si>
  <si>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</si>
  <si>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</si>
  <si>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</si>
  <si>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</si>
  <si>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</si>
  <si>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</si>
  <si>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</si>
  <si>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</si>
  <si>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</si>
  <si>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</si>
  <si>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</si>
  <si>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</si>
  <si>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</si>
  <si>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</si>
  <si>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</si>
  <si>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</si>
  <si>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</si>
  <si>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</si>
  <si>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</si>
  <si>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</si>
  <si>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</si>
  <si>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</si>
  <si>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</si>
  <si>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</si>
  <si>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</si>
  <si>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</si>
  <si>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</si>
  <si>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</si>
  <si>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</si>
  <si>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</si>
  <si>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</si>
  <si>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</si>
  <si>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</si>
  <si>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</si>
  <si>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</si>
  <si>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</si>
  <si>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</si>
  <si>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</si>
  <si>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</si>
  <si>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</si>
  <si>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</si>
  <si>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</si>
  <si>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</si>
  <si>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</si>
  <si>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</si>
  <si>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</si>
  <si>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</si>
  <si>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</si>
  <si>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</si>
  <si>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</si>
  <si>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</si>
  <si>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</si>
  <si>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</si>
  <si>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</si>
  <si>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</si>
  <si>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</si>
  <si>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</si>
  <si>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</si>
  <si>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</si>
  <si>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</si>
  <si>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</si>
  <si>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</si>
  <si>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</si>
  <si>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</si>
  <si>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</si>
  <si>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</si>
  <si>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</si>
  <si>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</si>
  <si>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</si>
  <si>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</si>
  <si>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</si>
  <si>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</si>
  <si>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</si>
  <si>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</si>
  <si>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</si>
  <si>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</si>
  <si>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</si>
  <si>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</si>
  <si>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</si>
  <si>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</si>
  <si>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</si>
  <si>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</si>
  <si>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</si>
  <si>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</si>
  <si>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</si>
  <si>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</si>
  <si>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</si>
  <si>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</si>
  <si>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</si>
  <si>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</si>
  <si>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</si>
  <si>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</si>
  <si>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</si>
  <si>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</si>
  <si>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</si>
  <si>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</si>
  <si>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</si>
  <si>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</si>
  <si>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</si>
  <si>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</si>
  <si>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</si>
  <si>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</si>
  <si>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</si>
  <si>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</si>
  <si>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</si>
  <si>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</si>
  <si>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</si>
  <si>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</si>
  <si>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</si>
  <si>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</si>
  <si>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</si>
  <si>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</si>
  <si>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</si>
  <si>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</si>
  <si>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</si>
  <si>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</si>
  <si>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</si>
  <si>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</si>
  <si>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</si>
  <si>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</si>
  <si>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</si>
  <si>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</si>
  <si>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</si>
  <si>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</si>
  <si>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</si>
  <si>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</si>
  <si>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</si>
  <si>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</si>
  <si>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</si>
  <si>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</si>
  <si>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</si>
  <si>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</si>
  <si>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</si>
  <si>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</si>
  <si>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</si>
  <si>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</si>
  <si>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</si>
  <si>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</si>
  <si>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</si>
  <si>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</si>
  <si>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</si>
  <si>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</si>
  <si>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</si>
  <si>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</si>
  <si>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</si>
  <si>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</si>
  <si>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</si>
  <si>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</si>
  <si>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</si>
  <si>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</si>
  <si>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</si>
  <si>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</si>
  <si>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</si>
  <si>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</si>
  <si>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</si>
  <si>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</si>
  <si>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</si>
  <si>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</si>
  <si>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</si>
  <si>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</si>
  <si>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</si>
  <si>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</si>
  <si>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</si>
  <si>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</si>
  <si>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</si>
  <si>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</si>
  <si>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</si>
  <si>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</si>
  <si>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</si>
  <si>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</si>
  <si>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</si>
  <si>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</si>
  <si>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</si>
  <si>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</si>
  <si>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</si>
  <si>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</si>
  <si>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</si>
  <si>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</si>
  <si>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</si>
  <si>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</si>
  <si>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</si>
  <si>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</si>
  <si>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</si>
  <si>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</si>
  <si>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</si>
  <si>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</si>
  <si>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</si>
  <si>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</si>
  <si>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</si>
  <si>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</si>
  <si>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</si>
  <si>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</si>
  <si>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</si>
  <si>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</si>
  <si>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</si>
  <si>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</si>
  <si>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</si>
  <si>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</si>
  <si>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</si>
  <si>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</si>
  <si>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</si>
  <si>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</si>
  <si>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</si>
  <si>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</si>
  <si>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</si>
  <si>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</si>
  <si>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</si>
  <si>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</si>
  <si>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</si>
  <si>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</si>
  <si>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</si>
  <si>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</si>
  <si>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</si>
  <si>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</si>
  <si>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</si>
  <si>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</si>
  <si>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</si>
  <si>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</si>
  <si>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</si>
  <si>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</si>
  <si>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</si>
  <si>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</si>
  <si>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</si>
  <si>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</si>
  <si>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</si>
  <si>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</si>
  <si>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</si>
  <si>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</si>
  <si>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</si>
  <si>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</si>
  <si>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</si>
  <si>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</si>
  <si>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</si>
  <si>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</si>
  <si>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</si>
  <si>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</si>
  <si>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</si>
  <si>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</si>
  <si>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</si>
  <si>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</si>
  <si>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</si>
  <si>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</si>
  <si>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</si>
  <si>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</si>
  <si>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</si>
  <si>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</si>
  <si>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</si>
  <si>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</si>
  <si>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</si>
  <si>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</si>
  <si>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</si>
  <si>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</si>
  <si>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</si>
  <si>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</si>
  <si>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</si>
  <si>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</si>
  <si>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</si>
  <si>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</si>
  <si>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</si>
  <si>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</si>
  <si>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</si>
  <si>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</si>
  <si>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</si>
  <si>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</si>
  <si>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</si>
  <si>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</si>
  <si>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</si>
  <si>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</si>
  <si>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</si>
  <si>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</si>
  <si>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</si>
  <si>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</si>
  <si>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</si>
  <si>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</si>
  <si>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</si>
  <si>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</si>
  <si>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</si>
  <si>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</si>
  <si>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</si>
  <si>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</si>
  <si>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</si>
  <si>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</si>
  <si>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</si>
  <si>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</si>
  <si>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</si>
  <si>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</si>
  <si>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</si>
  <si>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</si>
  <si>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</si>
  <si>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</si>
  <si>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</si>
  <si>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</si>
  <si>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</si>
  <si>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</si>
  <si>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</si>
  <si>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</si>
  <si>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</si>
  <si>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</si>
  <si>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</si>
  <si>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</si>
  <si>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</si>
  <si>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</si>
  <si>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</si>
  <si>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</si>
  <si>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</si>
  <si>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</si>
  <si>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</si>
  <si>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</si>
  <si>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</si>
  <si>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</si>
  <si>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</si>
  <si>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</si>
  <si>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</si>
  <si>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</si>
  <si>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</si>
  <si>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</si>
  <si>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</si>
  <si>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</si>
  <si>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</si>
  <si>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</si>
  <si>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</si>
  <si>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</si>
  <si>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</si>
  <si>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</si>
  <si>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</si>
  <si>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</si>
  <si>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</si>
  <si>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</si>
  <si>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</si>
  <si>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</si>
  <si>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</si>
  <si>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</si>
  <si>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</si>
  <si>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</si>
  <si>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</si>
  <si>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</si>
  <si>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</si>
  <si>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</si>
  <si>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</si>
  <si>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</si>
  <si>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</si>
  <si>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</si>
  <si>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</si>
  <si>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</si>
  <si>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</si>
  <si>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</si>
  <si>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</si>
  <si>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</si>
  <si>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</si>
  <si>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</si>
  <si>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</si>
  <si>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</si>
  <si>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</si>
  <si>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</si>
  <si>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</si>
  <si>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</si>
  <si>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</si>
  <si>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</si>
  <si>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</si>
  <si>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</si>
  <si>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</si>
  <si>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</si>
  <si>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</si>
  <si>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</si>
  <si>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</si>
  <si>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</si>
  <si>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</si>
  <si>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</si>
  <si>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</si>
  <si>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</si>
  <si>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</si>
  <si>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</si>
  <si>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</si>
  <si>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</si>
  <si>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</si>
  <si>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</si>
  <si>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</si>
  <si>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</si>
  <si>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</si>
  <si>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</si>
  <si>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</si>
  <si>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</si>
  <si>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</si>
  <si>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</si>
  <si>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</si>
  <si>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</si>
  <si>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</si>
  <si>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</si>
  <si>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</si>
  <si>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</si>
  <si>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</si>
  <si>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</si>
  <si>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</si>
  <si>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</si>
  <si>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</si>
  <si>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</si>
  <si>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</si>
  <si>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</si>
  <si>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</si>
  <si>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</si>
  <si>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</si>
  <si>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</si>
  <si>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</si>
  <si>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</si>
  <si>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</si>
  <si>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</si>
  <si>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</si>
  <si>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</si>
  <si>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</si>
  <si>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</si>
  <si>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</si>
  <si>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</si>
  <si>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</si>
  <si>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</si>
  <si>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</si>
  <si>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</si>
  <si>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</si>
  <si>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</si>
  <si>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</si>
  <si>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</si>
  <si>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</si>
  <si>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</si>
  <si>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</si>
  <si>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</si>
  <si>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</si>
  <si>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</si>
  <si>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</si>
  <si>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</si>
  <si>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</si>
  <si>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</si>
  <si>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</si>
  <si>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</si>
  <si>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</si>
  <si>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</si>
  <si>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</si>
  <si>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</si>
  <si>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</si>
  <si>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</si>
  <si>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</si>
  <si>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</si>
  <si>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</si>
  <si>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</si>
  <si>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</si>
  <si>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</si>
  <si>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</si>
  <si>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</si>
  <si>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</si>
  <si>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</si>
  <si>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</si>
  <si>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</si>
  <si>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</si>
  <si>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</si>
  <si>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</si>
  <si>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</si>
  <si>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</si>
  <si>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</si>
  <si>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</si>
  <si>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</si>
  <si>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</si>
  <si>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</si>
  <si>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</si>
  <si>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</si>
  <si>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</si>
  <si>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</si>
  <si>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</si>
  <si>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</si>
  <si>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</si>
  <si>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</si>
  <si>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</si>
  <si>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</si>
  <si>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</si>
  <si>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</si>
  <si>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</si>
  <si>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</si>
  <si>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</si>
  <si>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</si>
  <si>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</si>
  <si>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</si>
  <si>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</si>
  <si>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</si>
  <si>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</si>
  <si>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</si>
  <si>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</si>
  <si>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</si>
  <si>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</si>
  <si>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</si>
  <si>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</si>
  <si>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</si>
  <si>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</si>
  <si>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</si>
  <si>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</si>
  <si>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</si>
  <si>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</si>
  <si>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</si>
  <si>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</si>
  <si>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</si>
  <si>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</si>
  <si>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</si>
  <si>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</si>
  <si>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</si>
  <si>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</si>
  <si>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</si>
  <si>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</si>
  <si>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</si>
  <si>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</si>
  <si>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</si>
  <si>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</si>
  <si>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</si>
  <si>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</si>
  <si>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</si>
  <si>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</si>
  <si>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</si>
  <si>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</si>
  <si>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</si>
  <si>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</si>
  <si>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</si>
  <si>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</si>
  <si>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</si>
  <si>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</si>
  <si>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</si>
  <si>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</si>
  <si>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</si>
  <si>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</si>
  <si>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</si>
  <si>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</si>
  <si>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</si>
  <si>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</si>
  <si>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</si>
  <si>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</si>
  <si>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</si>
  <si>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</si>
  <si>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</si>
  <si>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</si>
  <si>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</si>
  <si>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</si>
  <si>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</si>
  <si>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</si>
  <si>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</si>
  <si>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</si>
  <si>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</si>
  <si>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</si>
  <si>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</si>
  <si>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</si>
  <si>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</si>
  <si>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</si>
  <si>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</si>
  <si>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</si>
  <si>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</si>
  <si>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</si>
  <si>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</si>
  <si>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</si>
  <si>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</si>
  <si>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</si>
  <si>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</si>
  <si>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</si>
  <si>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</si>
  <si>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</si>
  <si>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</si>
  <si>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</si>
  <si>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</si>
  <si>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</si>
  <si>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</si>
  <si>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</si>
  <si>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</si>
  <si>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</si>
  <si>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</si>
  <si>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</si>
  <si>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</si>
  <si>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</si>
  <si>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</si>
  <si>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</si>
  <si>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</si>
  <si>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</si>
  <si>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</si>
  <si>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</si>
  <si>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</si>
  <si>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</si>
  <si>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</si>
  <si>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</si>
  <si>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</si>
  <si>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</si>
  <si>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</si>
  <si>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</si>
  <si>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</si>
  <si>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</si>
  <si>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</si>
  <si>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</si>
  <si>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</si>
  <si>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</si>
  <si>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</si>
  <si>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</si>
  <si>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</si>
  <si>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</si>
  <si>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</si>
  <si>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</si>
  <si>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</si>
  <si>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</si>
  <si>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</si>
  <si>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</si>
  <si>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</si>
  <si>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</si>
  <si>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</si>
  <si>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</si>
  <si>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</si>
  <si>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</si>
  <si>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</si>
  <si>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</si>
  <si>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</si>
  <si>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</si>
  <si>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</si>
  <si>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</si>
  <si>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</si>
  <si>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</si>
  <si>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</si>
  <si>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</si>
  <si>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</si>
  <si>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</si>
  <si>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</si>
  <si>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</si>
  <si>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</si>
  <si>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</si>
  <si>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</si>
  <si>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</si>
  <si>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</si>
  <si>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</si>
  <si>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</si>
  <si>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</si>
  <si>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</si>
  <si>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</si>
  <si>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</si>
  <si>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</si>
  <si>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</si>
  <si>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</si>
  <si>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</si>
  <si>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</si>
  <si>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</si>
  <si>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</si>
  <si>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23.02.2026г</t>
  </si>
  <si>
    <t>А</t>
  </si>
  <si>
    <t>Бакиев</t>
  </si>
  <si>
    <t>Баймуратов</t>
  </si>
  <si>
    <t>Трясцин</t>
  </si>
  <si>
    <t>Кирилов</t>
  </si>
  <si>
    <t>Янгиров</t>
  </si>
  <si>
    <t>Бакиева</t>
  </si>
  <si>
    <t>Ямалеева</t>
  </si>
  <si>
    <t>Хамзина</t>
  </si>
  <si>
    <t>б/ф№19</t>
  </si>
  <si>
    <t>резерв</t>
  </si>
  <si>
    <t>стоит</t>
  </si>
  <si>
    <t>соотв.</t>
  </si>
  <si>
    <t>Каримова</t>
  </si>
  <si>
    <t>изв м</t>
  </si>
  <si>
    <t>ап. Нуримановым</t>
  </si>
  <si>
    <t>ремонт</t>
  </si>
  <si>
    <t>вкл</t>
  </si>
  <si>
    <t>загаз.</t>
  </si>
  <si>
    <t>Хайретдинова</t>
  </si>
  <si>
    <t>Аксарина</t>
  </si>
  <si>
    <t>Федоров</t>
  </si>
  <si>
    <t>Байбородов</t>
  </si>
  <si>
    <t>Чурагулов</t>
  </si>
  <si>
    <t>в</t>
  </si>
  <si>
    <t>Барменкова</t>
  </si>
  <si>
    <t>Прозорова</t>
  </si>
  <si>
    <t>Кузьмин</t>
  </si>
  <si>
    <t>Николаев</t>
  </si>
  <si>
    <t>Хабибуллина</t>
  </si>
  <si>
    <t>н.п.</t>
  </si>
  <si>
    <t>рез</t>
  </si>
  <si>
    <t>рем</t>
  </si>
  <si>
    <t>ст</t>
  </si>
  <si>
    <t>в/ф№16</t>
  </si>
  <si>
    <t>в/ф№19</t>
  </si>
  <si>
    <t>проба предоставлена</t>
  </si>
  <si>
    <t>2тр.л верх</t>
  </si>
  <si>
    <t>2тр.л сер</t>
  </si>
  <si>
    <t>2тр.л низ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</si>
  <si>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</si>
  <si>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</si>
  <si>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</si>
  <si>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</si>
  <si>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</si>
  <si>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</si>
  <si>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</si>
  <si>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</si>
  <si>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</si>
  <si>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</si>
  <si>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</si>
  <si>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</si>
  <si>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</si>
  <si>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</si>
  <si>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</si>
  <si>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</si>
  <si>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</si>
  <si>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</si>
  <si>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</si>
  <si>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за сутки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</si>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</sst>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02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0" fontId="9" fillId="0" borderId="68" xfId="0" applyNumberFormat="1" applyFont="1" applyFill="1" applyBorder="1" applyAlignment="1" applyProtection="1">
      <alignment horizontal="left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8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44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left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20" fontId="9" fillId="0" borderId="0" xfId="0" applyNumberFormat="1" applyFont="1" applyFill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68" fontId="9" fillId="7" borderId="69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8" fontId="9" fillId="7" borderId="6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66" fontId="71" fillId="0" borderId="5" xfId="0" applyNumberFormat="1" applyFont="1" applyBorder="1" applyAlignment="1" applyProtection="1"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/>
      <protection locked="0"/>
    </xf>
    <xf numFmtId="0" fontId="30" fillId="3" borderId="22" xfId="0" applyFont="1" applyFill="1" applyBorder="1" applyAlignment="1" applyProtection="1">
      <alignment horizontal="center" vertical="top" wrapText="1"/>
      <protection locked="0"/>
    </xf>
    <xf numFmtId="20" fontId="9" fillId="0" borderId="69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15" fillId="3" borderId="22" xfId="0" applyFont="1" applyFill="1" applyBorder="1" applyAlignment="1" applyProtection="1">
      <alignment horizontal="center" vertical="top" wrapText="1"/>
      <protection locked="0"/>
    </xf>
    <xf numFmtId="0" fontId="15" fillId="3" borderId="48" xfId="0" applyFont="1" applyFill="1" applyBorder="1" applyAlignment="1" applyProtection="1">
      <alignment horizontal="center" vertical="top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7" borderId="30" xfId="0" applyFont="1" applyFill="1" applyBorder="1" applyAlignment="1" applyProtection="1">
      <alignment horizontal="center"/>
      <protection locked="0"/>
    </xf>
    <xf numFmtId="0" fontId="9" fillId="7" borderId="35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 wrapText="1"/>
    </xf>
    <xf numFmtId="164" fontId="23" fillId="0" borderId="22" xfId="1" applyFont="1" applyFill="1" applyBorder="1" applyAlignment="1" applyProtection="1">
      <alignment horizontal="center" vertical="center" wrapText="1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7" borderId="6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7" borderId="2" xfId="0" applyNumberFormat="1" applyFont="1" applyFill="1" applyBorder="1" applyAlignment="1" applyProtection="1">
      <alignment horizontal="center" vertical="center"/>
      <protection locked="0"/>
    </xf>
    <xf numFmtId="166" fontId="9" fillId="7" borderId="45" xfId="0" applyNumberFormat="1" applyFont="1" applyFill="1" applyBorder="1" applyAlignment="1" applyProtection="1">
      <alignment horizontal="center" vertic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17" fillId="0" borderId="22" xfId="0" applyFont="1" applyBorder="1" applyAlignment="1" applyProtection="1">
      <alignment horizontal="center" wrapText="1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3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4" fontId="80" fillId="0" borderId="0" xfId="0" applyNumberFormat="1" applyFont="1" applyAlignment="1" applyProtection="1">
      <alignment horizontal="center" vertical="center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0" fontId="15" fillId="12" borderId="22" xfId="0" applyFont="1" applyFill="1" applyBorder="1" applyAlignment="1" applyProtection="1">
      <alignment horizontal="center" vertical="center"/>
    </xf>
    <xf numFmtId="2" fontId="15" fillId="12" borderId="22" xfId="0" applyNumberFormat="1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523968"/>
        <c:axId val="157525504"/>
      </c:barChart>
      <c:catAx>
        <c:axId val="15752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7525504"/>
        <c:crosses val="autoZero"/>
        <c:auto val="1"/>
        <c:lblAlgn val="ctr"/>
        <c:lblOffset val="100"/>
        <c:noMultiLvlLbl val="0"/>
      </c:catAx>
      <c:valAx>
        <c:axId val="15752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75239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60" zoomScaleNormal="45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5" customWidth="1"/>
    <col min="103" max="103" width="12" style="851" customWidth="1"/>
    <col min="104" max="104" width="5" style="851" customWidth="1"/>
    <col min="105" max="105" width="13.85546875" style="851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05" t="s">
        <v>1623</v>
      </c>
      <c r="I1" s="2105"/>
      <c r="J1" s="2105"/>
      <c r="K1" s="2105"/>
      <c r="L1" s="2105"/>
      <c r="M1" s="2105"/>
      <c r="N1" s="2105"/>
      <c r="O1" s="2105"/>
      <c r="P1" s="2105"/>
      <c r="Q1" s="2105"/>
      <c r="R1" s="2105"/>
      <c r="S1" s="2105"/>
      <c r="T1" s="2105"/>
      <c r="U1" s="2105"/>
      <c r="V1" s="2105"/>
      <c r="W1" s="2105"/>
      <c r="X1" s="2105"/>
      <c r="Y1" s="2105"/>
      <c r="Z1" s="2105"/>
      <c r="AA1" s="2105"/>
      <c r="AB1" s="2105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05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05"/>
      <c r="AR1" s="2105"/>
      <c r="AS1" s="2105"/>
      <c r="AT1" s="2105"/>
      <c r="AU1" s="2105"/>
      <c r="AV1" s="2105"/>
      <c r="AW1" s="2105"/>
      <c r="AX1" s="2105"/>
      <c r="AY1" s="2105"/>
      <c r="AZ1" s="2105"/>
      <c r="BA1" s="2105"/>
      <c r="BB1" s="2105"/>
      <c r="BC1" s="2105"/>
      <c r="BD1" s="2105"/>
      <c r="BE1" s="2105"/>
      <c r="BF1" s="2105"/>
      <c r="BG1" s="2105"/>
      <c r="BH1" s="2105"/>
      <c r="BI1" s="2105"/>
      <c r="BJ1" s="2105"/>
      <c r="BK1" s="254"/>
      <c r="BL1" s="254"/>
      <c r="BN1" s="253" t="s">
        <v>25</v>
      </c>
      <c r="BP1" s="6"/>
      <c r="BX1" s="3"/>
      <c r="CX1" s="999"/>
      <c r="CY1" s="963"/>
      <c r="CZ1" s="963"/>
      <c r="DA1" s="963"/>
    </row>
    <row r="2" spans="1:110" s="1" customFormat="1" ht="27" customHeight="1" thickBot="1" x14ac:dyDescent="0.45">
      <c r="A2" s="2141" t="s">
        <v>1018</v>
      </c>
      <c r="B2" s="2141"/>
      <c r="C2" s="2141"/>
      <c r="D2" s="2149"/>
      <c r="E2" s="762">
        <f>F2+G2</f>
        <v>762</v>
      </c>
      <c r="F2" s="1633">
        <v>430</v>
      </c>
      <c r="G2" s="1633">
        <v>332</v>
      </c>
      <c r="H2" s="2105"/>
      <c r="I2" s="2105"/>
      <c r="J2" s="2105"/>
      <c r="K2" s="2105"/>
      <c r="L2" s="2105"/>
      <c r="M2" s="2105"/>
      <c r="N2" s="2105"/>
      <c r="O2" s="2105"/>
      <c r="P2" s="2105"/>
      <c r="Q2" s="2105"/>
      <c r="R2" s="2105"/>
      <c r="S2" s="2105"/>
      <c r="T2" s="2105"/>
      <c r="U2" s="2105"/>
      <c r="V2" s="2105"/>
      <c r="W2" s="2105"/>
      <c r="X2" s="2105"/>
      <c r="Y2" s="2105"/>
      <c r="Z2" s="2105"/>
      <c r="AA2" s="2105"/>
      <c r="AB2" s="2105"/>
      <c r="AC2" s="1922" t="s">
        <v>571</v>
      </c>
      <c r="AD2" s="1923"/>
      <c r="AE2" s="1923"/>
      <c r="AF2" s="1924"/>
      <c r="AG2" s="262" t="s">
        <v>785</v>
      </c>
      <c r="AH2" s="233"/>
      <c r="AI2" s="2141" t="s">
        <v>981</v>
      </c>
      <c r="AJ2" s="2141"/>
      <c r="AK2" s="2141"/>
      <c r="AL2" s="2149"/>
      <c r="AM2" s="231">
        <f>AN2+AO2</f>
        <v>852</v>
      </c>
      <c r="AN2" s="232">
        <v>441</v>
      </c>
      <c r="AO2" s="232">
        <v>411</v>
      </c>
      <c r="AP2" s="2105"/>
      <c r="AQ2" s="2105"/>
      <c r="AR2" s="2105"/>
      <c r="AS2" s="2105"/>
      <c r="AT2" s="2105"/>
      <c r="AU2" s="2105"/>
      <c r="AV2" s="2105"/>
      <c r="AW2" s="2105"/>
      <c r="AX2" s="2105"/>
      <c r="AY2" s="2105"/>
      <c r="AZ2" s="2105"/>
      <c r="BA2" s="2105"/>
      <c r="BB2" s="2105"/>
      <c r="BC2" s="2105"/>
      <c r="BD2" s="2105"/>
      <c r="BE2" s="2105"/>
      <c r="BF2" s="2105"/>
      <c r="BG2" s="2105"/>
      <c r="BH2" s="2105"/>
      <c r="BI2" s="2105"/>
      <c r="BJ2" s="2105"/>
      <c r="BK2" s="1922" t="s">
        <v>571</v>
      </c>
      <c r="BL2" s="1923"/>
      <c r="BM2" s="1923"/>
      <c r="BN2" s="1924"/>
      <c r="BO2" s="652" t="s">
        <v>884</v>
      </c>
      <c r="BP2" s="234"/>
      <c r="BQ2" s="235"/>
      <c r="CM2" s="235"/>
      <c r="CN2" s="571"/>
      <c r="CO2" s="571"/>
      <c r="CP2" s="572"/>
      <c r="CQ2" s="572"/>
      <c r="CR2" s="571" t="s">
        <v>1067</v>
      </c>
      <c r="CS2" s="571"/>
      <c r="CT2" s="264"/>
      <c r="CU2" s="2"/>
      <c r="CX2" s="999"/>
      <c r="CY2" s="963"/>
      <c r="CZ2" s="963"/>
      <c r="DA2" s="963"/>
    </row>
    <row r="3" spans="1:110" s="1" customFormat="1" ht="27" customHeight="1" thickBot="1" x14ac:dyDescent="0.45">
      <c r="A3" s="2141" t="s">
        <v>64</v>
      </c>
      <c r="B3" s="2141"/>
      <c r="C3" s="2141"/>
      <c r="D3" s="2141"/>
      <c r="E3" s="994"/>
      <c r="F3" s="2142">
        <v>3633</v>
      </c>
      <c r="G3" s="2143"/>
      <c r="H3" s="764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69" t="s">
        <v>27</v>
      </c>
      <c r="AD3" s="755" t="s">
        <v>795</v>
      </c>
      <c r="AE3" s="755" t="s">
        <v>796</v>
      </c>
      <c r="AF3" s="767" t="s">
        <v>1083</v>
      </c>
      <c r="AG3" s="768" t="s">
        <v>1084</v>
      </c>
      <c r="AH3" s="236"/>
      <c r="AI3" s="2141" t="s">
        <v>64</v>
      </c>
      <c r="AJ3" s="2141"/>
      <c r="AK3" s="2141"/>
      <c r="AL3" s="2141"/>
      <c r="AM3" s="994"/>
      <c r="AN3" s="1773">
        <v>4943</v>
      </c>
      <c r="AO3" s="1774"/>
      <c r="AP3" s="654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2" t="s">
        <v>27</v>
      </c>
      <c r="BL3" s="755" t="s">
        <v>795</v>
      </c>
      <c r="BM3" s="755" t="s">
        <v>796</v>
      </c>
      <c r="BN3" s="767" t="s">
        <v>1083</v>
      </c>
      <c r="BO3" s="768" t="s">
        <v>1084</v>
      </c>
      <c r="BP3" s="234"/>
      <c r="BQ3" s="235"/>
      <c r="BV3" s="264"/>
      <c r="BW3" s="264"/>
      <c r="CM3" s="235"/>
      <c r="CN3" s="571" t="s">
        <v>464</v>
      </c>
      <c r="CO3" s="571"/>
      <c r="CP3" s="572"/>
      <c r="CQ3" s="572"/>
      <c r="CR3" s="572" t="s">
        <v>1068</v>
      </c>
      <c r="CS3" s="572"/>
      <c r="CT3" s="265"/>
      <c r="CX3" s="999"/>
      <c r="CY3" s="963"/>
      <c r="CZ3" s="963"/>
      <c r="DA3" s="963"/>
    </row>
    <row r="4" spans="1:110" s="1" customFormat="1" ht="21.95" customHeight="1" thickBot="1" x14ac:dyDescent="0.45">
      <c r="A4" s="2141" t="s">
        <v>713</v>
      </c>
      <c r="B4" s="2141"/>
      <c r="C4" s="2141"/>
      <c r="D4" s="2141"/>
      <c r="E4" s="1482"/>
      <c r="F4" s="2142">
        <v>366</v>
      </c>
      <c r="G4" s="2143"/>
      <c r="H4" s="764" t="s">
        <v>1008</v>
      </c>
      <c r="L4" s="1832" t="s">
        <v>59</v>
      </c>
      <c r="M4" s="1833"/>
      <c r="N4" s="1830" t="s">
        <v>1672</v>
      </c>
      <c r="O4" s="1831"/>
      <c r="P4" s="222"/>
      <c r="Q4" s="1832" t="s">
        <v>60</v>
      </c>
      <c r="R4" s="1833"/>
      <c r="S4" s="765">
        <v>1</v>
      </c>
      <c r="T4" s="222"/>
      <c r="U4" s="1832" t="s">
        <v>61</v>
      </c>
      <c r="V4" s="1833"/>
      <c r="W4" s="765" t="s">
        <v>1673</v>
      </c>
      <c r="Y4" s="991"/>
      <c r="Z4" s="961"/>
      <c r="AA4" s="2"/>
      <c r="AB4" s="2"/>
      <c r="AC4" s="621">
        <v>1</v>
      </c>
      <c r="AD4" s="1515" t="s">
        <v>1690</v>
      </c>
      <c r="AE4" s="1515"/>
      <c r="AF4" s="1515"/>
      <c r="AG4" s="1515"/>
      <c r="AH4" s="238"/>
      <c r="AI4" s="2141" t="s">
        <v>713</v>
      </c>
      <c r="AJ4" s="2141"/>
      <c r="AK4" s="2141"/>
      <c r="AL4" s="2141"/>
      <c r="AM4" s="1482"/>
      <c r="AN4" s="1773">
        <v>480</v>
      </c>
      <c r="AO4" s="1774"/>
      <c r="AP4" s="764" t="s">
        <v>1008</v>
      </c>
      <c r="AT4" s="1832" t="s">
        <v>59</v>
      </c>
      <c r="AU4" s="1833"/>
      <c r="AV4" s="1830" t="str">
        <f>N4</f>
        <v>23.02.2026г</v>
      </c>
      <c r="AW4" s="1831"/>
      <c r="AX4" s="222"/>
      <c r="AY4" s="1832" t="s">
        <v>60</v>
      </c>
      <c r="AZ4" s="1833"/>
      <c r="BA4" s="765">
        <v>2</v>
      </c>
      <c r="BB4" s="222"/>
      <c r="BC4" s="1832" t="s">
        <v>61</v>
      </c>
      <c r="BD4" s="1833"/>
      <c r="BE4" s="765" t="s">
        <v>1697</v>
      </c>
      <c r="BG4" s="991"/>
      <c r="BH4" s="961"/>
      <c r="BI4" s="2"/>
      <c r="BJ4" s="2"/>
      <c r="BK4" s="621">
        <v>1</v>
      </c>
      <c r="BL4" s="281">
        <v>31</v>
      </c>
      <c r="BM4" s="1632">
        <v>54</v>
      </c>
      <c r="BN4" s="1632">
        <v>50</v>
      </c>
      <c r="BO4" s="1632">
        <v>55</v>
      </c>
      <c r="BP4" s="234"/>
      <c r="BQ4" s="963"/>
      <c r="BR4" s="573" t="s">
        <v>464</v>
      </c>
      <c r="BS4" s="572"/>
      <c r="BT4" s="572"/>
      <c r="BU4" s="572"/>
      <c r="BV4" s="572"/>
      <c r="BW4" s="571" t="s">
        <v>1067</v>
      </c>
      <c r="CM4" s="963"/>
      <c r="CN4" s="571" t="s">
        <v>469</v>
      </c>
      <c r="CO4" s="571"/>
      <c r="CP4" s="572"/>
      <c r="CQ4" s="572"/>
      <c r="CR4" s="572"/>
      <c r="CS4" s="572"/>
      <c r="CT4" s="265"/>
      <c r="CX4" s="999"/>
      <c r="CY4" s="963"/>
      <c r="CZ4" s="963"/>
      <c r="DA4" s="963"/>
    </row>
    <row r="5" spans="1:110" s="1" customFormat="1" ht="22.5" customHeight="1" thickBot="1" x14ac:dyDescent="0.45">
      <c r="A5" s="2141" t="s">
        <v>714</v>
      </c>
      <c r="B5" s="2141"/>
      <c r="C5" s="2141"/>
      <c r="D5" s="2141"/>
      <c r="E5" s="763"/>
      <c r="F5" s="2147">
        <v>284</v>
      </c>
      <c r="G5" s="2148"/>
      <c r="H5" s="764" t="s">
        <v>982</v>
      </c>
      <c r="I5" s="239"/>
      <c r="J5" s="239"/>
      <c r="K5" s="239"/>
      <c r="L5" s="2124"/>
      <c r="M5" s="2124"/>
      <c r="N5" s="2140"/>
      <c r="O5" s="2140"/>
      <c r="P5" s="239"/>
      <c r="Q5" s="2124"/>
      <c r="R5" s="2124"/>
      <c r="S5" s="991"/>
      <c r="T5" s="239"/>
      <c r="U5" s="2124"/>
      <c r="V5" s="2124"/>
      <c r="W5" s="991"/>
      <c r="X5" s="239"/>
      <c r="Y5" s="239"/>
      <c r="AC5" s="965">
        <v>2</v>
      </c>
      <c r="AD5" s="1516" t="s">
        <v>1683</v>
      </c>
      <c r="AE5" s="1516"/>
      <c r="AF5" s="1516"/>
      <c r="AG5" s="1516"/>
      <c r="AH5" s="238"/>
      <c r="AI5" s="2141" t="s">
        <v>714</v>
      </c>
      <c r="AJ5" s="2141"/>
      <c r="AK5" s="2141"/>
      <c r="AL5" s="2141"/>
      <c r="AM5" s="763"/>
      <c r="AN5" s="2115">
        <v>303</v>
      </c>
      <c r="AO5" s="2116"/>
      <c r="AP5" s="654" t="s">
        <v>885</v>
      </c>
      <c r="AQ5" s="239"/>
      <c r="AR5" s="239"/>
      <c r="AS5" s="239"/>
      <c r="AT5" s="2123"/>
      <c r="AU5" s="2123"/>
      <c r="AV5" s="2122"/>
      <c r="AW5" s="2122"/>
      <c r="AX5" s="841"/>
      <c r="AY5" s="2123"/>
      <c r="AZ5" s="2123"/>
      <c r="BA5" s="990"/>
      <c r="BB5" s="841"/>
      <c r="BC5" s="2123"/>
      <c r="BD5" s="2123"/>
      <c r="BE5" s="990"/>
      <c r="BF5" s="239"/>
      <c r="BG5" s="239"/>
      <c r="BK5" s="965">
        <v>2</v>
      </c>
      <c r="BL5" s="282" t="s">
        <v>1704</v>
      </c>
      <c r="BM5" s="282"/>
      <c r="BN5" s="282"/>
      <c r="BO5" s="282"/>
      <c r="BP5" s="234"/>
      <c r="BQ5" s="235"/>
      <c r="BR5" s="573" t="s">
        <v>1625</v>
      </c>
      <c r="BS5" s="572"/>
      <c r="BT5" s="572"/>
      <c r="BU5" s="572"/>
      <c r="BV5" s="572"/>
      <c r="BW5" s="572" t="s">
        <v>1069</v>
      </c>
      <c r="CN5" s="571" t="s">
        <v>470</v>
      </c>
      <c r="CO5" s="571"/>
      <c r="CP5" s="571"/>
      <c r="CQ5" s="571"/>
      <c r="CR5" s="572"/>
      <c r="CS5" s="572"/>
      <c r="CT5" s="265"/>
      <c r="CX5" s="999"/>
      <c r="CY5" s="963"/>
      <c r="CZ5" s="963"/>
      <c r="DA5" s="963"/>
    </row>
    <row r="6" spans="1:110" ht="22.5" customHeight="1" thickBot="1" x14ac:dyDescent="0.4">
      <c r="A6" s="962"/>
      <c r="B6" s="2106" t="s">
        <v>415</v>
      </c>
      <c r="C6" s="1918"/>
      <c r="D6" s="1918"/>
      <c r="E6" s="1918"/>
      <c r="F6" s="1918"/>
      <c r="G6" s="1918"/>
      <c r="H6" s="1918"/>
      <c r="I6" s="1918"/>
      <c r="J6" s="1919"/>
      <c r="K6" s="2106" t="s">
        <v>414</v>
      </c>
      <c r="L6" s="1918"/>
      <c r="M6" s="1918"/>
      <c r="N6" s="1918"/>
      <c r="O6" s="1918"/>
      <c r="P6" s="1918"/>
      <c r="Q6" s="1918"/>
      <c r="R6" s="1918"/>
      <c r="S6" s="1918"/>
      <c r="T6" s="1918"/>
      <c r="U6" s="1918"/>
      <c r="V6" s="1918"/>
      <c r="W6" s="1918"/>
      <c r="X6" s="1918"/>
      <c r="Y6" s="1918"/>
      <c r="Z6" s="1918"/>
      <c r="AA6" s="1918"/>
      <c r="AB6" s="1919"/>
      <c r="AC6" s="965">
        <v>3</v>
      </c>
      <c r="AD6" s="1516"/>
      <c r="AE6" s="1516"/>
      <c r="AF6" s="1516"/>
      <c r="AG6" s="1516">
        <v>54</v>
      </c>
      <c r="AH6" s="14"/>
      <c r="AI6" s="962"/>
      <c r="AJ6" s="2106" t="s">
        <v>415</v>
      </c>
      <c r="AK6" s="1918"/>
      <c r="AL6" s="1918"/>
      <c r="AM6" s="1918"/>
      <c r="AN6" s="1918"/>
      <c r="AO6" s="1918"/>
      <c r="AP6" s="1918"/>
      <c r="AQ6" s="1918"/>
      <c r="AR6" s="1919"/>
      <c r="AS6" s="2106" t="s">
        <v>414</v>
      </c>
      <c r="AT6" s="1918"/>
      <c r="AU6" s="1918"/>
      <c r="AV6" s="1918"/>
      <c r="AW6" s="1918"/>
      <c r="AX6" s="1918"/>
      <c r="AY6" s="1918"/>
      <c r="AZ6" s="1918"/>
      <c r="BA6" s="1918"/>
      <c r="BB6" s="1918"/>
      <c r="BC6" s="1918"/>
      <c r="BD6" s="1918"/>
      <c r="BE6" s="1918"/>
      <c r="BF6" s="1918"/>
      <c r="BG6" s="1918"/>
      <c r="BH6" s="1918"/>
      <c r="BI6" s="1918"/>
      <c r="BJ6" s="1919"/>
      <c r="BK6" s="965">
        <v>3</v>
      </c>
      <c r="BL6" s="282"/>
      <c r="BM6" s="282"/>
      <c r="BN6" s="282"/>
      <c r="BO6" s="282">
        <v>59</v>
      </c>
      <c r="BP6" s="6"/>
      <c r="BR6" s="571" t="s">
        <v>1626</v>
      </c>
      <c r="BS6" s="572"/>
      <c r="BT6" s="572"/>
      <c r="BU6" s="572"/>
      <c r="BV6" s="572"/>
      <c r="BW6" s="574"/>
      <c r="BZ6" s="15"/>
      <c r="CM6" s="7"/>
      <c r="CN6" s="571" t="s">
        <v>793</v>
      </c>
      <c r="CO6" s="572"/>
      <c r="CP6" s="572"/>
      <c r="CQ6" s="572"/>
      <c r="CR6" s="989"/>
      <c r="CS6" s="989"/>
      <c r="CT6" s="263"/>
      <c r="CU6" s="212"/>
      <c r="CX6" s="783"/>
      <c r="CY6" s="2129" t="str">
        <f>N4</f>
        <v>23.02.2026г</v>
      </c>
      <c r="CZ6" s="2129"/>
      <c r="DA6" s="2129"/>
    </row>
    <row r="7" spans="1:110" ht="36.75" customHeight="1" thickBot="1" x14ac:dyDescent="0.45">
      <c r="A7" s="2130" t="s">
        <v>4</v>
      </c>
      <c r="B7" s="2048" t="s">
        <v>1552</v>
      </c>
      <c r="C7" s="2132"/>
      <c r="D7" s="1939" t="s">
        <v>431</v>
      </c>
      <c r="E7" s="1940"/>
      <c r="F7" s="1941"/>
      <c r="G7" s="1939" t="s">
        <v>416</v>
      </c>
      <c r="H7" s="1940"/>
      <c r="I7" s="1940"/>
      <c r="J7" s="1941"/>
      <c r="K7" s="1922" t="s">
        <v>1556</v>
      </c>
      <c r="L7" s="1923"/>
      <c r="M7" s="1924"/>
      <c r="N7" s="1922" t="s">
        <v>1557</v>
      </c>
      <c r="O7" s="1923"/>
      <c r="P7" s="1924"/>
      <c r="Q7" s="1922" t="s">
        <v>1558</v>
      </c>
      <c r="R7" s="1923"/>
      <c r="S7" s="1923"/>
      <c r="T7" s="1924"/>
      <c r="U7" s="1922" t="s">
        <v>1559</v>
      </c>
      <c r="V7" s="1923"/>
      <c r="W7" s="1923"/>
      <c r="X7" s="1924"/>
      <c r="Y7" s="1922" t="s">
        <v>1560</v>
      </c>
      <c r="Z7" s="1923"/>
      <c r="AA7" s="1923"/>
      <c r="AB7" s="1924"/>
      <c r="AC7" s="965">
        <v>4</v>
      </c>
      <c r="AD7" s="1516">
        <v>29</v>
      </c>
      <c r="AE7" s="1516">
        <v>47</v>
      </c>
      <c r="AF7" s="1598">
        <v>55</v>
      </c>
      <c r="AG7" s="1516">
        <v>58</v>
      </c>
      <c r="AH7" s="16"/>
      <c r="AI7" s="2130" t="s">
        <v>4</v>
      </c>
      <c r="AJ7" s="2048" t="s">
        <v>1552</v>
      </c>
      <c r="AK7" s="2132"/>
      <c r="AL7" s="1939" t="s">
        <v>431</v>
      </c>
      <c r="AM7" s="1940"/>
      <c r="AN7" s="1941"/>
      <c r="AO7" s="1939" t="s">
        <v>416</v>
      </c>
      <c r="AP7" s="1940"/>
      <c r="AQ7" s="1940"/>
      <c r="AR7" s="1941"/>
      <c r="AS7" s="1922" t="s">
        <v>1556</v>
      </c>
      <c r="AT7" s="1923"/>
      <c r="AU7" s="1924"/>
      <c r="AV7" s="1922" t="s">
        <v>1557</v>
      </c>
      <c r="AW7" s="1923"/>
      <c r="AX7" s="1924"/>
      <c r="AY7" s="1922" t="s">
        <v>1558</v>
      </c>
      <c r="AZ7" s="1923"/>
      <c r="BA7" s="1923"/>
      <c r="BB7" s="1924"/>
      <c r="BC7" s="1922" t="s">
        <v>1559</v>
      </c>
      <c r="BD7" s="1923"/>
      <c r="BE7" s="1923"/>
      <c r="BF7" s="1924"/>
      <c r="BG7" s="1922" t="s">
        <v>1560</v>
      </c>
      <c r="BH7" s="1923"/>
      <c r="BI7" s="1923"/>
      <c r="BJ7" s="1924"/>
      <c r="BK7" s="965">
        <v>4</v>
      </c>
      <c r="BL7" s="282">
        <v>29</v>
      </c>
      <c r="BM7" s="282">
        <v>49</v>
      </c>
      <c r="BN7" s="1598">
        <v>52</v>
      </c>
      <c r="BO7" s="282">
        <v>60</v>
      </c>
      <c r="BP7" s="6"/>
      <c r="BR7" s="571" t="s">
        <v>786</v>
      </c>
      <c r="BS7" s="573"/>
      <c r="BT7" s="572"/>
      <c r="BU7" s="572"/>
      <c r="BV7" s="572"/>
      <c r="BW7" s="572"/>
      <c r="BZ7" s="963"/>
      <c r="CM7" s="7"/>
      <c r="CN7" s="2136"/>
      <c r="CO7" s="2136"/>
      <c r="CP7" s="2136"/>
      <c r="CQ7" s="2136"/>
      <c r="CR7" s="2136"/>
      <c r="CS7" s="2136"/>
      <c r="CT7" s="264"/>
      <c r="CU7" s="211"/>
      <c r="CX7" s="1327"/>
      <c r="CY7" s="1319" t="s">
        <v>1274</v>
      </c>
      <c r="CZ7" s="1319"/>
      <c r="DA7" s="1319" t="s">
        <v>1370</v>
      </c>
    </row>
    <row r="8" spans="1:110" s="88" customFormat="1" ht="46.5" customHeight="1" thickBot="1" x14ac:dyDescent="0.4">
      <c r="A8" s="2131"/>
      <c r="B8" s="1079" t="s">
        <v>20</v>
      </c>
      <c r="C8" s="766" t="s">
        <v>1075</v>
      </c>
      <c r="D8" s="1035" t="s">
        <v>22</v>
      </c>
      <c r="E8" s="1036" t="s">
        <v>1075</v>
      </c>
      <c r="F8" s="1034" t="s">
        <v>882</v>
      </c>
      <c r="G8" s="1037" t="s">
        <v>1078</v>
      </c>
      <c r="H8" s="1058" t="s">
        <v>1422</v>
      </c>
      <c r="I8" s="1058" t="s">
        <v>1079</v>
      </c>
      <c r="J8" s="1034" t="s">
        <v>794</v>
      </c>
      <c r="K8" s="793" t="s">
        <v>5</v>
      </c>
      <c r="L8" s="1038" t="s">
        <v>6</v>
      </c>
      <c r="M8" s="794" t="s">
        <v>7</v>
      </c>
      <c r="N8" s="793" t="s">
        <v>5</v>
      </c>
      <c r="O8" s="1038" t="s">
        <v>6</v>
      </c>
      <c r="P8" s="1039" t="s">
        <v>7</v>
      </c>
      <c r="Q8" s="1037" t="s">
        <v>1080</v>
      </c>
      <c r="R8" s="1058" t="s">
        <v>794</v>
      </c>
      <c r="S8" s="1058" t="s">
        <v>1081</v>
      </c>
      <c r="T8" s="1060" t="s">
        <v>1082</v>
      </c>
      <c r="U8" s="1037" t="s">
        <v>1080</v>
      </c>
      <c r="V8" s="1058" t="s">
        <v>794</v>
      </c>
      <c r="W8" s="1058" t="s">
        <v>1081</v>
      </c>
      <c r="X8" s="1034" t="s">
        <v>1082</v>
      </c>
      <c r="Y8" s="1061" t="s">
        <v>1080</v>
      </c>
      <c r="Z8" s="1058" t="s">
        <v>794</v>
      </c>
      <c r="AA8" s="1058" t="s">
        <v>1081</v>
      </c>
      <c r="AB8" s="1034" t="s">
        <v>1082</v>
      </c>
      <c r="AC8" s="1059">
        <v>5</v>
      </c>
      <c r="AD8" s="1516">
        <v>32</v>
      </c>
      <c r="AE8" s="1598">
        <v>54</v>
      </c>
      <c r="AF8" s="1598">
        <v>51</v>
      </c>
      <c r="AG8" s="1516">
        <v>58</v>
      </c>
      <c r="AH8" s="119"/>
      <c r="AI8" s="2150"/>
      <c r="AJ8" s="1035" t="s">
        <v>20</v>
      </c>
      <c r="AK8" s="766" t="s">
        <v>1075</v>
      </c>
      <c r="AL8" s="1035" t="s">
        <v>22</v>
      </c>
      <c r="AM8" s="1036" t="s">
        <v>1075</v>
      </c>
      <c r="AN8" s="1034" t="s">
        <v>882</v>
      </c>
      <c r="AO8" s="1037" t="s">
        <v>1078</v>
      </c>
      <c r="AP8" s="1058" t="s">
        <v>1422</v>
      </c>
      <c r="AQ8" s="1058" t="s">
        <v>1079</v>
      </c>
      <c r="AR8" s="1034" t="s">
        <v>794</v>
      </c>
      <c r="AS8" s="793" t="s">
        <v>5</v>
      </c>
      <c r="AT8" s="1038" t="s">
        <v>6</v>
      </c>
      <c r="AU8" s="794" t="s">
        <v>7</v>
      </c>
      <c r="AV8" s="793" t="s">
        <v>5</v>
      </c>
      <c r="AW8" s="1038" t="s">
        <v>6</v>
      </c>
      <c r="AX8" s="1039" t="s">
        <v>7</v>
      </c>
      <c r="AY8" s="1037" t="s">
        <v>1080</v>
      </c>
      <c r="AZ8" s="1058" t="s">
        <v>794</v>
      </c>
      <c r="BA8" s="1058" t="s">
        <v>1081</v>
      </c>
      <c r="BB8" s="1060" t="s">
        <v>1082</v>
      </c>
      <c r="BC8" s="1037" t="s">
        <v>1080</v>
      </c>
      <c r="BD8" s="1058" t="s">
        <v>794</v>
      </c>
      <c r="BE8" s="1058" t="s">
        <v>1081</v>
      </c>
      <c r="BF8" s="1034" t="s">
        <v>1082</v>
      </c>
      <c r="BG8" s="1061" t="s">
        <v>1080</v>
      </c>
      <c r="BH8" s="1058" t="s">
        <v>794</v>
      </c>
      <c r="BI8" s="1058" t="s">
        <v>1081</v>
      </c>
      <c r="BJ8" s="1034" t="s">
        <v>1082</v>
      </c>
      <c r="BK8" s="965">
        <v>5</v>
      </c>
      <c r="BL8" s="282">
        <v>30</v>
      </c>
      <c r="BM8" s="282">
        <v>51</v>
      </c>
      <c r="BN8" s="1598">
        <v>50</v>
      </c>
      <c r="BO8" s="1598">
        <v>55</v>
      </c>
      <c r="BP8" s="85"/>
      <c r="BQ8" s="86"/>
      <c r="BR8" s="2137" t="s">
        <v>792</v>
      </c>
      <c r="BS8" s="573"/>
      <c r="BT8" s="572"/>
      <c r="BU8" s="572"/>
      <c r="BV8" s="572"/>
      <c r="BW8" s="572"/>
      <c r="BX8" s="210"/>
      <c r="BY8" s="210"/>
      <c r="BZ8" s="993"/>
      <c r="CA8" s="87"/>
      <c r="CM8" s="86"/>
      <c r="CN8" s="2135"/>
      <c r="CO8" s="2135"/>
      <c r="CP8" s="2135"/>
      <c r="CQ8" s="2135"/>
      <c r="CR8" s="2135"/>
      <c r="CS8" s="2135"/>
      <c r="CT8" s="213"/>
      <c r="CU8" s="993"/>
      <c r="CX8" s="1325" t="s">
        <v>1355</v>
      </c>
      <c r="CY8" s="1320">
        <f>MIN(C11:C18,AK11:AK18,C25:C32,AK25:AK32)</f>
        <v>0.12</v>
      </c>
      <c r="CZ8" s="1320" t="s">
        <v>247</v>
      </c>
      <c r="DA8" s="1320">
        <f>MAX(C11:C18,AK11:AK18,C25:C32,AK25:AK32)</f>
        <v>0.24</v>
      </c>
      <c r="DC8" s="3"/>
      <c r="DD8" s="3"/>
      <c r="DE8" s="3"/>
      <c r="DF8" s="3"/>
    </row>
    <row r="9" spans="1:110" s="21" customFormat="1" ht="21.95" customHeight="1" x14ac:dyDescent="0.35">
      <c r="A9" s="1948" t="s">
        <v>1133</v>
      </c>
      <c r="B9" s="2110" t="s">
        <v>1517</v>
      </c>
      <c r="C9" s="1962">
        <v>0.92013888888888884</v>
      </c>
      <c r="D9" s="2110" t="s">
        <v>1517</v>
      </c>
      <c r="E9" s="2118">
        <v>0.90972222222222221</v>
      </c>
      <c r="F9" s="2144">
        <v>0.87152777777777779</v>
      </c>
      <c r="G9" s="2113">
        <v>0.48</v>
      </c>
      <c r="H9" s="2095"/>
      <c r="I9" s="2095">
        <v>88.8</v>
      </c>
      <c r="J9" s="2120">
        <v>99.6</v>
      </c>
      <c r="K9" s="2146">
        <v>70.099999999999994</v>
      </c>
      <c r="L9" s="2139">
        <v>64.7</v>
      </c>
      <c r="M9" s="2121">
        <v>70.099999999999994</v>
      </c>
      <c r="N9" s="2102">
        <v>63.3</v>
      </c>
      <c r="O9" s="2103">
        <v>58.4</v>
      </c>
      <c r="P9" s="2133">
        <v>66.900000000000006</v>
      </c>
      <c r="Q9" s="2114">
        <v>97.1</v>
      </c>
      <c r="R9" s="2117">
        <v>26.2</v>
      </c>
      <c r="S9" s="2117">
        <v>95.2</v>
      </c>
      <c r="T9" s="2089">
        <v>69</v>
      </c>
      <c r="U9" s="2114">
        <v>97.5</v>
      </c>
      <c r="V9" s="2117">
        <v>25.4</v>
      </c>
      <c r="W9" s="2117">
        <v>95.6</v>
      </c>
      <c r="X9" s="1976">
        <v>70.2</v>
      </c>
      <c r="Y9" s="2125">
        <v>97.5</v>
      </c>
      <c r="Z9" s="2117">
        <v>25.4</v>
      </c>
      <c r="AA9" s="2117">
        <v>95.6</v>
      </c>
      <c r="AB9" s="1976">
        <v>70.2</v>
      </c>
      <c r="AC9" s="965">
        <v>6</v>
      </c>
      <c r="AD9" s="1516"/>
      <c r="AE9" s="1516"/>
      <c r="AF9" s="1516"/>
      <c r="AG9" s="1598">
        <v>56</v>
      </c>
      <c r="AH9" s="18"/>
      <c r="AI9" s="1948" t="s">
        <v>1146</v>
      </c>
      <c r="AJ9" s="2110" t="s">
        <v>1517</v>
      </c>
      <c r="AK9" s="1962"/>
      <c r="AL9" s="2110" t="s">
        <v>1517</v>
      </c>
      <c r="AM9" s="2118">
        <v>0.47916666666666669</v>
      </c>
      <c r="AN9" s="2144"/>
      <c r="AO9" s="2113"/>
      <c r="AP9" s="2095"/>
      <c r="AQ9" s="2095">
        <v>88</v>
      </c>
      <c r="AR9" s="2120">
        <v>97.1</v>
      </c>
      <c r="AS9" s="2111">
        <v>67</v>
      </c>
      <c r="AT9" s="2155">
        <v>56.9</v>
      </c>
      <c r="AU9" s="2120">
        <v>50.7</v>
      </c>
      <c r="AV9" s="2111">
        <v>72.7</v>
      </c>
      <c r="AW9" s="2103">
        <v>62.3</v>
      </c>
      <c r="AX9" s="2108">
        <v>56</v>
      </c>
      <c r="AY9" s="2102">
        <v>94.8</v>
      </c>
      <c r="AZ9" s="2095">
        <v>27.4</v>
      </c>
      <c r="BA9" s="2095">
        <v>95.6</v>
      </c>
      <c r="BB9" s="2089">
        <f>BA9-AZ9</f>
        <v>68.199999999999989</v>
      </c>
      <c r="BC9" s="2138">
        <v>96.3</v>
      </c>
      <c r="BD9" s="2095">
        <v>25.8</v>
      </c>
      <c r="BE9" s="2095">
        <v>94</v>
      </c>
      <c r="BF9" s="2089">
        <f>BE9-BD9</f>
        <v>68.2</v>
      </c>
      <c r="BG9" s="2134">
        <v>95.9</v>
      </c>
      <c r="BH9" s="2095">
        <v>27</v>
      </c>
      <c r="BI9" s="2095">
        <v>95.2</v>
      </c>
      <c r="BJ9" s="2089">
        <f>BI9-BH9</f>
        <v>68.2</v>
      </c>
      <c r="BK9" s="965">
        <v>6</v>
      </c>
      <c r="BL9" s="282">
        <v>30</v>
      </c>
      <c r="BM9" s="282">
        <v>51</v>
      </c>
      <c r="BN9" s="1598">
        <v>44</v>
      </c>
      <c r="BO9" s="1598">
        <v>51</v>
      </c>
      <c r="BP9" s="19"/>
      <c r="BQ9" s="20"/>
      <c r="BR9" s="2137"/>
      <c r="BS9" s="572"/>
      <c r="BT9" s="572"/>
      <c r="BU9" s="572"/>
      <c r="BV9" s="572"/>
      <c r="BW9" s="572"/>
      <c r="BX9" s="210"/>
      <c r="BY9" s="210"/>
      <c r="BZ9" s="211"/>
      <c r="CA9" s="1"/>
      <c r="CM9" s="20"/>
      <c r="CN9" s="2087" t="s">
        <v>467</v>
      </c>
      <c r="CO9" s="2087"/>
      <c r="CP9" s="2087"/>
      <c r="CQ9" s="2087"/>
      <c r="CR9" s="2087"/>
      <c r="CS9" s="2087"/>
      <c r="CT9" s="211"/>
      <c r="CU9" s="211"/>
      <c r="CX9" s="1325" t="s">
        <v>1358</v>
      </c>
      <c r="CY9" s="1321">
        <f>MIN(BL95:BL101)</f>
        <v>0</v>
      </c>
      <c r="CZ9" s="1321"/>
      <c r="DA9" s="1321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1948"/>
      <c r="B10" s="1961"/>
      <c r="C10" s="1963"/>
      <c r="D10" s="1961"/>
      <c r="E10" s="2119"/>
      <c r="F10" s="2145"/>
      <c r="G10" s="1901"/>
      <c r="H10" s="1914"/>
      <c r="I10" s="1914"/>
      <c r="J10" s="1921"/>
      <c r="K10" s="1957"/>
      <c r="L10" s="1952"/>
      <c r="M10" s="1938"/>
      <c r="N10" s="1982"/>
      <c r="O10" s="2104"/>
      <c r="P10" s="1980"/>
      <c r="Q10" s="1957"/>
      <c r="R10" s="1952"/>
      <c r="S10" s="1952"/>
      <c r="T10" s="1921"/>
      <c r="U10" s="1957"/>
      <c r="V10" s="1952"/>
      <c r="W10" s="1952"/>
      <c r="X10" s="1938"/>
      <c r="Y10" s="1968"/>
      <c r="Z10" s="1952"/>
      <c r="AA10" s="1952"/>
      <c r="AB10" s="1938"/>
      <c r="AC10" s="965">
        <v>7</v>
      </c>
      <c r="AD10" s="1516">
        <v>35</v>
      </c>
      <c r="AE10" s="1516">
        <v>42</v>
      </c>
      <c r="AF10" s="1516">
        <v>60</v>
      </c>
      <c r="AG10" s="1598">
        <v>55</v>
      </c>
      <c r="AH10" s="18"/>
      <c r="AI10" s="1948"/>
      <c r="AJ10" s="1961"/>
      <c r="AK10" s="1963"/>
      <c r="AL10" s="1961"/>
      <c r="AM10" s="2119"/>
      <c r="AN10" s="2145"/>
      <c r="AO10" s="1901"/>
      <c r="AP10" s="1914"/>
      <c r="AQ10" s="1914"/>
      <c r="AR10" s="1921"/>
      <c r="AS10" s="2112"/>
      <c r="AT10" s="2154"/>
      <c r="AU10" s="1921"/>
      <c r="AV10" s="2112"/>
      <c r="AW10" s="2104"/>
      <c r="AX10" s="2109"/>
      <c r="AY10" s="1982"/>
      <c r="AZ10" s="1914"/>
      <c r="BA10" s="1914"/>
      <c r="BB10" s="1921"/>
      <c r="BC10" s="1971"/>
      <c r="BD10" s="1914"/>
      <c r="BE10" s="1914"/>
      <c r="BF10" s="1921"/>
      <c r="BG10" s="1916"/>
      <c r="BH10" s="1914"/>
      <c r="BI10" s="1914"/>
      <c r="BJ10" s="1921"/>
      <c r="BK10" s="965">
        <v>7</v>
      </c>
      <c r="BL10" s="282">
        <v>30</v>
      </c>
      <c r="BM10" s="282">
        <v>49</v>
      </c>
      <c r="BN10" s="1598">
        <v>57</v>
      </c>
      <c r="BO10" s="282">
        <v>59</v>
      </c>
      <c r="BP10" s="19"/>
      <c r="BQ10" s="20"/>
      <c r="BR10" s="2137"/>
      <c r="BS10" s="571"/>
      <c r="BT10" s="572"/>
      <c r="BU10" s="572"/>
      <c r="BV10" s="572"/>
      <c r="BW10" s="572"/>
      <c r="BX10" s="209"/>
      <c r="BY10" s="209"/>
      <c r="BZ10" s="209"/>
      <c r="CA10" s="22"/>
      <c r="CB10" s="23"/>
      <c r="CM10" s="20"/>
      <c r="CN10" s="2087"/>
      <c r="CO10" s="2087"/>
      <c r="CP10" s="2087"/>
      <c r="CQ10" s="2087"/>
      <c r="CR10" s="2087"/>
      <c r="CS10" s="2087"/>
      <c r="CT10" s="209"/>
      <c r="CU10" s="209"/>
      <c r="CX10" s="1325" t="s">
        <v>1359</v>
      </c>
      <c r="CY10" s="1321">
        <f>MIN(F11:F22,AN11:AN22,F25:F34,AN25:AN34)</f>
        <v>9.1999999999999993</v>
      </c>
      <c r="CZ10" s="1321" t="s">
        <v>247</v>
      </c>
      <c r="DA10" s="1321">
        <f>MAX(F11:F22,AN11:AN22,F25:F34,AN25:AN34)</f>
        <v>19</v>
      </c>
      <c r="DC10" s="3"/>
      <c r="DD10" s="3"/>
      <c r="DE10" s="3"/>
      <c r="DF10" s="3"/>
    </row>
    <row r="11" spans="1:110" s="21" customFormat="1" ht="21.95" customHeight="1" x14ac:dyDescent="0.35">
      <c r="A11" s="1948" t="s">
        <v>1134</v>
      </c>
      <c r="B11" s="2084">
        <v>1</v>
      </c>
      <c r="C11" s="1965">
        <v>0.12</v>
      </c>
      <c r="D11" s="2029">
        <v>1</v>
      </c>
      <c r="E11" s="1974">
        <v>0.1</v>
      </c>
      <c r="F11" s="2083">
        <v>15.6</v>
      </c>
      <c r="G11" s="1900"/>
      <c r="H11" s="1913"/>
      <c r="I11" s="1913"/>
      <c r="J11" s="1920">
        <v>100</v>
      </c>
      <c r="K11" s="1956"/>
      <c r="L11" s="1951"/>
      <c r="M11" s="2078"/>
      <c r="N11" s="1956"/>
      <c r="O11" s="1951"/>
      <c r="P11" s="2080"/>
      <c r="Q11" s="1956"/>
      <c r="R11" s="1951"/>
      <c r="S11" s="1951"/>
      <c r="T11" s="1976"/>
      <c r="U11" s="1956"/>
      <c r="V11" s="1951"/>
      <c r="W11" s="1951"/>
      <c r="X11" s="1976"/>
      <c r="Y11" s="1967"/>
      <c r="Z11" s="1951"/>
      <c r="AA11" s="1951"/>
      <c r="AB11" s="1976"/>
      <c r="AC11" s="965">
        <v>8</v>
      </c>
      <c r="AD11" s="1516">
        <v>26</v>
      </c>
      <c r="AE11" s="1516">
        <v>50</v>
      </c>
      <c r="AF11" s="1598">
        <v>53</v>
      </c>
      <c r="AG11" s="1516">
        <v>60</v>
      </c>
      <c r="AH11" s="18"/>
      <c r="AI11" s="1948" t="s">
        <v>1147</v>
      </c>
      <c r="AJ11" s="2084">
        <v>1</v>
      </c>
      <c r="AK11" s="1965">
        <v>0.12</v>
      </c>
      <c r="AL11" s="2029">
        <v>1</v>
      </c>
      <c r="AM11" s="1974">
        <v>0.06</v>
      </c>
      <c r="AN11" s="1947"/>
      <c r="AO11" s="1900">
        <v>0.3</v>
      </c>
      <c r="AP11" s="1913"/>
      <c r="AQ11" s="1913"/>
      <c r="AR11" s="1920">
        <v>100.8</v>
      </c>
      <c r="AS11" s="2128"/>
      <c r="AT11" s="2153"/>
      <c r="AU11" s="2126"/>
      <c r="AV11" s="2128"/>
      <c r="AW11" s="2153"/>
      <c r="AX11" s="2096"/>
      <c r="AY11" s="1893"/>
      <c r="AZ11" s="1913"/>
      <c r="BA11" s="1913"/>
      <c r="BB11" s="2098"/>
      <c r="BC11" s="1893"/>
      <c r="BD11" s="1913"/>
      <c r="BE11" s="1913"/>
      <c r="BF11" s="2098"/>
      <c r="BG11" s="1915"/>
      <c r="BH11" s="1913"/>
      <c r="BI11" s="1913"/>
      <c r="BJ11" s="2098"/>
      <c r="BK11" s="965">
        <v>8</v>
      </c>
      <c r="BL11" s="282">
        <v>30</v>
      </c>
      <c r="BM11" s="282">
        <v>49</v>
      </c>
      <c r="BN11" s="1598">
        <v>50</v>
      </c>
      <c r="BO11" s="282">
        <v>58</v>
      </c>
      <c r="BP11" s="19"/>
      <c r="BQ11" s="20"/>
      <c r="BR11" s="575"/>
      <c r="BS11" s="571"/>
      <c r="BT11" s="572"/>
      <c r="BU11" s="572"/>
      <c r="BV11" s="572"/>
      <c r="BW11" s="572"/>
      <c r="BX11" s="209"/>
      <c r="BY11" s="209"/>
      <c r="BZ11" s="209"/>
      <c r="CA11" s="22"/>
      <c r="CB11" s="23"/>
      <c r="CM11" s="20"/>
      <c r="CN11" s="2260"/>
      <c r="CO11" s="2260"/>
      <c r="CP11" s="2260"/>
      <c r="CQ11" s="2260"/>
      <c r="CR11" s="2260"/>
      <c r="CS11" s="2260"/>
      <c r="CT11" s="209"/>
      <c r="CU11" s="209"/>
      <c r="CX11" s="1325" t="s">
        <v>1360</v>
      </c>
      <c r="CY11" s="1320">
        <f>MIN(E11:E22,AM11:AM22,E25:E34,AM25:AM34)</f>
        <v>0.06</v>
      </c>
      <c r="CZ11" s="1320" t="s">
        <v>247</v>
      </c>
      <c r="DA11" s="1320">
        <f>MAX(E11:E22,AM11:AM22,E25:E34,AM25:AM34)</f>
        <v>0.1</v>
      </c>
      <c r="DC11" s="3"/>
      <c r="DD11" s="3"/>
      <c r="DE11" s="3"/>
      <c r="DF11" s="3"/>
    </row>
    <row r="12" spans="1:110" s="21" customFormat="1" ht="21.95" customHeight="1" x14ac:dyDescent="0.35">
      <c r="A12" s="1948"/>
      <c r="B12" s="1970"/>
      <c r="C12" s="1974"/>
      <c r="D12" s="1935"/>
      <c r="E12" s="1974"/>
      <c r="F12" s="2083"/>
      <c r="G12" s="1901"/>
      <c r="H12" s="1914"/>
      <c r="I12" s="1914"/>
      <c r="J12" s="1921"/>
      <c r="K12" s="1957"/>
      <c r="L12" s="1952"/>
      <c r="M12" s="2079"/>
      <c r="N12" s="1957"/>
      <c r="O12" s="1952"/>
      <c r="P12" s="2081"/>
      <c r="Q12" s="1957"/>
      <c r="R12" s="1952"/>
      <c r="S12" s="1952"/>
      <c r="T12" s="1938"/>
      <c r="U12" s="1957"/>
      <c r="V12" s="1952"/>
      <c r="W12" s="1952"/>
      <c r="X12" s="1938"/>
      <c r="Y12" s="1968"/>
      <c r="Z12" s="1952"/>
      <c r="AA12" s="1952"/>
      <c r="AB12" s="1938"/>
      <c r="AC12" s="965">
        <v>9</v>
      </c>
      <c r="AD12" s="1516">
        <v>30</v>
      </c>
      <c r="AE12" s="1516">
        <v>46</v>
      </c>
      <c r="AF12" s="1516">
        <v>60</v>
      </c>
      <c r="AG12" s="1516">
        <v>58</v>
      </c>
      <c r="AH12" s="18"/>
      <c r="AI12" s="1948"/>
      <c r="AJ12" s="1970"/>
      <c r="AK12" s="1974"/>
      <c r="AL12" s="1935"/>
      <c r="AM12" s="1974"/>
      <c r="AN12" s="1947"/>
      <c r="AO12" s="1901"/>
      <c r="AP12" s="1914"/>
      <c r="AQ12" s="1914"/>
      <c r="AR12" s="1921"/>
      <c r="AS12" s="2112"/>
      <c r="AT12" s="2154"/>
      <c r="AU12" s="2127"/>
      <c r="AV12" s="2112"/>
      <c r="AW12" s="2154"/>
      <c r="AX12" s="2097"/>
      <c r="AY12" s="1971"/>
      <c r="AZ12" s="1914"/>
      <c r="BA12" s="1914"/>
      <c r="BB12" s="2099"/>
      <c r="BC12" s="1971"/>
      <c r="BD12" s="1914"/>
      <c r="BE12" s="1914"/>
      <c r="BF12" s="2099"/>
      <c r="BG12" s="1916"/>
      <c r="BH12" s="1914"/>
      <c r="BI12" s="1914"/>
      <c r="BJ12" s="2099"/>
      <c r="BK12" s="965">
        <v>9</v>
      </c>
      <c r="BL12" s="282">
        <v>30</v>
      </c>
      <c r="BM12" s="282">
        <v>46</v>
      </c>
      <c r="BN12" s="1598">
        <v>55</v>
      </c>
      <c r="BO12" s="1598">
        <v>55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2260" t="s">
        <v>187</v>
      </c>
      <c r="CO12" s="2260"/>
      <c r="CP12" s="2260"/>
      <c r="CQ12" s="2260"/>
      <c r="CR12" s="2260"/>
      <c r="CS12" s="2260"/>
      <c r="CT12" s="209"/>
      <c r="CU12" s="209"/>
      <c r="CX12" s="1325" t="s">
        <v>1361</v>
      </c>
      <c r="CY12" s="1321">
        <f>MIN(AC78:AC89,BK78:BK89)</f>
        <v>67</v>
      </c>
      <c r="CZ12" s="1321" t="s">
        <v>247</v>
      </c>
      <c r="DA12" s="1321">
        <f>MAX(AC78:AC89,BK78:BK89)</f>
        <v>71</v>
      </c>
      <c r="DC12" s="3"/>
      <c r="DD12" s="3"/>
      <c r="DE12" s="3"/>
      <c r="DF12" s="3"/>
    </row>
    <row r="13" spans="1:110" s="21" customFormat="1" ht="21.95" customHeight="1" x14ac:dyDescent="0.35">
      <c r="A13" s="1948" t="s">
        <v>1135</v>
      </c>
      <c r="B13" s="1969">
        <v>2</v>
      </c>
      <c r="C13" s="1974">
        <v>0.12</v>
      </c>
      <c r="D13" s="1934">
        <v>2</v>
      </c>
      <c r="E13" s="2085">
        <v>0.06</v>
      </c>
      <c r="F13" s="2077">
        <v>17</v>
      </c>
      <c r="G13" s="1900"/>
      <c r="H13" s="1913"/>
      <c r="I13" s="1913"/>
      <c r="J13" s="1920">
        <v>98.4</v>
      </c>
      <c r="K13" s="1956"/>
      <c r="L13" s="1951"/>
      <c r="M13" s="2078"/>
      <c r="N13" s="1956"/>
      <c r="O13" s="1951"/>
      <c r="P13" s="2080"/>
      <c r="Q13" s="1956"/>
      <c r="R13" s="1951"/>
      <c r="S13" s="1951"/>
      <c r="T13" s="1976"/>
      <c r="U13" s="1956"/>
      <c r="V13" s="1951"/>
      <c r="W13" s="1951"/>
      <c r="X13" s="1976"/>
      <c r="Y13" s="1967"/>
      <c r="Z13" s="1951"/>
      <c r="AA13" s="1951"/>
      <c r="AB13" s="1976"/>
      <c r="AC13" s="965">
        <v>10</v>
      </c>
      <c r="AD13" s="1516">
        <v>30</v>
      </c>
      <c r="AE13" s="1598">
        <v>52</v>
      </c>
      <c r="AF13" s="1598">
        <v>49</v>
      </c>
      <c r="AG13" s="1598">
        <v>56</v>
      </c>
      <c r="AH13" s="18"/>
      <c r="AI13" s="1948" t="s">
        <v>1148</v>
      </c>
      <c r="AJ13" s="1969">
        <v>2</v>
      </c>
      <c r="AK13" s="1974">
        <v>0.12</v>
      </c>
      <c r="AL13" s="1934">
        <v>2</v>
      </c>
      <c r="AM13" s="2085">
        <v>0.06</v>
      </c>
      <c r="AN13" s="2107"/>
      <c r="AO13" s="1900"/>
      <c r="AP13" s="1913"/>
      <c r="AQ13" s="1913"/>
      <c r="AR13" s="1920">
        <v>101.6</v>
      </c>
      <c r="AS13" s="1893"/>
      <c r="AT13" s="1913"/>
      <c r="AU13" s="2151"/>
      <c r="AV13" s="1893"/>
      <c r="AW13" s="1913"/>
      <c r="AX13" s="2100"/>
      <c r="AY13" s="1893"/>
      <c r="AZ13" s="1913"/>
      <c r="BA13" s="1913"/>
      <c r="BB13" s="2098"/>
      <c r="BC13" s="1893"/>
      <c r="BD13" s="1913"/>
      <c r="BE13" s="1913"/>
      <c r="BF13" s="2098"/>
      <c r="BG13" s="1915"/>
      <c r="BH13" s="1913"/>
      <c r="BI13" s="1913"/>
      <c r="BJ13" s="2098"/>
      <c r="BK13" s="965">
        <v>10</v>
      </c>
      <c r="BL13" s="282"/>
      <c r="BM13" s="282"/>
      <c r="BN13" s="282"/>
      <c r="BO13" s="282">
        <v>60</v>
      </c>
      <c r="BP13" s="19"/>
      <c r="BQ13" s="20"/>
      <c r="BR13" s="993"/>
      <c r="BS13" s="993"/>
      <c r="BT13" s="993"/>
      <c r="BU13" s="993"/>
      <c r="BV13" s="993"/>
      <c r="BW13" s="993"/>
      <c r="BX13" s="993"/>
      <c r="BY13" s="993"/>
      <c r="BZ13" s="209"/>
      <c r="CA13" s="22"/>
      <c r="CB13" s="23"/>
      <c r="CM13" s="20"/>
      <c r="CN13" s="2260"/>
      <c r="CO13" s="2260"/>
      <c r="CP13" s="2260"/>
      <c r="CQ13" s="2260"/>
      <c r="CR13" s="2260"/>
      <c r="CS13" s="2260"/>
      <c r="CT13" s="209"/>
      <c r="CU13" s="209"/>
      <c r="CX13" s="1325" t="s">
        <v>1362</v>
      </c>
      <c r="CY13" s="1321">
        <f>MIN(BM95:BM101)</f>
        <v>0</v>
      </c>
      <c r="CZ13" s="1321" t="s">
        <v>247</v>
      </c>
      <c r="DA13" s="1321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1948"/>
      <c r="B14" s="1970"/>
      <c r="C14" s="1974"/>
      <c r="D14" s="1935"/>
      <c r="E14" s="2085"/>
      <c r="F14" s="2077"/>
      <c r="G14" s="1901"/>
      <c r="H14" s="1914"/>
      <c r="I14" s="1914"/>
      <c r="J14" s="1921"/>
      <c r="K14" s="1957"/>
      <c r="L14" s="1952"/>
      <c r="M14" s="2079"/>
      <c r="N14" s="1957"/>
      <c r="O14" s="1952"/>
      <c r="P14" s="2081"/>
      <c r="Q14" s="1957"/>
      <c r="R14" s="1952"/>
      <c r="S14" s="1952"/>
      <c r="T14" s="1938"/>
      <c r="U14" s="1957"/>
      <c r="V14" s="1952"/>
      <c r="W14" s="1952"/>
      <c r="X14" s="1938"/>
      <c r="Y14" s="1968"/>
      <c r="Z14" s="1952"/>
      <c r="AA14" s="1952"/>
      <c r="AB14" s="1938"/>
      <c r="AC14" s="965">
        <v>11</v>
      </c>
      <c r="AD14" s="1516"/>
      <c r="AE14" s="1516"/>
      <c r="AF14" s="1516"/>
      <c r="AG14" s="1516"/>
      <c r="AH14" s="18"/>
      <c r="AI14" s="1948"/>
      <c r="AJ14" s="1970"/>
      <c r="AK14" s="1974"/>
      <c r="AL14" s="1935"/>
      <c r="AM14" s="2085"/>
      <c r="AN14" s="2107"/>
      <c r="AO14" s="1901"/>
      <c r="AP14" s="1914"/>
      <c r="AQ14" s="1914"/>
      <c r="AR14" s="1921"/>
      <c r="AS14" s="1971"/>
      <c r="AT14" s="1914"/>
      <c r="AU14" s="2152"/>
      <c r="AV14" s="1971"/>
      <c r="AW14" s="1914"/>
      <c r="AX14" s="2101"/>
      <c r="AY14" s="1971"/>
      <c r="AZ14" s="1914"/>
      <c r="BA14" s="1914"/>
      <c r="BB14" s="2099"/>
      <c r="BC14" s="1971"/>
      <c r="BD14" s="1914"/>
      <c r="BE14" s="1914"/>
      <c r="BF14" s="2099"/>
      <c r="BG14" s="1916"/>
      <c r="BH14" s="1914"/>
      <c r="BI14" s="1914"/>
      <c r="BJ14" s="2099"/>
      <c r="BK14" s="965">
        <v>11</v>
      </c>
      <c r="BL14" s="282"/>
      <c r="BM14" s="282"/>
      <c r="BN14" s="282"/>
      <c r="BO14" s="282"/>
      <c r="BP14" s="19"/>
      <c r="BQ14" s="20"/>
      <c r="BR14" s="993"/>
      <c r="BS14" s="993"/>
      <c r="BT14" s="993"/>
      <c r="BU14" s="993"/>
      <c r="BV14" s="993"/>
      <c r="BW14" s="993"/>
      <c r="BX14" s="993"/>
      <c r="BY14" s="993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5" t="s">
        <v>1363</v>
      </c>
      <c r="CY14" s="1322">
        <f>MIN(AC40:AC46,AC48:AC54,BK40:BK46,BK48:BK54)</f>
        <v>57</v>
      </c>
      <c r="CZ14" s="1322" t="s">
        <v>247</v>
      </c>
      <c r="DA14" s="1322">
        <f>MAX(AC40:AC46,AC48:AC54,BK40:BK46,BK48:BK54)</f>
        <v>62</v>
      </c>
      <c r="DC14" s="3"/>
      <c r="DD14" s="3"/>
      <c r="DE14" s="3"/>
      <c r="DF14" s="3"/>
    </row>
    <row r="15" spans="1:110" s="21" customFormat="1" ht="21.95" customHeight="1" x14ac:dyDescent="0.35">
      <c r="A15" s="1948" t="s">
        <v>1136</v>
      </c>
      <c r="B15" s="1969">
        <v>3</v>
      </c>
      <c r="C15" s="1974">
        <v>0.24</v>
      </c>
      <c r="D15" s="2029">
        <v>3</v>
      </c>
      <c r="E15" s="2085">
        <v>0.06</v>
      </c>
      <c r="F15" s="2077">
        <v>19</v>
      </c>
      <c r="G15" s="1900"/>
      <c r="H15" s="1913"/>
      <c r="I15" s="1913"/>
      <c r="J15" s="1920">
        <v>98.8</v>
      </c>
      <c r="K15" s="1956"/>
      <c r="L15" s="1951"/>
      <c r="M15" s="2078"/>
      <c r="N15" s="1956"/>
      <c r="O15" s="1951"/>
      <c r="P15" s="2080"/>
      <c r="Q15" s="1956"/>
      <c r="R15" s="1951"/>
      <c r="S15" s="1951"/>
      <c r="T15" s="1976"/>
      <c r="U15" s="1956"/>
      <c r="V15" s="1951"/>
      <c r="W15" s="1951"/>
      <c r="X15" s="1976"/>
      <c r="Y15" s="1967"/>
      <c r="Z15" s="1951"/>
      <c r="AA15" s="1951"/>
      <c r="AB15" s="1976"/>
      <c r="AC15" s="965">
        <v>12</v>
      </c>
      <c r="AD15" s="1516">
        <v>29</v>
      </c>
      <c r="AE15" s="1598">
        <v>56</v>
      </c>
      <c r="AF15" s="1598">
        <v>48</v>
      </c>
      <c r="AG15" s="1598">
        <v>57</v>
      </c>
      <c r="AH15" s="18"/>
      <c r="AI15" s="1948" t="s">
        <v>1149</v>
      </c>
      <c r="AJ15" s="1969">
        <v>3</v>
      </c>
      <c r="AK15" s="1974">
        <v>0.24</v>
      </c>
      <c r="AL15" s="2029">
        <v>3</v>
      </c>
      <c r="AM15" s="2085">
        <v>0.06</v>
      </c>
      <c r="AN15" s="2107"/>
      <c r="AO15" s="1900"/>
      <c r="AP15" s="1913"/>
      <c r="AQ15" s="1913"/>
      <c r="AR15" s="1920">
        <v>100.8</v>
      </c>
      <c r="AS15" s="1893"/>
      <c r="AT15" s="1913"/>
      <c r="AU15" s="2151"/>
      <c r="AV15" s="1893"/>
      <c r="AW15" s="1913"/>
      <c r="AX15" s="2100"/>
      <c r="AY15" s="1893"/>
      <c r="AZ15" s="1913"/>
      <c r="BA15" s="1913"/>
      <c r="BB15" s="2098"/>
      <c r="BC15" s="1893"/>
      <c r="BD15" s="1913"/>
      <c r="BE15" s="1913"/>
      <c r="BF15" s="2098"/>
      <c r="BG15" s="1915"/>
      <c r="BH15" s="1913"/>
      <c r="BI15" s="1913"/>
      <c r="BJ15" s="2098"/>
      <c r="BK15" s="965">
        <v>12</v>
      </c>
      <c r="BL15" s="282">
        <v>31</v>
      </c>
      <c r="BM15" s="282">
        <v>47</v>
      </c>
      <c r="BN15" s="1598">
        <v>58</v>
      </c>
      <c r="BO15" s="282">
        <v>59</v>
      </c>
      <c r="BP15" s="19"/>
      <c r="BQ15" s="20"/>
      <c r="BR15" s="2087" t="s">
        <v>787</v>
      </c>
      <c r="BS15" s="2087"/>
      <c r="BT15" s="2087"/>
      <c r="BU15" s="2087"/>
      <c r="BV15" s="2087"/>
      <c r="BW15" s="2087"/>
      <c r="BX15" s="41"/>
      <c r="BY15" s="41"/>
      <c r="BZ15" s="41"/>
      <c r="CA15" s="22"/>
      <c r="CB15" s="23"/>
      <c r="CM15" s="20"/>
      <c r="CN15" s="209"/>
      <c r="CO15" s="2260" t="s">
        <v>90</v>
      </c>
      <c r="CP15" s="2285" t="str">
        <f>N4</f>
        <v>23.02.2026г</v>
      </c>
      <c r="CQ15" s="209"/>
      <c r="CR15" s="209"/>
      <c r="CS15" s="209"/>
      <c r="CT15" s="209"/>
      <c r="CU15" s="209"/>
      <c r="CX15" s="1325" t="s">
        <v>1364</v>
      </c>
      <c r="CY15" s="1321">
        <f>MIN(J9:J34,AR9:AR34)</f>
        <v>97.1</v>
      </c>
      <c r="CZ15" s="1321" t="s">
        <v>247</v>
      </c>
      <c r="DA15" s="1321">
        <f>MAX(J9:J34,AR9:AR34)</f>
        <v>102.4</v>
      </c>
      <c r="DC15" s="3"/>
      <c r="DD15" s="3"/>
      <c r="DE15" s="3"/>
      <c r="DF15" s="3"/>
    </row>
    <row r="16" spans="1:110" s="21" customFormat="1" ht="21.95" customHeight="1" x14ac:dyDescent="0.35">
      <c r="A16" s="1948"/>
      <c r="B16" s="1970"/>
      <c r="C16" s="1974"/>
      <c r="D16" s="1935"/>
      <c r="E16" s="2085"/>
      <c r="F16" s="2077"/>
      <c r="G16" s="1901"/>
      <c r="H16" s="1914"/>
      <c r="I16" s="1914"/>
      <c r="J16" s="1921"/>
      <c r="K16" s="1957"/>
      <c r="L16" s="1952"/>
      <c r="M16" s="2079"/>
      <c r="N16" s="1957"/>
      <c r="O16" s="1952"/>
      <c r="P16" s="2081"/>
      <c r="Q16" s="1957"/>
      <c r="R16" s="1952"/>
      <c r="S16" s="1952"/>
      <c r="T16" s="1938"/>
      <c r="U16" s="1957"/>
      <c r="V16" s="1952"/>
      <c r="W16" s="1952"/>
      <c r="X16" s="1938"/>
      <c r="Y16" s="1968"/>
      <c r="Z16" s="1952"/>
      <c r="AA16" s="1952"/>
      <c r="AB16" s="1938"/>
      <c r="AC16" s="965">
        <v>13</v>
      </c>
      <c r="AD16" s="1516"/>
      <c r="AE16" s="1516"/>
      <c r="AF16" s="1516"/>
      <c r="AG16" s="1598">
        <v>57</v>
      </c>
      <c r="AH16" s="18"/>
      <c r="AI16" s="1948"/>
      <c r="AJ16" s="1970"/>
      <c r="AK16" s="1974"/>
      <c r="AL16" s="1935"/>
      <c r="AM16" s="2085"/>
      <c r="AN16" s="2107"/>
      <c r="AO16" s="1901"/>
      <c r="AP16" s="1914"/>
      <c r="AQ16" s="1914"/>
      <c r="AR16" s="1921"/>
      <c r="AS16" s="1971"/>
      <c r="AT16" s="1914"/>
      <c r="AU16" s="2152"/>
      <c r="AV16" s="1971"/>
      <c r="AW16" s="1914"/>
      <c r="AX16" s="2101"/>
      <c r="AY16" s="1971"/>
      <c r="AZ16" s="1914"/>
      <c r="BA16" s="1914"/>
      <c r="BB16" s="2099"/>
      <c r="BC16" s="1971"/>
      <c r="BD16" s="1914"/>
      <c r="BE16" s="1914"/>
      <c r="BF16" s="2099"/>
      <c r="BG16" s="1916"/>
      <c r="BH16" s="1914"/>
      <c r="BI16" s="1914"/>
      <c r="BJ16" s="2099"/>
      <c r="BK16" s="965">
        <v>13</v>
      </c>
      <c r="BL16" s="282"/>
      <c r="BM16" s="282"/>
      <c r="BN16" s="282"/>
      <c r="BO16" s="282">
        <v>60</v>
      </c>
      <c r="BP16" s="19"/>
      <c r="BQ16" s="20"/>
      <c r="BR16" s="2087"/>
      <c r="BS16" s="2087"/>
      <c r="BT16" s="2087"/>
      <c r="BU16" s="2087"/>
      <c r="BV16" s="2087"/>
      <c r="BW16" s="2087"/>
      <c r="BX16" s="993"/>
      <c r="BY16" s="993"/>
      <c r="BZ16" s="209"/>
      <c r="CA16" s="22"/>
      <c r="CB16" s="23"/>
      <c r="CM16" s="20"/>
      <c r="CN16" s="209"/>
      <c r="CO16" s="2260"/>
      <c r="CP16" s="2285"/>
      <c r="CQ16" s="209"/>
      <c r="CR16" s="209"/>
      <c r="CS16" s="209"/>
      <c r="CT16" s="209"/>
      <c r="CU16" s="209"/>
      <c r="CX16" s="1325" t="s">
        <v>1366</v>
      </c>
      <c r="CY16" s="1321">
        <f>MIN(I9:I35,AQ9:AQ35)</f>
        <v>88</v>
      </c>
      <c r="CZ16" s="1323" t="s">
        <v>247</v>
      </c>
      <c r="DA16" s="1321">
        <f>MAX(I9:I35,AQ9:AQ35)</f>
        <v>88.9</v>
      </c>
      <c r="DC16" s="3"/>
      <c r="DD16" s="3"/>
      <c r="DE16" s="3"/>
      <c r="DF16" s="3"/>
    </row>
    <row r="17" spans="1:110" s="21" customFormat="1" ht="21.95" customHeight="1" x14ac:dyDescent="0.35">
      <c r="A17" s="1948" t="s">
        <v>1137</v>
      </c>
      <c r="B17" s="1969"/>
      <c r="C17" s="1974"/>
      <c r="D17" s="2029">
        <v>5</v>
      </c>
      <c r="E17" s="2085">
        <v>0.06</v>
      </c>
      <c r="F17" s="2083">
        <v>9.1999999999999993</v>
      </c>
      <c r="G17" s="1900"/>
      <c r="H17" s="1913"/>
      <c r="I17" s="1913"/>
      <c r="J17" s="1920">
        <v>98.8</v>
      </c>
      <c r="K17" s="1956"/>
      <c r="L17" s="1951"/>
      <c r="M17" s="2078"/>
      <c r="N17" s="1956"/>
      <c r="O17" s="1951"/>
      <c r="P17" s="2080"/>
      <c r="Q17" s="1956"/>
      <c r="R17" s="1951"/>
      <c r="S17" s="1951"/>
      <c r="T17" s="1976"/>
      <c r="U17" s="1956"/>
      <c r="V17" s="1951"/>
      <c r="W17" s="1951"/>
      <c r="X17" s="1976"/>
      <c r="Y17" s="1967"/>
      <c r="Z17" s="1951"/>
      <c r="AA17" s="1951"/>
      <c r="AB17" s="1976"/>
      <c r="AC17" s="965">
        <v>14</v>
      </c>
      <c r="AD17" s="1516"/>
      <c r="AE17" s="1516"/>
      <c r="AF17" s="1516"/>
      <c r="AG17" s="1516"/>
      <c r="AH17" s="18"/>
      <c r="AI17" s="1948" t="s">
        <v>1150</v>
      </c>
      <c r="AJ17" s="1969"/>
      <c r="AK17" s="1974"/>
      <c r="AL17" s="2029">
        <v>5</v>
      </c>
      <c r="AM17" s="2085">
        <v>0.1</v>
      </c>
      <c r="AN17" s="2107"/>
      <c r="AO17" s="1900">
        <v>0.44</v>
      </c>
      <c r="AP17" s="1913"/>
      <c r="AQ17" s="1913"/>
      <c r="AR17" s="1909">
        <v>102.4</v>
      </c>
      <c r="AS17" s="1893"/>
      <c r="AT17" s="1913"/>
      <c r="AU17" s="2151"/>
      <c r="AV17" s="1893"/>
      <c r="AW17" s="1913"/>
      <c r="AX17" s="2100"/>
      <c r="AY17" s="1893"/>
      <c r="AZ17" s="1913"/>
      <c r="BA17" s="1913"/>
      <c r="BB17" s="2098"/>
      <c r="BC17" s="1893"/>
      <c r="BD17" s="1913"/>
      <c r="BE17" s="1913"/>
      <c r="BF17" s="2098"/>
      <c r="BG17" s="1915"/>
      <c r="BH17" s="1913"/>
      <c r="BI17" s="1913"/>
      <c r="BJ17" s="2098"/>
      <c r="BK17" s="965">
        <v>14</v>
      </c>
      <c r="BL17" s="282"/>
      <c r="BM17" s="282"/>
      <c r="BN17" s="282"/>
      <c r="BO17" s="282"/>
      <c r="BP17" s="19"/>
      <c r="BQ17" s="20"/>
      <c r="BR17" s="2260"/>
      <c r="BS17" s="2260"/>
      <c r="BT17" s="2260"/>
      <c r="BU17" s="2260"/>
      <c r="BV17" s="2260"/>
      <c r="BW17" s="2260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5" t="s">
        <v>248</v>
      </c>
      <c r="CY17" s="1320">
        <f>MIN(G9:G34,AO9:AO34)</f>
        <v>0.3</v>
      </c>
      <c r="CZ17" s="1320" t="s">
        <v>247</v>
      </c>
      <c r="DA17" s="1320">
        <f>MAX(G9:G34,AO9:AO34)</f>
        <v>0.48</v>
      </c>
      <c r="DC17" s="3"/>
      <c r="DD17" s="3"/>
      <c r="DE17" s="3"/>
      <c r="DF17" s="3"/>
    </row>
    <row r="18" spans="1:110" s="21" customFormat="1" ht="21.95" customHeight="1" thickBot="1" x14ac:dyDescent="0.5">
      <c r="A18" s="1948"/>
      <c r="B18" s="1970"/>
      <c r="C18" s="1974"/>
      <c r="D18" s="1935"/>
      <c r="E18" s="2085"/>
      <c r="F18" s="2083"/>
      <c r="G18" s="1901"/>
      <c r="H18" s="1914"/>
      <c r="I18" s="1914"/>
      <c r="J18" s="1921"/>
      <c r="K18" s="1957"/>
      <c r="L18" s="1952"/>
      <c r="M18" s="2079"/>
      <c r="N18" s="1957"/>
      <c r="O18" s="1952"/>
      <c r="P18" s="2081"/>
      <c r="Q18" s="1957"/>
      <c r="R18" s="1952"/>
      <c r="S18" s="1952"/>
      <c r="T18" s="1938"/>
      <c r="U18" s="1957"/>
      <c r="V18" s="1952"/>
      <c r="W18" s="1952"/>
      <c r="X18" s="1938"/>
      <c r="Y18" s="1968"/>
      <c r="Z18" s="1952"/>
      <c r="AA18" s="1952"/>
      <c r="AB18" s="1938"/>
      <c r="AC18" s="968">
        <v>15</v>
      </c>
      <c r="AD18" s="1517">
        <v>33</v>
      </c>
      <c r="AE18" s="1599">
        <v>52</v>
      </c>
      <c r="AF18" s="1599">
        <v>48</v>
      </c>
      <c r="AG18" s="1599">
        <v>51</v>
      </c>
      <c r="AH18" s="18"/>
      <c r="AI18" s="1948"/>
      <c r="AJ18" s="1970"/>
      <c r="AK18" s="1974"/>
      <c r="AL18" s="1935"/>
      <c r="AM18" s="2085"/>
      <c r="AN18" s="2107"/>
      <c r="AO18" s="1901"/>
      <c r="AP18" s="1914"/>
      <c r="AQ18" s="1914"/>
      <c r="AR18" s="1910"/>
      <c r="AS18" s="1971"/>
      <c r="AT18" s="1914"/>
      <c r="AU18" s="2152"/>
      <c r="AV18" s="1971"/>
      <c r="AW18" s="1914"/>
      <c r="AX18" s="2101"/>
      <c r="AY18" s="1971"/>
      <c r="AZ18" s="1914"/>
      <c r="BA18" s="1914"/>
      <c r="BB18" s="2099"/>
      <c r="BC18" s="1971"/>
      <c r="BD18" s="1914"/>
      <c r="BE18" s="1914"/>
      <c r="BF18" s="2099"/>
      <c r="BG18" s="1916"/>
      <c r="BH18" s="1914"/>
      <c r="BI18" s="1914"/>
      <c r="BJ18" s="2099"/>
      <c r="BK18" s="968">
        <v>15</v>
      </c>
      <c r="BL18" s="283">
        <v>31</v>
      </c>
      <c r="BM18" s="283">
        <v>51</v>
      </c>
      <c r="BN18" s="1599">
        <v>50</v>
      </c>
      <c r="BO18" s="1599">
        <v>55</v>
      </c>
      <c r="BP18" s="19"/>
      <c r="BQ18" s="20"/>
      <c r="BR18" s="266"/>
      <c r="BS18" s="266"/>
      <c r="BT18" s="1006"/>
      <c r="BU18" s="2273" t="str">
        <f>N4</f>
        <v>23.02.2026г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5" t="s">
        <v>1365</v>
      </c>
      <c r="CY18" s="1322">
        <f>MIN(F73,AN73)</f>
        <v>58</v>
      </c>
      <c r="CZ18" s="1322" t="s">
        <v>247</v>
      </c>
      <c r="DA18" s="1322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1948" t="s">
        <v>1138</v>
      </c>
      <c r="B19" s="1969"/>
      <c r="C19" s="1974"/>
      <c r="D19" s="2029">
        <v>7</v>
      </c>
      <c r="E19" s="2085"/>
      <c r="F19" s="2085"/>
      <c r="G19" s="1900"/>
      <c r="H19" s="1913"/>
      <c r="I19" s="1913"/>
      <c r="J19" s="1920">
        <v>98.4</v>
      </c>
      <c r="K19" s="1956"/>
      <c r="L19" s="1951"/>
      <c r="M19" s="2078"/>
      <c r="N19" s="1956"/>
      <c r="O19" s="1951"/>
      <c r="P19" s="2080"/>
      <c r="Q19" s="1956"/>
      <c r="R19" s="1951"/>
      <c r="S19" s="1951"/>
      <c r="T19" s="1976"/>
      <c r="U19" s="1956"/>
      <c r="V19" s="1951"/>
      <c r="W19" s="1951"/>
      <c r="X19" s="1976"/>
      <c r="Y19" s="1967"/>
      <c r="Z19" s="1951"/>
      <c r="AA19" s="1951"/>
      <c r="AB19" s="1976"/>
      <c r="AC19" s="621">
        <v>1</v>
      </c>
      <c r="AD19" s="1516">
        <v>30</v>
      </c>
      <c r="AE19" s="1516">
        <v>50</v>
      </c>
      <c r="AF19" s="1598">
        <v>45</v>
      </c>
      <c r="AG19" s="1598">
        <v>49</v>
      </c>
      <c r="AH19" s="18"/>
      <c r="AI19" s="1948" t="s">
        <v>1151</v>
      </c>
      <c r="AJ19" s="1969"/>
      <c r="AK19" s="1974"/>
      <c r="AL19" s="2029">
        <v>7</v>
      </c>
      <c r="AM19" s="2085"/>
      <c r="AN19" s="2107"/>
      <c r="AO19" s="1900"/>
      <c r="AP19" s="1913"/>
      <c r="AQ19" s="1913"/>
      <c r="AR19" s="1909">
        <v>100.8</v>
      </c>
      <c r="AS19" s="1893"/>
      <c r="AT19" s="1913"/>
      <c r="AU19" s="2151"/>
      <c r="AV19" s="1893"/>
      <c r="AW19" s="1913"/>
      <c r="AX19" s="2100"/>
      <c r="AY19" s="1893"/>
      <c r="AZ19" s="1913"/>
      <c r="BA19" s="1913"/>
      <c r="BB19" s="2098"/>
      <c r="BC19" s="1893"/>
      <c r="BD19" s="1913"/>
      <c r="BE19" s="1913"/>
      <c r="BF19" s="2098"/>
      <c r="BG19" s="1915"/>
      <c r="BH19" s="1913"/>
      <c r="BI19" s="1913"/>
      <c r="BJ19" s="2098"/>
      <c r="BK19" s="621">
        <v>1</v>
      </c>
      <c r="BL19" s="282">
        <v>30</v>
      </c>
      <c r="BM19" s="282">
        <v>49</v>
      </c>
      <c r="BN19" s="1598">
        <v>53</v>
      </c>
      <c r="BO19" s="1598">
        <v>57</v>
      </c>
      <c r="BP19" s="19"/>
      <c r="BQ19" s="20"/>
      <c r="BR19" s="266"/>
      <c r="BS19" s="266"/>
      <c r="BT19" s="267" t="s">
        <v>90</v>
      </c>
      <c r="BU19" s="2273"/>
      <c r="BV19" s="266"/>
      <c r="BW19" s="266"/>
      <c r="BX19" s="209"/>
      <c r="BY19" s="209"/>
      <c r="BZ19" s="993"/>
      <c r="CA19" s="22"/>
      <c r="CB19" s="22"/>
      <c r="CM19" s="20"/>
      <c r="CN19" s="2267" t="s">
        <v>401</v>
      </c>
      <c r="CO19" s="2268"/>
      <c r="CP19" s="2200" t="s">
        <v>83</v>
      </c>
      <c r="CQ19" s="2274"/>
      <c r="CR19" s="2274"/>
      <c r="CS19" s="2201"/>
      <c r="CT19" s="217"/>
      <c r="CU19" s="216"/>
      <c r="CX19" s="1325"/>
      <c r="CY19" s="1323"/>
      <c r="CZ19" s="1323"/>
      <c r="DA19" s="1323"/>
      <c r="DC19" s="3"/>
      <c r="DD19" s="3"/>
      <c r="DE19" s="3"/>
      <c r="DF19" s="3"/>
    </row>
    <row r="20" spans="1:110" s="21" customFormat="1" ht="21.95" customHeight="1" x14ac:dyDescent="0.35">
      <c r="A20" s="1948"/>
      <c r="B20" s="1970"/>
      <c r="C20" s="1974"/>
      <c r="D20" s="1935"/>
      <c r="E20" s="2085"/>
      <c r="F20" s="2085"/>
      <c r="G20" s="1901"/>
      <c r="H20" s="1914"/>
      <c r="I20" s="1914"/>
      <c r="J20" s="1921"/>
      <c r="K20" s="1957"/>
      <c r="L20" s="1952"/>
      <c r="M20" s="2079"/>
      <c r="N20" s="1957"/>
      <c r="O20" s="1952"/>
      <c r="P20" s="2081"/>
      <c r="Q20" s="1957"/>
      <c r="R20" s="1952"/>
      <c r="S20" s="1952"/>
      <c r="T20" s="1938"/>
      <c r="U20" s="1957"/>
      <c r="V20" s="1952"/>
      <c r="W20" s="1952"/>
      <c r="X20" s="1938"/>
      <c r="Y20" s="1968"/>
      <c r="Z20" s="1952"/>
      <c r="AA20" s="1952"/>
      <c r="AB20" s="1938"/>
      <c r="AC20" s="965">
        <v>2</v>
      </c>
      <c r="AD20" s="1516" t="s">
        <v>1683</v>
      </c>
      <c r="AE20" s="1516"/>
      <c r="AF20" s="1516"/>
      <c r="AG20" s="1516"/>
      <c r="AH20" s="18"/>
      <c r="AI20" s="1948"/>
      <c r="AJ20" s="1970"/>
      <c r="AK20" s="1974"/>
      <c r="AL20" s="1935"/>
      <c r="AM20" s="2085"/>
      <c r="AN20" s="2107"/>
      <c r="AO20" s="1901"/>
      <c r="AP20" s="1914"/>
      <c r="AQ20" s="1914"/>
      <c r="AR20" s="1910"/>
      <c r="AS20" s="1971"/>
      <c r="AT20" s="1914"/>
      <c r="AU20" s="2152"/>
      <c r="AV20" s="1971"/>
      <c r="AW20" s="1914"/>
      <c r="AX20" s="2101"/>
      <c r="AY20" s="1971"/>
      <c r="AZ20" s="1914"/>
      <c r="BA20" s="1914"/>
      <c r="BB20" s="2099"/>
      <c r="BC20" s="1971"/>
      <c r="BD20" s="1914"/>
      <c r="BE20" s="1914"/>
      <c r="BF20" s="2099"/>
      <c r="BG20" s="1916"/>
      <c r="BH20" s="1914"/>
      <c r="BI20" s="1914"/>
      <c r="BJ20" s="2099"/>
      <c r="BK20" s="965">
        <v>2</v>
      </c>
      <c r="BL20" s="282" t="s">
        <v>1704</v>
      </c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3"/>
      <c r="CA20" s="4"/>
      <c r="CB20" s="4"/>
      <c r="CM20" s="20"/>
      <c r="CN20" s="2269"/>
      <c r="CO20" s="2270"/>
      <c r="CP20" s="2202"/>
      <c r="CQ20" s="2275"/>
      <c r="CR20" s="2275"/>
      <c r="CS20" s="2203"/>
      <c r="CT20" s="217"/>
      <c r="CU20" s="216"/>
      <c r="CX20" s="1325" t="s">
        <v>1367</v>
      </c>
      <c r="CY20" s="1322">
        <f>MIN(AB40:AB46,AB48:AB54,BJ40:BJ46,BJ48:BJ54)</f>
        <v>66</v>
      </c>
      <c r="CZ20" s="1322" t="s">
        <v>247</v>
      </c>
      <c r="DA20" s="1322">
        <f>MAX(AB40:AB46,AB48:AB54,BJ40:BJ46,BJ48:BJ54)</f>
        <v>85</v>
      </c>
      <c r="DC20" s="3"/>
      <c r="DD20" s="3"/>
      <c r="DE20" s="3"/>
      <c r="DF20" s="3"/>
    </row>
    <row r="21" spans="1:110" s="21" customFormat="1" ht="21.95" customHeight="1" x14ac:dyDescent="0.35">
      <c r="A21" s="1948" t="s">
        <v>1139</v>
      </c>
      <c r="B21" s="1934">
        <v>4</v>
      </c>
      <c r="C21" s="2062">
        <v>0.36</v>
      </c>
      <c r="D21" s="1934"/>
      <c r="E21" s="1974"/>
      <c r="F21" s="1947"/>
      <c r="G21" s="1900">
        <v>0.46</v>
      </c>
      <c r="H21" s="1913"/>
      <c r="I21" s="1913">
        <v>88.4</v>
      </c>
      <c r="J21" s="1920">
        <v>98.4</v>
      </c>
      <c r="K21" s="2082" t="s">
        <v>752</v>
      </c>
      <c r="L21" s="2086">
        <v>61.7</v>
      </c>
      <c r="M21" s="1975">
        <v>77</v>
      </c>
      <c r="N21" s="2093">
        <v>58.5</v>
      </c>
      <c r="O21" s="2083">
        <v>56.4</v>
      </c>
      <c r="P21" s="2092">
        <v>65.5</v>
      </c>
      <c r="Q21" s="1956"/>
      <c r="R21" s="1951"/>
      <c r="S21" s="1951"/>
      <c r="T21" s="1976"/>
      <c r="U21" s="1956"/>
      <c r="V21" s="1951"/>
      <c r="W21" s="1951"/>
      <c r="X21" s="1976"/>
      <c r="Y21" s="1967"/>
      <c r="Z21" s="1951"/>
      <c r="AA21" s="1951"/>
      <c r="AB21" s="1976"/>
      <c r="AC21" s="965">
        <v>3</v>
      </c>
      <c r="AD21" s="1518"/>
      <c r="AE21" s="1518"/>
      <c r="AF21" s="1518"/>
      <c r="AG21" s="1626">
        <v>55</v>
      </c>
      <c r="AH21" s="18"/>
      <c r="AI21" s="1948" t="s">
        <v>1152</v>
      </c>
      <c r="AJ21" s="1934">
        <v>4</v>
      </c>
      <c r="AK21" s="2062">
        <v>0.36</v>
      </c>
      <c r="AL21" s="1934"/>
      <c r="AM21" s="1974"/>
      <c r="AN21" s="1947"/>
      <c r="AO21" s="1900">
        <v>0.44</v>
      </c>
      <c r="AP21" s="1913"/>
      <c r="AQ21" s="1913">
        <v>88.8</v>
      </c>
      <c r="AR21" s="1920">
        <v>101.2</v>
      </c>
      <c r="AS21" s="2093">
        <v>73.099999999999994</v>
      </c>
      <c r="AT21" s="1947">
        <v>66.8</v>
      </c>
      <c r="AU21" s="2088">
        <v>62.5</v>
      </c>
      <c r="AV21" s="2156"/>
      <c r="AW21" s="1947"/>
      <c r="AX21" s="2094"/>
      <c r="AY21" s="1893"/>
      <c r="AZ21" s="1913">
        <v>25.8</v>
      </c>
      <c r="BA21" s="1913">
        <v>95.2</v>
      </c>
      <c r="BB21" s="2089">
        <f>BA21-AZ21</f>
        <v>69.400000000000006</v>
      </c>
      <c r="BC21" s="1893"/>
      <c r="BD21" s="1913">
        <v>24.6</v>
      </c>
      <c r="BE21" s="1913">
        <v>96</v>
      </c>
      <c r="BF21" s="2098">
        <f>BE21-BD21</f>
        <v>71.400000000000006</v>
      </c>
      <c r="BG21" s="1915"/>
      <c r="BH21" s="1913">
        <v>26.6</v>
      </c>
      <c r="BI21" s="1913">
        <v>97.2</v>
      </c>
      <c r="BJ21" s="2098">
        <f>BI21-BH21</f>
        <v>70.599999999999994</v>
      </c>
      <c r="BK21" s="965">
        <v>3</v>
      </c>
      <c r="BL21" s="284"/>
      <c r="BM21" s="284"/>
      <c r="BN21" s="284"/>
      <c r="BO21" s="284">
        <v>58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3"/>
      <c r="CA21" s="4"/>
      <c r="CB21" s="4"/>
      <c r="CM21" s="20"/>
      <c r="CN21" s="2269"/>
      <c r="CO21" s="2270"/>
      <c r="CP21" s="2200" t="s">
        <v>85</v>
      </c>
      <c r="CQ21" s="2274"/>
      <c r="CR21" s="2200" t="s">
        <v>86</v>
      </c>
      <c r="CS21" s="2201"/>
      <c r="CT21" s="276"/>
      <c r="CU21" s="277"/>
      <c r="CX21" s="1325" t="s">
        <v>1356</v>
      </c>
      <c r="CY21" s="1321">
        <f>MIN(U40:U53,W40:W53,BC40:BC53,BE40:BE53)</f>
        <v>4</v>
      </c>
      <c r="CZ21" s="1321" t="s">
        <v>247</v>
      </c>
      <c r="DA21" s="1321">
        <f>MAX(U40:U53,W40:W53,BC40:BC53,BE40:BE53)</f>
        <v>8</v>
      </c>
      <c r="DC21" s="3"/>
      <c r="DD21" s="3"/>
      <c r="DE21" s="3"/>
      <c r="DF21" s="3"/>
    </row>
    <row r="22" spans="1:110" s="21" customFormat="1" ht="21.95" customHeight="1" thickBot="1" x14ac:dyDescent="0.4">
      <c r="A22" s="1948"/>
      <c r="B22" s="1935"/>
      <c r="C22" s="2062"/>
      <c r="D22" s="1935"/>
      <c r="E22" s="1974"/>
      <c r="F22" s="1947"/>
      <c r="G22" s="1901"/>
      <c r="H22" s="1914"/>
      <c r="I22" s="1914"/>
      <c r="J22" s="1921"/>
      <c r="K22" s="2082"/>
      <c r="L22" s="2086"/>
      <c r="M22" s="1975"/>
      <c r="N22" s="2093"/>
      <c r="O22" s="2083"/>
      <c r="P22" s="2092"/>
      <c r="Q22" s="1957"/>
      <c r="R22" s="1952"/>
      <c r="S22" s="1952"/>
      <c r="T22" s="1938"/>
      <c r="U22" s="1957"/>
      <c r="V22" s="1952"/>
      <c r="W22" s="1952"/>
      <c r="X22" s="1938"/>
      <c r="Y22" s="1968"/>
      <c r="Z22" s="1952"/>
      <c r="AA22" s="1952"/>
      <c r="AB22" s="1938"/>
      <c r="AC22" s="965">
        <v>4</v>
      </c>
      <c r="AD22" s="1518">
        <v>32</v>
      </c>
      <c r="AE22" s="1518">
        <v>51</v>
      </c>
      <c r="AF22" s="1626">
        <v>43</v>
      </c>
      <c r="AG22" s="1626">
        <v>50</v>
      </c>
      <c r="AH22" s="18"/>
      <c r="AI22" s="1948"/>
      <c r="AJ22" s="1935"/>
      <c r="AK22" s="2062"/>
      <c r="AL22" s="1935"/>
      <c r="AM22" s="1974"/>
      <c r="AN22" s="1947"/>
      <c r="AO22" s="1901"/>
      <c r="AP22" s="1914"/>
      <c r="AQ22" s="1914"/>
      <c r="AR22" s="1921"/>
      <c r="AS22" s="2093"/>
      <c r="AT22" s="1947"/>
      <c r="AU22" s="2088"/>
      <c r="AV22" s="2156"/>
      <c r="AW22" s="1947"/>
      <c r="AX22" s="2094"/>
      <c r="AY22" s="1971"/>
      <c r="AZ22" s="1914"/>
      <c r="BA22" s="1914"/>
      <c r="BB22" s="1921"/>
      <c r="BC22" s="1971"/>
      <c r="BD22" s="1914"/>
      <c r="BE22" s="1914"/>
      <c r="BF22" s="2099"/>
      <c r="BG22" s="1916"/>
      <c r="BH22" s="1914"/>
      <c r="BI22" s="1914"/>
      <c r="BJ22" s="2099"/>
      <c r="BK22" s="965">
        <v>4</v>
      </c>
      <c r="BL22" s="284">
        <v>33</v>
      </c>
      <c r="BM22" s="284">
        <v>50</v>
      </c>
      <c r="BN22" s="1626">
        <v>53</v>
      </c>
      <c r="BO22" s="284">
        <v>60</v>
      </c>
      <c r="BP22" s="19"/>
      <c r="BQ22" s="20"/>
      <c r="BR22" s="2170" t="s">
        <v>401</v>
      </c>
      <c r="BS22" s="2171"/>
      <c r="BT22" s="2215" t="s">
        <v>83</v>
      </c>
      <c r="BU22" s="2215"/>
      <c r="BV22" s="2215"/>
      <c r="BW22" s="2215"/>
      <c r="BX22" s="214"/>
      <c r="BY22" s="209"/>
      <c r="BZ22" s="993"/>
      <c r="CA22" s="4"/>
      <c r="CB22" s="4"/>
      <c r="CM22" s="20"/>
      <c r="CN22" s="2269"/>
      <c r="CO22" s="2270"/>
      <c r="CP22" s="2202"/>
      <c r="CQ22" s="2275"/>
      <c r="CR22" s="2202"/>
      <c r="CS22" s="2203"/>
      <c r="CT22" s="276"/>
      <c r="CU22" s="277"/>
      <c r="CX22" s="1325" t="s">
        <v>1368</v>
      </c>
      <c r="CY22" s="1321">
        <f>MIN(P40:P46,P48:P54,S40:S53,AX40:AX46,AX48:AX54,BA40:BA53)</f>
        <v>4</v>
      </c>
      <c r="CZ22" s="1323" t="s">
        <v>247</v>
      </c>
      <c r="DA22" s="1321">
        <f>MAX(P40:P46,P48:P54,S40:S53,AX40:AX46,AX48:AX54,BA40:BA53)</f>
        <v>14</v>
      </c>
      <c r="DC22" s="3"/>
      <c r="DD22" s="3"/>
      <c r="DE22" s="3"/>
      <c r="DF22" s="3"/>
    </row>
    <row r="23" spans="1:110" s="21" customFormat="1" ht="21.95" customHeight="1" x14ac:dyDescent="0.35">
      <c r="A23" s="1948" t="s">
        <v>1140</v>
      </c>
      <c r="B23" s="1960" t="s">
        <v>1517</v>
      </c>
      <c r="C23" s="1962"/>
      <c r="D23" s="2090" t="s">
        <v>1517</v>
      </c>
      <c r="E23" s="1977"/>
      <c r="F23" s="1977"/>
      <c r="G23" s="1900"/>
      <c r="H23" s="1913"/>
      <c r="I23" s="1913"/>
      <c r="J23" s="1920">
        <v>98.8</v>
      </c>
      <c r="K23" s="1956"/>
      <c r="L23" s="1951"/>
      <c r="M23" s="1937"/>
      <c r="N23" s="1956"/>
      <c r="O23" s="1951"/>
      <c r="P23" s="1979"/>
      <c r="Q23" s="1956"/>
      <c r="R23" s="1951"/>
      <c r="S23" s="1951"/>
      <c r="T23" s="1976"/>
      <c r="U23" s="1956"/>
      <c r="V23" s="1951"/>
      <c r="W23" s="1951"/>
      <c r="X23" s="1976"/>
      <c r="Y23" s="1967"/>
      <c r="Z23" s="1951"/>
      <c r="AA23" s="1951"/>
      <c r="AB23" s="1976"/>
      <c r="AC23" s="965">
        <v>5</v>
      </c>
      <c r="AD23" s="1518">
        <v>28</v>
      </c>
      <c r="AE23" s="1518">
        <v>48</v>
      </c>
      <c r="AF23" s="1626">
        <v>43</v>
      </c>
      <c r="AG23" s="1626">
        <v>47</v>
      </c>
      <c r="AH23" s="18"/>
      <c r="AI23" s="1948" t="s">
        <v>1153</v>
      </c>
      <c r="AJ23" s="1960" t="s">
        <v>1517</v>
      </c>
      <c r="AK23" s="1962"/>
      <c r="AL23" s="2090" t="s">
        <v>1517</v>
      </c>
      <c r="AM23" s="1977"/>
      <c r="AN23" s="1977"/>
      <c r="AO23" s="1900"/>
      <c r="AP23" s="1913"/>
      <c r="AQ23" s="1913"/>
      <c r="AR23" s="1909" t="s">
        <v>247</v>
      </c>
      <c r="AS23" s="1893"/>
      <c r="AT23" s="1913"/>
      <c r="AU23" s="1909"/>
      <c r="AV23" s="1893"/>
      <c r="AW23" s="1913"/>
      <c r="AX23" s="1972"/>
      <c r="AY23" s="1893"/>
      <c r="AZ23" s="1913"/>
      <c r="BA23" s="1913"/>
      <c r="BB23" s="2098"/>
      <c r="BC23" s="1893"/>
      <c r="BD23" s="1913"/>
      <c r="BE23" s="1913"/>
      <c r="BF23" s="2098"/>
      <c r="BG23" s="1915"/>
      <c r="BH23" s="1913"/>
      <c r="BI23" s="1913"/>
      <c r="BJ23" s="2098"/>
      <c r="BK23" s="965">
        <v>5</v>
      </c>
      <c r="BL23" s="284">
        <v>30</v>
      </c>
      <c r="BM23" s="284">
        <v>51</v>
      </c>
      <c r="BN23" s="1626">
        <v>48</v>
      </c>
      <c r="BO23" s="1626">
        <v>54</v>
      </c>
      <c r="BP23" s="19"/>
      <c r="BQ23" s="20"/>
      <c r="BR23" s="2172"/>
      <c r="BS23" s="2173"/>
      <c r="BT23" s="2215"/>
      <c r="BU23" s="2215"/>
      <c r="BV23" s="2215"/>
      <c r="BW23" s="2215"/>
      <c r="BX23" s="214"/>
      <c r="BY23" s="209"/>
      <c r="BZ23" s="993"/>
      <c r="CA23" s="4"/>
      <c r="CB23" s="4"/>
      <c r="CM23" s="20"/>
      <c r="CN23" s="2269"/>
      <c r="CO23" s="2270"/>
      <c r="CP23" s="2186" t="s">
        <v>771</v>
      </c>
      <c r="CQ23" s="2208"/>
      <c r="CR23" s="2186" t="s">
        <v>773</v>
      </c>
      <c r="CS23" s="2187"/>
      <c r="CT23" s="278"/>
      <c r="CU23" s="279"/>
      <c r="CX23" s="1325" t="s">
        <v>1369</v>
      </c>
      <c r="CY23" s="1321">
        <f>MIN(AW40:AW46,AW48:AW54,AZ40:AZ53,O40:O46,O48:O54,R40:R53)</f>
        <v>1</v>
      </c>
      <c r="CZ23" s="1323" t="s">
        <v>247</v>
      </c>
      <c r="DA23" s="1321">
        <f>MAX(AW40:AW46,AW48:AW54,AZ40:AZ53,O40:O46,O48:O54,R40:R53)</f>
        <v>4</v>
      </c>
      <c r="DC23" s="3"/>
      <c r="DD23" s="3"/>
      <c r="DE23" s="3"/>
      <c r="DF23" s="3"/>
    </row>
    <row r="24" spans="1:110" s="21" customFormat="1" ht="21.95" customHeight="1" thickBot="1" x14ac:dyDescent="0.4">
      <c r="A24" s="1948"/>
      <c r="B24" s="1961"/>
      <c r="C24" s="1963"/>
      <c r="D24" s="2091"/>
      <c r="E24" s="1978"/>
      <c r="F24" s="1978"/>
      <c r="G24" s="1901"/>
      <c r="H24" s="1914"/>
      <c r="I24" s="1914"/>
      <c r="J24" s="1921"/>
      <c r="K24" s="1957"/>
      <c r="L24" s="1952"/>
      <c r="M24" s="1938"/>
      <c r="N24" s="1957"/>
      <c r="O24" s="1952"/>
      <c r="P24" s="1980"/>
      <c r="Q24" s="1957"/>
      <c r="R24" s="1952"/>
      <c r="S24" s="1952"/>
      <c r="T24" s="1938"/>
      <c r="U24" s="1957"/>
      <c r="V24" s="1952"/>
      <c r="W24" s="1952"/>
      <c r="X24" s="1938"/>
      <c r="Y24" s="1968"/>
      <c r="Z24" s="1952"/>
      <c r="AA24" s="1952"/>
      <c r="AB24" s="1938"/>
      <c r="AC24" s="965">
        <v>6</v>
      </c>
      <c r="AD24" s="1518">
        <v>29</v>
      </c>
      <c r="AE24" s="1518">
        <v>51</v>
      </c>
      <c r="AF24" s="1626">
        <v>45</v>
      </c>
      <c r="AG24" s="1626">
        <v>52</v>
      </c>
      <c r="AH24" s="18"/>
      <c r="AI24" s="1948"/>
      <c r="AJ24" s="1961"/>
      <c r="AK24" s="1963"/>
      <c r="AL24" s="2091"/>
      <c r="AM24" s="1978"/>
      <c r="AN24" s="1978"/>
      <c r="AO24" s="1901"/>
      <c r="AP24" s="1914"/>
      <c r="AQ24" s="1914"/>
      <c r="AR24" s="1910"/>
      <c r="AS24" s="1971"/>
      <c r="AT24" s="1914"/>
      <c r="AU24" s="1910"/>
      <c r="AV24" s="1971"/>
      <c r="AW24" s="1914"/>
      <c r="AX24" s="1973"/>
      <c r="AY24" s="1971"/>
      <c r="AZ24" s="1914"/>
      <c r="BA24" s="1914"/>
      <c r="BB24" s="2099"/>
      <c r="BC24" s="1971"/>
      <c r="BD24" s="1914"/>
      <c r="BE24" s="1914"/>
      <c r="BF24" s="2099"/>
      <c r="BG24" s="1916"/>
      <c r="BH24" s="1914"/>
      <c r="BI24" s="1914"/>
      <c r="BJ24" s="2099"/>
      <c r="BK24" s="965">
        <v>6</v>
      </c>
      <c r="BL24" s="284">
        <v>31</v>
      </c>
      <c r="BM24" s="284">
        <v>48</v>
      </c>
      <c r="BN24" s="1626">
        <v>55</v>
      </c>
      <c r="BO24" s="284">
        <v>58</v>
      </c>
      <c r="BP24" s="19"/>
      <c r="BQ24" s="20"/>
      <c r="BR24" s="2172"/>
      <c r="BS24" s="2173"/>
      <c r="BT24" s="2245" t="s">
        <v>85</v>
      </c>
      <c r="BU24" s="2246"/>
      <c r="BV24" s="2245" t="s">
        <v>86</v>
      </c>
      <c r="BW24" s="2246"/>
      <c r="BX24" s="209"/>
      <c r="BY24" s="209"/>
      <c r="BZ24" s="993"/>
      <c r="CA24" s="22"/>
      <c r="CB24" s="23"/>
      <c r="CM24" s="20"/>
      <c r="CN24" s="2269"/>
      <c r="CO24" s="2270"/>
      <c r="CP24" s="2186"/>
      <c r="CQ24" s="2208"/>
      <c r="CR24" s="2186"/>
      <c r="CS24" s="2187"/>
      <c r="CT24" s="278"/>
      <c r="CU24" s="279"/>
      <c r="CX24" s="1325" t="s">
        <v>249</v>
      </c>
      <c r="CY24" s="1321">
        <f>MIN(Q40:Q46,Q48:Q54,AY40:AY46,AY48:AY54)</f>
        <v>54.8</v>
      </c>
      <c r="CZ24" s="1323" t="s">
        <v>247</v>
      </c>
      <c r="DA24" s="1321">
        <f>MAX(Q40:Q46,Q48:Q54,AY40:AY46,AY48:AY54)</f>
        <v>62.5</v>
      </c>
      <c r="DC24" s="3"/>
      <c r="DD24" s="3"/>
      <c r="DE24" s="3"/>
      <c r="DF24" s="3"/>
    </row>
    <row r="25" spans="1:110" s="21" customFormat="1" ht="21.95" customHeight="1" x14ac:dyDescent="0.35">
      <c r="A25" s="1948" t="s">
        <v>1141</v>
      </c>
      <c r="B25" s="2084">
        <v>1</v>
      </c>
      <c r="C25" s="1965"/>
      <c r="D25" s="2029"/>
      <c r="E25" s="1965"/>
      <c r="F25" s="1947"/>
      <c r="G25" s="1900"/>
      <c r="H25" s="1913"/>
      <c r="I25" s="1913"/>
      <c r="J25" s="1920">
        <v>98.4</v>
      </c>
      <c r="K25" s="1956"/>
      <c r="L25" s="1951"/>
      <c r="M25" s="1937"/>
      <c r="N25" s="1956"/>
      <c r="O25" s="1951"/>
      <c r="P25" s="1979"/>
      <c r="Q25" s="1981">
        <v>94.8</v>
      </c>
      <c r="R25" s="1951">
        <v>26.6</v>
      </c>
      <c r="S25" s="1951">
        <v>91.5</v>
      </c>
      <c r="T25" s="1920">
        <v>64.900000000000006</v>
      </c>
      <c r="U25" s="1981">
        <v>93.2</v>
      </c>
      <c r="V25" s="1951">
        <v>28.2</v>
      </c>
      <c r="W25" s="1951">
        <v>89.1</v>
      </c>
      <c r="X25" s="1920">
        <v>60.9</v>
      </c>
      <c r="Y25" s="2002">
        <v>94.8</v>
      </c>
      <c r="Z25" s="1951">
        <v>27.8</v>
      </c>
      <c r="AA25" s="1951">
        <v>91.1</v>
      </c>
      <c r="AB25" s="1920">
        <v>63.3</v>
      </c>
      <c r="AC25" s="965">
        <v>7</v>
      </c>
      <c r="AD25" s="1518">
        <v>29</v>
      </c>
      <c r="AE25" s="1518">
        <v>47</v>
      </c>
      <c r="AF25" s="1626">
        <v>52</v>
      </c>
      <c r="AG25" s="1626">
        <v>56</v>
      </c>
      <c r="AH25" s="18"/>
      <c r="AI25" s="1948" t="s">
        <v>1154</v>
      </c>
      <c r="AJ25" s="2084">
        <v>1</v>
      </c>
      <c r="AK25" s="1965"/>
      <c r="AL25" s="2029"/>
      <c r="AM25" s="1965"/>
      <c r="AN25" s="1947"/>
      <c r="AO25" s="1900"/>
      <c r="AP25" s="1913"/>
      <c r="AQ25" s="1913"/>
      <c r="AR25" s="1920">
        <v>101.2</v>
      </c>
      <c r="AS25" s="1893"/>
      <c r="AT25" s="1913"/>
      <c r="AU25" s="1909"/>
      <c r="AV25" s="1893"/>
      <c r="AW25" s="1913"/>
      <c r="AX25" s="1972"/>
      <c r="AY25" s="1893"/>
      <c r="AZ25" s="1913"/>
      <c r="BA25" s="1913"/>
      <c r="BB25" s="1909"/>
      <c r="BC25" s="1893"/>
      <c r="BD25" s="1913"/>
      <c r="BE25" s="1913"/>
      <c r="BF25" s="1909"/>
      <c r="BG25" s="1915"/>
      <c r="BH25" s="1913"/>
      <c r="BI25" s="1913"/>
      <c r="BJ25" s="1909"/>
      <c r="BK25" s="965">
        <v>7</v>
      </c>
      <c r="BL25" s="284">
        <v>31</v>
      </c>
      <c r="BM25" s="284">
        <v>48</v>
      </c>
      <c r="BN25" s="1626">
        <v>57</v>
      </c>
      <c r="BO25" s="284">
        <v>59</v>
      </c>
      <c r="BP25" s="19"/>
      <c r="BQ25" s="20"/>
      <c r="BR25" s="2172"/>
      <c r="BS25" s="2173"/>
      <c r="BT25" s="2247"/>
      <c r="BU25" s="2248"/>
      <c r="BV25" s="2247"/>
      <c r="BW25" s="2248"/>
      <c r="BX25" s="209"/>
      <c r="BY25" s="209"/>
      <c r="BZ25" s="993"/>
      <c r="CA25" s="1"/>
      <c r="CM25" s="20"/>
      <c r="CN25" s="2269"/>
      <c r="CO25" s="2270"/>
      <c r="CP25" s="2186" t="s">
        <v>772</v>
      </c>
      <c r="CQ25" s="2208"/>
      <c r="CR25" s="2186" t="s">
        <v>774</v>
      </c>
      <c r="CS25" s="2187"/>
      <c r="CT25" s="278"/>
      <c r="CU25" s="279"/>
      <c r="CX25" s="1325" t="s">
        <v>1371</v>
      </c>
      <c r="CY25" s="1320">
        <f>MIN(Y40:Y54,BG40:BG54)</f>
        <v>0.44</v>
      </c>
      <c r="CZ25" s="1320" t="s">
        <v>247</v>
      </c>
      <c r="DA25" s="1320">
        <f>MAX(Y40:Y54,BG40:BG54)</f>
        <v>0.64</v>
      </c>
      <c r="DC25" s="3"/>
      <c r="DD25" s="3"/>
      <c r="DE25" s="3"/>
      <c r="DF25" s="3"/>
    </row>
    <row r="26" spans="1:110" s="21" customFormat="1" ht="21.95" customHeight="1" x14ac:dyDescent="0.35">
      <c r="A26" s="1948"/>
      <c r="B26" s="1970"/>
      <c r="C26" s="1974"/>
      <c r="D26" s="1935"/>
      <c r="E26" s="1974"/>
      <c r="F26" s="1947"/>
      <c r="G26" s="1901"/>
      <c r="H26" s="1914"/>
      <c r="I26" s="1914"/>
      <c r="J26" s="1921"/>
      <c r="K26" s="1957"/>
      <c r="L26" s="1952"/>
      <c r="M26" s="1938"/>
      <c r="N26" s="1957"/>
      <c r="O26" s="1952"/>
      <c r="P26" s="1980"/>
      <c r="Q26" s="1982"/>
      <c r="R26" s="1952"/>
      <c r="S26" s="1952"/>
      <c r="T26" s="1921"/>
      <c r="U26" s="1982"/>
      <c r="V26" s="1952"/>
      <c r="W26" s="1952"/>
      <c r="X26" s="1921"/>
      <c r="Y26" s="2003"/>
      <c r="Z26" s="1952"/>
      <c r="AA26" s="1952"/>
      <c r="AB26" s="1921"/>
      <c r="AC26" s="965">
        <v>8</v>
      </c>
      <c r="AD26" s="1518">
        <v>31</v>
      </c>
      <c r="AE26" s="1518">
        <v>43</v>
      </c>
      <c r="AF26" s="1626">
        <v>46</v>
      </c>
      <c r="AG26" s="1626">
        <v>50</v>
      </c>
      <c r="AH26" s="18"/>
      <c r="AI26" s="1948"/>
      <c r="AJ26" s="1970"/>
      <c r="AK26" s="1974"/>
      <c r="AL26" s="1935"/>
      <c r="AM26" s="1974"/>
      <c r="AN26" s="1947"/>
      <c r="AO26" s="1901"/>
      <c r="AP26" s="1914"/>
      <c r="AQ26" s="1914"/>
      <c r="AR26" s="1921"/>
      <c r="AS26" s="1971"/>
      <c r="AT26" s="1914"/>
      <c r="AU26" s="1910"/>
      <c r="AV26" s="1971"/>
      <c r="AW26" s="1914"/>
      <c r="AX26" s="1973"/>
      <c r="AY26" s="1971"/>
      <c r="AZ26" s="1914"/>
      <c r="BA26" s="1914"/>
      <c r="BB26" s="1910"/>
      <c r="BC26" s="1971"/>
      <c r="BD26" s="1914"/>
      <c r="BE26" s="1914"/>
      <c r="BF26" s="1910"/>
      <c r="BG26" s="1916"/>
      <c r="BH26" s="1914"/>
      <c r="BI26" s="1914"/>
      <c r="BJ26" s="1910"/>
      <c r="BK26" s="965">
        <v>8</v>
      </c>
      <c r="BL26" s="284">
        <v>30</v>
      </c>
      <c r="BM26" s="284">
        <v>50</v>
      </c>
      <c r="BN26" s="1626">
        <v>48</v>
      </c>
      <c r="BO26" s="1626">
        <v>57</v>
      </c>
      <c r="BP26" s="19"/>
      <c r="BQ26" s="20"/>
      <c r="BR26" s="2172"/>
      <c r="BS26" s="2173"/>
      <c r="BT26" s="2239" t="s">
        <v>771</v>
      </c>
      <c r="BU26" s="2240"/>
      <c r="BV26" s="2239" t="s">
        <v>773</v>
      </c>
      <c r="BW26" s="2240"/>
      <c r="BX26" s="209"/>
      <c r="BY26" s="209"/>
      <c r="BZ26" s="993"/>
      <c r="CA26" s="1"/>
      <c r="CM26" s="20"/>
      <c r="CN26" s="2271"/>
      <c r="CO26" s="2272"/>
      <c r="CP26" s="2206"/>
      <c r="CQ26" s="2209"/>
      <c r="CR26" s="2206"/>
      <c r="CS26" s="2207"/>
      <c r="CT26" s="278"/>
      <c r="CU26" s="279"/>
      <c r="CX26" s="1326"/>
      <c r="CY26" s="1324"/>
      <c r="CZ26" s="1324"/>
      <c r="DA26" s="1324"/>
      <c r="DC26" s="3"/>
      <c r="DD26" s="3"/>
      <c r="DE26" s="3"/>
      <c r="DF26" s="3"/>
    </row>
    <row r="27" spans="1:110" s="21" customFormat="1" ht="21.95" customHeight="1" x14ac:dyDescent="0.35">
      <c r="A27" s="1948" t="s">
        <v>1142</v>
      </c>
      <c r="B27" s="1969">
        <v>2</v>
      </c>
      <c r="C27" s="1974"/>
      <c r="D27" s="1934"/>
      <c r="E27" s="1974"/>
      <c r="F27" s="1947"/>
      <c r="G27" s="1900"/>
      <c r="H27" s="1913"/>
      <c r="I27" s="1913"/>
      <c r="J27" s="1920">
        <v>97.9</v>
      </c>
      <c r="K27" s="1893"/>
      <c r="L27" s="1913"/>
      <c r="M27" s="1909"/>
      <c r="N27" s="1893"/>
      <c r="O27" s="1913"/>
      <c r="P27" s="1972"/>
      <c r="Q27" s="1893"/>
      <c r="R27" s="1913"/>
      <c r="S27" s="1913"/>
      <c r="T27" s="1909"/>
      <c r="U27" s="1893"/>
      <c r="V27" s="1913"/>
      <c r="W27" s="1913"/>
      <c r="X27" s="1909"/>
      <c r="Y27" s="1915"/>
      <c r="Z27" s="1913"/>
      <c r="AA27" s="1913"/>
      <c r="AB27" s="1909"/>
      <c r="AC27" s="965">
        <v>9</v>
      </c>
      <c r="AD27" s="1518">
        <v>30</v>
      </c>
      <c r="AE27" s="1518">
        <v>51</v>
      </c>
      <c r="AF27" s="1626">
        <v>53</v>
      </c>
      <c r="AG27" s="1626">
        <v>55</v>
      </c>
      <c r="AH27" s="18"/>
      <c r="AI27" s="1948" t="s">
        <v>1155</v>
      </c>
      <c r="AJ27" s="1969">
        <v>2</v>
      </c>
      <c r="AK27" s="1974"/>
      <c r="AL27" s="1934"/>
      <c r="AM27" s="1974"/>
      <c r="AN27" s="1947"/>
      <c r="AO27" s="1900"/>
      <c r="AP27" s="1913"/>
      <c r="AQ27" s="1913"/>
      <c r="AR27" s="1920">
        <v>100.8</v>
      </c>
      <c r="AS27" s="1893"/>
      <c r="AT27" s="1913"/>
      <c r="AU27" s="1909"/>
      <c r="AV27" s="1893"/>
      <c r="AW27" s="1913"/>
      <c r="AX27" s="1972"/>
      <c r="AY27" s="1893"/>
      <c r="AZ27" s="1913"/>
      <c r="BA27" s="1913"/>
      <c r="BB27" s="1909"/>
      <c r="BC27" s="1893"/>
      <c r="BD27" s="1913"/>
      <c r="BE27" s="1913"/>
      <c r="BF27" s="1909"/>
      <c r="BG27" s="1915"/>
      <c r="BH27" s="1913"/>
      <c r="BI27" s="1913"/>
      <c r="BJ27" s="1909"/>
      <c r="BK27" s="965">
        <v>9</v>
      </c>
      <c r="BL27" s="284">
        <v>31</v>
      </c>
      <c r="BM27" s="284">
        <v>50</v>
      </c>
      <c r="BN27" s="1626">
        <v>57</v>
      </c>
      <c r="BO27" s="284">
        <v>58</v>
      </c>
      <c r="BP27" s="19"/>
      <c r="BQ27" s="20"/>
      <c r="BR27" s="2172"/>
      <c r="BS27" s="2173"/>
      <c r="BT27" s="2241"/>
      <c r="BU27" s="2242"/>
      <c r="BV27" s="2241"/>
      <c r="BW27" s="2242"/>
      <c r="BX27" s="209"/>
      <c r="BY27" s="209"/>
      <c r="BZ27" s="215"/>
      <c r="CA27" s="1"/>
      <c r="CM27" s="20"/>
      <c r="CN27" s="2204" t="s">
        <v>776</v>
      </c>
      <c r="CO27" s="2204"/>
      <c r="CP27" s="2210">
        <f>AVERAGE(C95:C106,G95:G106,K95:K106)</f>
        <v>99.450000000000031</v>
      </c>
      <c r="CQ27" s="2210"/>
      <c r="CR27" s="2210">
        <f>AVERAGE(AK95:AK106,AO95:AO106,AS95:AS106)</f>
        <v>99.45</v>
      </c>
      <c r="CS27" s="2210"/>
      <c r="CT27" s="280"/>
      <c r="CU27" s="214"/>
      <c r="CX27" s="1325" t="s">
        <v>1372</v>
      </c>
      <c r="CY27" s="1321">
        <f>MIN(T9:T33,X9:X33,AB9:AB33,BB9:BB33,BF9:BF33,BJ9:BJ33)</f>
        <v>60.9</v>
      </c>
      <c r="CZ27" s="1323" t="s">
        <v>247</v>
      </c>
      <c r="DA27" s="1321">
        <f>MAX(T9:T33,X9:X33,AB9:AB33,BB9:BB33,BF9:BF33,BJ9:BJ33)</f>
        <v>71.400000000000006</v>
      </c>
      <c r="DC27" s="3"/>
      <c r="DD27" s="3"/>
      <c r="DE27" s="3"/>
      <c r="DF27" s="3"/>
    </row>
    <row r="28" spans="1:110" s="21" customFormat="1" ht="21.95" customHeight="1" thickBot="1" x14ac:dyDescent="0.4">
      <c r="A28" s="1948"/>
      <c r="B28" s="1970"/>
      <c r="C28" s="1974"/>
      <c r="D28" s="1935"/>
      <c r="E28" s="1974"/>
      <c r="F28" s="1947"/>
      <c r="G28" s="1901"/>
      <c r="H28" s="1914"/>
      <c r="I28" s="1914"/>
      <c r="J28" s="1921"/>
      <c r="K28" s="1971"/>
      <c r="L28" s="1914"/>
      <c r="M28" s="1910"/>
      <c r="N28" s="1971"/>
      <c r="O28" s="1914"/>
      <c r="P28" s="1973"/>
      <c r="Q28" s="1971"/>
      <c r="R28" s="1914"/>
      <c r="S28" s="1914"/>
      <c r="T28" s="1910"/>
      <c r="U28" s="1971"/>
      <c r="V28" s="1914"/>
      <c r="W28" s="1914"/>
      <c r="X28" s="1910"/>
      <c r="Y28" s="1916"/>
      <c r="Z28" s="1914"/>
      <c r="AA28" s="1914"/>
      <c r="AB28" s="1910"/>
      <c r="AC28" s="965">
        <v>10</v>
      </c>
      <c r="AD28" s="1518"/>
      <c r="AE28" s="1518"/>
      <c r="AF28" s="1518"/>
      <c r="AG28" s="1518">
        <v>60</v>
      </c>
      <c r="AH28" s="18"/>
      <c r="AI28" s="1948"/>
      <c r="AJ28" s="1970"/>
      <c r="AK28" s="1974"/>
      <c r="AL28" s="1935"/>
      <c r="AM28" s="1974"/>
      <c r="AN28" s="1947"/>
      <c r="AO28" s="1901"/>
      <c r="AP28" s="1914"/>
      <c r="AQ28" s="1914"/>
      <c r="AR28" s="1921"/>
      <c r="AS28" s="1971"/>
      <c r="AT28" s="1914"/>
      <c r="AU28" s="1910"/>
      <c r="AV28" s="1971"/>
      <c r="AW28" s="1914"/>
      <c r="AX28" s="1973"/>
      <c r="AY28" s="1971"/>
      <c r="AZ28" s="1914"/>
      <c r="BA28" s="1914"/>
      <c r="BB28" s="1910"/>
      <c r="BC28" s="1971"/>
      <c r="BD28" s="1914"/>
      <c r="BE28" s="1914"/>
      <c r="BF28" s="1910"/>
      <c r="BG28" s="1916"/>
      <c r="BH28" s="1914"/>
      <c r="BI28" s="1914"/>
      <c r="BJ28" s="1910"/>
      <c r="BK28" s="965">
        <v>10</v>
      </c>
      <c r="BL28" s="284"/>
      <c r="BM28" s="284"/>
      <c r="BN28" s="284"/>
      <c r="BO28" s="1626">
        <v>61</v>
      </c>
      <c r="BP28" s="19"/>
      <c r="BQ28" s="20"/>
      <c r="BR28" s="2172"/>
      <c r="BS28" s="2173"/>
      <c r="BT28" s="2241" t="s">
        <v>772</v>
      </c>
      <c r="BU28" s="2242"/>
      <c r="BV28" s="2241" t="s">
        <v>774</v>
      </c>
      <c r="BW28" s="2242"/>
      <c r="BX28" s="209"/>
      <c r="BY28" s="209"/>
      <c r="BZ28" s="215"/>
      <c r="CA28" s="1"/>
      <c r="CM28" s="20"/>
      <c r="CN28" s="2204"/>
      <c r="CO28" s="2204"/>
      <c r="CP28" s="2210"/>
      <c r="CQ28" s="2210"/>
      <c r="CR28" s="2210"/>
      <c r="CS28" s="2210"/>
      <c r="CT28" s="214"/>
      <c r="CU28" s="214"/>
      <c r="CX28" s="1325" t="s">
        <v>250</v>
      </c>
      <c r="CY28" s="1321">
        <f>MIN(Q9:Q33,U9:U33,Y9:Y33,AY9:AY33,BC9:BC33,BG9:BG33)</f>
        <v>93.2</v>
      </c>
      <c r="CZ28" s="1323" t="s">
        <v>247</v>
      </c>
      <c r="DA28" s="1321">
        <f>MAX(Q9:Q33,U9:U33,Y9:Y33,AY9:AY33,BC9:BC33,BG9:BG33)</f>
        <v>97.5</v>
      </c>
      <c r="DC28" s="3"/>
      <c r="DD28" s="3"/>
      <c r="DE28" s="3"/>
      <c r="DF28" s="3"/>
    </row>
    <row r="29" spans="1:110" s="21" customFormat="1" ht="21.95" customHeight="1" thickBot="1" x14ac:dyDescent="0.4">
      <c r="A29" s="1948" t="s">
        <v>1143</v>
      </c>
      <c r="B29" s="1934">
        <v>3</v>
      </c>
      <c r="C29" s="1974"/>
      <c r="D29" s="1934"/>
      <c r="E29" s="1974"/>
      <c r="F29" s="1947"/>
      <c r="G29" s="1900"/>
      <c r="H29" s="1913"/>
      <c r="I29" s="1913"/>
      <c r="J29" s="1920">
        <v>98.4</v>
      </c>
      <c r="K29" s="1064"/>
      <c r="L29" s="1045">
        <f>ROUND(AVERAGE(K9:M28),1)</f>
        <v>68.7</v>
      </c>
      <c r="M29" s="1063"/>
      <c r="N29" s="1062"/>
      <c r="O29" s="1045">
        <f>ROUND(AVERAGE(N9:P28),1)</f>
        <v>61.5</v>
      </c>
      <c r="P29" s="1065"/>
      <c r="Q29" s="1893"/>
      <c r="R29" s="1913"/>
      <c r="S29" s="1913"/>
      <c r="T29" s="1909"/>
      <c r="U29" s="1893"/>
      <c r="V29" s="1913"/>
      <c r="W29" s="1913"/>
      <c r="X29" s="1909"/>
      <c r="Y29" s="1915"/>
      <c r="Z29" s="1913"/>
      <c r="AA29" s="1913"/>
      <c r="AB29" s="1909"/>
      <c r="AC29" s="965">
        <v>11</v>
      </c>
      <c r="AD29" s="1518"/>
      <c r="AE29" s="1518"/>
      <c r="AF29" s="1518"/>
      <c r="AG29" s="1518"/>
      <c r="AH29" s="18"/>
      <c r="AI29" s="1948" t="s">
        <v>1156</v>
      </c>
      <c r="AJ29" s="1934">
        <v>3</v>
      </c>
      <c r="AK29" s="1974"/>
      <c r="AL29" s="1934"/>
      <c r="AM29" s="1974"/>
      <c r="AN29" s="1947"/>
      <c r="AO29" s="1900"/>
      <c r="AP29" s="1913"/>
      <c r="AQ29" s="1913"/>
      <c r="AR29" s="1920">
        <v>101.6</v>
      </c>
      <c r="AS29" s="1062"/>
      <c r="AT29" s="1045">
        <f>ROUND(AVERAGE(AS9:AU28),1)</f>
        <v>62.8</v>
      </c>
      <c r="AU29" s="1063"/>
      <c r="AV29" s="1062"/>
      <c r="AW29" s="1045">
        <f>ROUND(AVERAGE(AV9:AX28),1)</f>
        <v>63.7</v>
      </c>
      <c r="AX29" s="1063"/>
      <c r="AY29" s="1893"/>
      <c r="AZ29" s="1913"/>
      <c r="BA29" s="1913"/>
      <c r="BB29" s="1909"/>
      <c r="BC29" s="1893"/>
      <c r="BD29" s="1913"/>
      <c r="BE29" s="1913"/>
      <c r="BF29" s="1909"/>
      <c r="BG29" s="1915"/>
      <c r="BH29" s="1913"/>
      <c r="BI29" s="1913"/>
      <c r="BJ29" s="1909"/>
      <c r="BK29" s="965">
        <v>11</v>
      </c>
      <c r="BL29" s="284"/>
      <c r="BM29" s="284"/>
      <c r="BN29" s="284"/>
      <c r="BO29" s="284"/>
      <c r="BP29" s="19"/>
      <c r="BQ29" s="20"/>
      <c r="BR29" s="2174"/>
      <c r="BS29" s="2175"/>
      <c r="BT29" s="2243"/>
      <c r="BU29" s="2244"/>
      <c r="BV29" s="2243"/>
      <c r="BW29" s="2244"/>
      <c r="BX29" s="209"/>
      <c r="BY29" s="209"/>
      <c r="BZ29" s="215"/>
      <c r="CA29" s="1"/>
      <c r="CM29" s="20"/>
      <c r="CN29" s="2204"/>
      <c r="CO29" s="2204"/>
      <c r="CP29" s="2210"/>
      <c r="CQ29" s="2210"/>
      <c r="CR29" s="2210"/>
      <c r="CS29" s="2210"/>
      <c r="CT29" s="214"/>
      <c r="CU29" s="214"/>
      <c r="CX29" s="1325" t="s">
        <v>1374</v>
      </c>
      <c r="CY29" s="1322">
        <f>MIN(AD4:AD33,BL4:BL33)</f>
        <v>26</v>
      </c>
      <c r="CZ29" s="1322" t="s">
        <v>247</v>
      </c>
      <c r="DA29" s="1322">
        <f>MAX(AD4:AD33,BL4:BL33)</f>
        <v>35</v>
      </c>
      <c r="DC29" s="3"/>
      <c r="DD29" s="3"/>
      <c r="DE29" s="3"/>
      <c r="DF29" s="3"/>
    </row>
    <row r="30" spans="1:110" s="21" customFormat="1" ht="21.95" customHeight="1" thickBot="1" x14ac:dyDescent="0.4">
      <c r="A30" s="1948"/>
      <c r="B30" s="1935"/>
      <c r="C30" s="1974"/>
      <c r="D30" s="1935"/>
      <c r="E30" s="1974"/>
      <c r="F30" s="1947"/>
      <c r="G30" s="1901"/>
      <c r="H30" s="1914"/>
      <c r="I30" s="1914"/>
      <c r="J30" s="1921"/>
      <c r="K30" s="1904" t="s">
        <v>1567</v>
      </c>
      <c r="L30" s="1905"/>
      <c r="M30" s="1906"/>
      <c r="N30" s="1904" t="s">
        <v>1566</v>
      </c>
      <c r="O30" s="1905"/>
      <c r="P30" s="1906"/>
      <c r="Q30" s="1971"/>
      <c r="R30" s="1914"/>
      <c r="S30" s="1914"/>
      <c r="T30" s="1910"/>
      <c r="U30" s="1971"/>
      <c r="V30" s="1914"/>
      <c r="W30" s="1914"/>
      <c r="X30" s="1910"/>
      <c r="Y30" s="1916"/>
      <c r="Z30" s="1914"/>
      <c r="AA30" s="1914"/>
      <c r="AB30" s="1910"/>
      <c r="AC30" s="965">
        <v>12</v>
      </c>
      <c r="AD30" s="1518">
        <v>29</v>
      </c>
      <c r="AE30" s="1518">
        <v>47</v>
      </c>
      <c r="AF30" s="1626">
        <v>56</v>
      </c>
      <c r="AG30" s="1518">
        <v>58</v>
      </c>
      <c r="AH30" s="18"/>
      <c r="AI30" s="1948"/>
      <c r="AJ30" s="1935"/>
      <c r="AK30" s="1974"/>
      <c r="AL30" s="1935"/>
      <c r="AM30" s="1974"/>
      <c r="AN30" s="1947"/>
      <c r="AO30" s="1901"/>
      <c r="AP30" s="1914"/>
      <c r="AQ30" s="1914"/>
      <c r="AR30" s="1921"/>
      <c r="AS30" s="1904" t="s">
        <v>1567</v>
      </c>
      <c r="AT30" s="1905"/>
      <c r="AU30" s="1906"/>
      <c r="AV30" s="1904" t="s">
        <v>1566</v>
      </c>
      <c r="AW30" s="1905"/>
      <c r="AX30" s="1906"/>
      <c r="AY30" s="1971"/>
      <c r="AZ30" s="1914"/>
      <c r="BA30" s="1914"/>
      <c r="BB30" s="1910"/>
      <c r="BC30" s="1971"/>
      <c r="BD30" s="1914"/>
      <c r="BE30" s="1914"/>
      <c r="BF30" s="1910"/>
      <c r="BG30" s="1916"/>
      <c r="BH30" s="1914"/>
      <c r="BI30" s="1914"/>
      <c r="BJ30" s="1910"/>
      <c r="BK30" s="965">
        <v>12</v>
      </c>
      <c r="BL30" s="284">
        <v>30</v>
      </c>
      <c r="BM30" s="284">
        <v>47</v>
      </c>
      <c r="BN30" s="1626">
        <v>55</v>
      </c>
      <c r="BO30" s="284">
        <v>59</v>
      </c>
      <c r="BP30" s="19"/>
      <c r="BQ30" s="20"/>
      <c r="BR30" s="2176" t="s">
        <v>788</v>
      </c>
      <c r="BS30" s="2177"/>
      <c r="BT30" s="2188">
        <f>B131</f>
        <v>5.9530000000000003</v>
      </c>
      <c r="BU30" s="2189"/>
      <c r="BV30" s="2188">
        <f>AJ131</f>
        <v>5.5629999999999997</v>
      </c>
      <c r="BW30" s="2189"/>
      <c r="BX30" s="209"/>
      <c r="BY30" s="209"/>
      <c r="BZ30" s="215"/>
      <c r="CA30" s="1"/>
      <c r="CM30" s="20"/>
      <c r="CN30" s="2204"/>
      <c r="CO30" s="2204"/>
      <c r="CP30" s="2210"/>
      <c r="CQ30" s="2210"/>
      <c r="CR30" s="2210"/>
      <c r="CS30" s="2210"/>
      <c r="CT30" s="214"/>
      <c r="CU30" s="214"/>
      <c r="CX30" s="1325" t="s">
        <v>1375</v>
      </c>
      <c r="CY30" s="1322">
        <f>MIN(AE4:AE33,BM4:BM33)</f>
        <v>42</v>
      </c>
      <c r="CZ30" s="1322" t="s">
        <v>247</v>
      </c>
      <c r="DA30" s="1322">
        <f>MAX(AE4:AE33,BM4:BM33)</f>
        <v>56</v>
      </c>
      <c r="DC30" s="3"/>
      <c r="DD30" s="3"/>
      <c r="DE30" s="3"/>
      <c r="DF30" s="3"/>
    </row>
    <row r="31" spans="1:110" s="21" customFormat="1" ht="21.95" customHeight="1" thickBot="1" x14ac:dyDescent="0.4">
      <c r="A31" s="1948" t="s">
        <v>1144</v>
      </c>
      <c r="B31" s="1998">
        <v>4</v>
      </c>
      <c r="C31" s="1902"/>
      <c r="D31" s="1934"/>
      <c r="E31" s="1964"/>
      <c r="F31" s="1913"/>
      <c r="G31" s="1900"/>
      <c r="H31" s="1913"/>
      <c r="I31" s="1913"/>
      <c r="J31" s="1920">
        <v>98.4</v>
      </c>
      <c r="K31" s="286">
        <v>49</v>
      </c>
      <c r="L31" s="287">
        <v>63</v>
      </c>
      <c r="M31" s="288">
        <v>58</v>
      </c>
      <c r="N31" s="286">
        <v>36</v>
      </c>
      <c r="O31" s="287">
        <v>35</v>
      </c>
      <c r="P31" s="288">
        <v>37</v>
      </c>
      <c r="Q31" s="1893"/>
      <c r="R31" s="1911"/>
      <c r="S31" s="1911"/>
      <c r="T31" s="1949"/>
      <c r="U31" s="1893"/>
      <c r="V31" s="1911"/>
      <c r="W31" s="1911"/>
      <c r="X31" s="1949"/>
      <c r="Y31" s="1915"/>
      <c r="Z31" s="1911"/>
      <c r="AA31" s="1911"/>
      <c r="AB31" s="1949"/>
      <c r="AC31" s="965">
        <v>13</v>
      </c>
      <c r="AD31" s="1518"/>
      <c r="AE31" s="1518"/>
      <c r="AF31" s="1518"/>
      <c r="AG31" s="1518">
        <v>59</v>
      </c>
      <c r="AH31" s="18"/>
      <c r="AI31" s="1948" t="s">
        <v>1157</v>
      </c>
      <c r="AJ31" s="1998">
        <v>4</v>
      </c>
      <c r="AK31" s="1902"/>
      <c r="AL31" s="1934"/>
      <c r="AM31" s="1964"/>
      <c r="AN31" s="1913"/>
      <c r="AO31" s="1900"/>
      <c r="AP31" s="1913"/>
      <c r="AQ31" s="1913"/>
      <c r="AR31" s="1909" t="s">
        <v>247</v>
      </c>
      <c r="AS31" s="286">
        <v>66</v>
      </c>
      <c r="AT31" s="287">
        <v>64</v>
      </c>
      <c r="AU31" s="288">
        <v>52</v>
      </c>
      <c r="AV31" s="286">
        <v>38</v>
      </c>
      <c r="AW31" s="287">
        <v>36</v>
      </c>
      <c r="AX31" s="289">
        <v>38</v>
      </c>
      <c r="AY31" s="1893"/>
      <c r="AZ31" s="1911"/>
      <c r="BA31" s="1911"/>
      <c r="BB31" s="1949"/>
      <c r="BC31" s="1893"/>
      <c r="BD31" s="1911"/>
      <c r="BE31" s="1911"/>
      <c r="BF31" s="1949"/>
      <c r="BG31" s="1915"/>
      <c r="BH31" s="1911"/>
      <c r="BI31" s="1911"/>
      <c r="BJ31" s="1949"/>
      <c r="BK31" s="965">
        <v>13</v>
      </c>
      <c r="BL31" s="284"/>
      <c r="BM31" s="284"/>
      <c r="BN31" s="284"/>
      <c r="BO31" s="284">
        <v>59</v>
      </c>
      <c r="BP31" s="19"/>
      <c r="BQ31" s="20"/>
      <c r="BR31" s="2178"/>
      <c r="BS31" s="2179"/>
      <c r="BT31" s="2190"/>
      <c r="BU31" s="2191"/>
      <c r="BV31" s="2190"/>
      <c r="BW31" s="2191"/>
      <c r="BX31" s="209"/>
      <c r="BY31" s="209"/>
      <c r="BZ31" s="993"/>
      <c r="CA31" s="1"/>
      <c r="CM31" s="20"/>
      <c r="CN31" s="2204"/>
      <c r="CO31" s="2204"/>
      <c r="CP31" s="2210"/>
      <c r="CQ31" s="2210"/>
      <c r="CR31" s="2210"/>
      <c r="CS31" s="2210"/>
      <c r="CT31" s="275"/>
      <c r="CU31" s="214"/>
      <c r="CX31" s="1325" t="s">
        <v>1357</v>
      </c>
      <c r="CY31" s="1321">
        <f>MIN(K9:M28,AS9:AU28)</f>
        <v>50.7</v>
      </c>
      <c r="CZ31" s="1323" t="s">
        <v>247</v>
      </c>
      <c r="DA31" s="1321">
        <f>MAX(K9:M28,AS9:AU28)</f>
        <v>77</v>
      </c>
      <c r="DC31" s="3"/>
      <c r="DD31" s="3"/>
      <c r="DE31" s="3"/>
      <c r="DF31" s="3"/>
    </row>
    <row r="32" spans="1:110" s="21" customFormat="1" ht="21.95" customHeight="1" thickBot="1" x14ac:dyDescent="0.4">
      <c r="A32" s="1948"/>
      <c r="B32" s="1999"/>
      <c r="C32" s="1966"/>
      <c r="D32" s="1935"/>
      <c r="E32" s="1965"/>
      <c r="F32" s="1914"/>
      <c r="G32" s="1901"/>
      <c r="H32" s="1914"/>
      <c r="I32" s="1914"/>
      <c r="J32" s="1921"/>
      <c r="K32" s="1897"/>
      <c r="L32" s="1898"/>
      <c r="M32" s="1899"/>
      <c r="N32" s="1897"/>
      <c r="O32" s="1898"/>
      <c r="P32" s="1899"/>
      <c r="Q32" s="1894"/>
      <c r="R32" s="1912"/>
      <c r="S32" s="1912"/>
      <c r="T32" s="1950"/>
      <c r="U32" s="1894"/>
      <c r="V32" s="1912"/>
      <c r="W32" s="1912"/>
      <c r="X32" s="1950"/>
      <c r="Y32" s="1916"/>
      <c r="Z32" s="1912"/>
      <c r="AA32" s="1912"/>
      <c r="AB32" s="1950"/>
      <c r="AC32" s="965">
        <v>14</v>
      </c>
      <c r="AD32" s="1518"/>
      <c r="AE32" s="1518"/>
      <c r="AF32" s="1518"/>
      <c r="AG32" s="1518"/>
      <c r="AH32" s="18"/>
      <c r="AI32" s="1948"/>
      <c r="AJ32" s="1999"/>
      <c r="AK32" s="1966"/>
      <c r="AL32" s="1935"/>
      <c r="AM32" s="1965"/>
      <c r="AN32" s="1914"/>
      <c r="AO32" s="1901"/>
      <c r="AP32" s="1914"/>
      <c r="AQ32" s="1914"/>
      <c r="AR32" s="1910"/>
      <c r="AS32" s="1897"/>
      <c r="AT32" s="1898"/>
      <c r="AU32" s="1899"/>
      <c r="AV32" s="1897"/>
      <c r="AW32" s="1898"/>
      <c r="AX32" s="1899"/>
      <c r="AY32" s="1894"/>
      <c r="AZ32" s="1912"/>
      <c r="BA32" s="1912"/>
      <c r="BB32" s="1950"/>
      <c r="BC32" s="1894"/>
      <c r="BD32" s="1912"/>
      <c r="BE32" s="1912"/>
      <c r="BF32" s="1950"/>
      <c r="BG32" s="1916"/>
      <c r="BH32" s="1912"/>
      <c r="BI32" s="1912"/>
      <c r="BJ32" s="1950"/>
      <c r="BK32" s="965">
        <v>14</v>
      </c>
      <c r="BL32" s="285"/>
      <c r="BM32" s="285"/>
      <c r="BN32" s="285"/>
      <c r="BO32" s="285"/>
      <c r="BP32" s="19"/>
      <c r="BQ32" s="20"/>
      <c r="BR32" s="2178"/>
      <c r="BS32" s="2179"/>
      <c r="BT32" s="2190"/>
      <c r="BU32" s="2191"/>
      <c r="BV32" s="2190"/>
      <c r="BW32" s="2191"/>
      <c r="BX32" s="209"/>
      <c r="BY32" s="209"/>
      <c r="BZ32" s="993"/>
      <c r="CA32" s="1"/>
      <c r="CM32" s="20"/>
      <c r="CN32" s="2204" t="s">
        <v>758</v>
      </c>
      <c r="CO32" s="2204"/>
      <c r="CP32" s="2205" t="e">
        <f>CQ70</f>
        <v>#DIV/0!</v>
      </c>
      <c r="CQ32" s="2205"/>
      <c r="CR32" s="2205" t="e">
        <f>CQ71</f>
        <v>#DIV/0!</v>
      </c>
      <c r="CS32" s="2205"/>
      <c r="CT32" s="214"/>
      <c r="CU32" s="214"/>
      <c r="CX32" s="1325" t="s">
        <v>1373</v>
      </c>
      <c r="CY32" s="1321">
        <f>MIN(AD78:AE89,BL78:BM89)</f>
        <v>55</v>
      </c>
      <c r="CZ32" s="1321" t="s">
        <v>247</v>
      </c>
      <c r="DA32" s="1321">
        <f>MAX(AD78:AE89,BL78:BM89)</f>
        <v>67</v>
      </c>
      <c r="DC32" s="3"/>
      <c r="DD32" s="3"/>
      <c r="DE32" s="3"/>
      <c r="DF32" s="3"/>
    </row>
    <row r="33" spans="1:110" s="21" customFormat="1" ht="21.95" customHeight="1" thickBot="1" x14ac:dyDescent="0.4">
      <c r="A33" s="1907"/>
      <c r="B33" s="2000">
        <v>5</v>
      </c>
      <c r="C33" s="1902"/>
      <c r="D33" s="1934"/>
      <c r="E33" s="1964"/>
      <c r="F33" s="1913"/>
      <c r="G33" s="1433"/>
      <c r="H33" s="964"/>
      <c r="I33" s="964"/>
      <c r="J33" s="966"/>
      <c r="K33" s="295"/>
      <c r="L33" s="296">
        <f>ROUND(AVERAGE(K31:M32),0)</f>
        <v>57</v>
      </c>
      <c r="M33" s="297"/>
      <c r="N33" s="295"/>
      <c r="O33" s="296">
        <f>ROUND(AVERAGE(N31:P32),0)</f>
        <v>36</v>
      </c>
      <c r="P33" s="298"/>
      <c r="Q33" s="299">
        <v>96.3</v>
      </c>
      <c r="R33" s="300">
        <v>26.6</v>
      </c>
      <c r="S33" s="304">
        <v>93.6</v>
      </c>
      <c r="T33" s="305">
        <f>ROUND((S33-R33),1)</f>
        <v>67</v>
      </c>
      <c r="U33" s="299">
        <v>95.9</v>
      </c>
      <c r="V33" s="300">
        <v>26.6</v>
      </c>
      <c r="W33" s="304">
        <v>91.9</v>
      </c>
      <c r="X33" s="306">
        <f>ROUND((W33-V33),1)</f>
        <v>65.3</v>
      </c>
      <c r="Y33" s="299">
        <v>96.3</v>
      </c>
      <c r="Z33" s="300">
        <v>26.2</v>
      </c>
      <c r="AA33" s="304">
        <v>92.7</v>
      </c>
      <c r="AB33" s="306">
        <f>ROUND((AA33-Z33),1)</f>
        <v>66.5</v>
      </c>
      <c r="AC33" s="968">
        <v>15</v>
      </c>
      <c r="AD33" s="1518">
        <v>32</v>
      </c>
      <c r="AE33" s="1518">
        <v>48</v>
      </c>
      <c r="AF33" s="1626">
        <v>47</v>
      </c>
      <c r="AG33" s="1626">
        <v>49</v>
      </c>
      <c r="AH33" s="18"/>
      <c r="AI33" s="2010"/>
      <c r="AJ33" s="2000">
        <v>5</v>
      </c>
      <c r="AK33" s="1902"/>
      <c r="AL33" s="1934"/>
      <c r="AM33" s="1964"/>
      <c r="AN33" s="1913"/>
      <c r="AO33" s="1433"/>
      <c r="AP33" s="964"/>
      <c r="AQ33" s="964"/>
      <c r="AR33" s="966"/>
      <c r="AS33" s="295"/>
      <c r="AT33" s="296">
        <f>ROUND(AVERAGE(AS31:AU32),0)</f>
        <v>61</v>
      </c>
      <c r="AU33" s="297"/>
      <c r="AV33" s="295"/>
      <c r="AW33" s="296">
        <f>ROUND(AVERAGE(AV31:AX32),0)</f>
        <v>37</v>
      </c>
      <c r="AX33" s="298"/>
      <c r="AY33" s="299">
        <v>97</v>
      </c>
      <c r="AZ33" s="300">
        <v>25.4</v>
      </c>
      <c r="BA33" s="304">
        <v>96</v>
      </c>
      <c r="BB33" s="305">
        <f>ROUND((BA33-AZ33),1)</f>
        <v>70.599999999999994</v>
      </c>
      <c r="BC33" s="299">
        <v>97</v>
      </c>
      <c r="BD33" s="300">
        <v>25</v>
      </c>
      <c r="BE33" s="304">
        <v>96</v>
      </c>
      <c r="BF33" s="306">
        <f>ROUND((BE33-BD33),1)</f>
        <v>71</v>
      </c>
      <c r="BG33" s="299">
        <v>97</v>
      </c>
      <c r="BH33" s="300">
        <v>25.4</v>
      </c>
      <c r="BI33" s="304">
        <v>96.4</v>
      </c>
      <c r="BJ33" s="306">
        <f>ROUND((BI33-BH33),1)</f>
        <v>71</v>
      </c>
      <c r="BK33" s="968">
        <v>15</v>
      </c>
      <c r="BL33" s="285">
        <v>30</v>
      </c>
      <c r="BM33" s="285">
        <v>51</v>
      </c>
      <c r="BN33" s="1626">
        <v>48</v>
      </c>
      <c r="BO33" s="1626">
        <v>52</v>
      </c>
      <c r="BP33" s="19"/>
      <c r="BQ33" s="20"/>
      <c r="BR33" s="2180"/>
      <c r="BS33" s="2181"/>
      <c r="BT33" s="2192"/>
      <c r="BU33" s="2193"/>
      <c r="BV33" s="2192"/>
      <c r="BW33" s="2193"/>
      <c r="BX33" s="209"/>
      <c r="BY33" s="209"/>
      <c r="BZ33" s="993"/>
      <c r="CA33" s="1"/>
      <c r="CM33" s="20"/>
      <c r="CN33" s="2204"/>
      <c r="CO33" s="2204"/>
      <c r="CP33" s="2205"/>
      <c r="CQ33" s="2205"/>
      <c r="CR33" s="2205"/>
      <c r="CS33" s="2205"/>
      <c r="CT33" s="214"/>
      <c r="CU33" s="214"/>
      <c r="CX33" s="1326"/>
      <c r="CY33" s="1324"/>
      <c r="CZ33" s="1324"/>
      <c r="DA33" s="1324"/>
      <c r="DC33" s="3"/>
      <c r="DD33" s="3"/>
      <c r="DE33" s="3"/>
      <c r="DF33" s="3"/>
    </row>
    <row r="34" spans="1:110" s="21" customFormat="1" ht="37.5" customHeight="1" thickBot="1" x14ac:dyDescent="0.4">
      <c r="A34" s="1908"/>
      <c r="B34" s="2001"/>
      <c r="C34" s="1903"/>
      <c r="D34" s="1935"/>
      <c r="E34" s="1965"/>
      <c r="F34" s="1914"/>
      <c r="G34" s="1433"/>
      <c r="H34" s="964"/>
      <c r="I34" s="531"/>
      <c r="J34" s="290"/>
      <c r="K34" s="1437"/>
      <c r="L34" s="1442"/>
      <c r="M34" s="1438"/>
      <c r="N34" s="1437"/>
      <c r="O34" s="1442"/>
      <c r="P34" s="1438"/>
      <c r="Q34" s="301"/>
      <c r="R34" s="1889" t="s">
        <v>1424</v>
      </c>
      <c r="S34" s="1890"/>
      <c r="T34" s="307">
        <v>36.5</v>
      </c>
      <c r="U34" s="121"/>
      <c r="V34" s="1889" t="s">
        <v>1424</v>
      </c>
      <c r="W34" s="1890"/>
      <c r="X34" s="307">
        <v>37.5</v>
      </c>
      <c r="Y34" s="1066" t="s">
        <v>1425</v>
      </c>
      <c r="Z34" s="770" t="s">
        <v>567</v>
      </c>
      <c r="AA34" s="1066" t="s">
        <v>1421</v>
      </c>
      <c r="AB34" s="308">
        <v>38.1</v>
      </c>
      <c r="AC34" s="771" t="s">
        <v>28</v>
      </c>
      <c r="AD34" s="309">
        <f>ROUND(AVERAGE(AD4:AD33),)</f>
        <v>30</v>
      </c>
      <c r="AE34" s="309">
        <f>ROUND(AVERAGE(AE4:AE33),)</f>
        <v>49</v>
      </c>
      <c r="AF34" s="309">
        <f>ROUND(AVERAGE(AF4:AF33),)</f>
        <v>50</v>
      </c>
      <c r="AG34" s="309">
        <f>ROUND(AVERAGE(AG4:AG33),)</f>
        <v>55</v>
      </c>
      <c r="AH34" s="18"/>
      <c r="AI34" s="2011"/>
      <c r="AJ34" s="2001"/>
      <c r="AK34" s="1903"/>
      <c r="AL34" s="1935"/>
      <c r="AM34" s="1965"/>
      <c r="AN34" s="1914"/>
      <c r="AO34" s="1433"/>
      <c r="AP34" s="964"/>
      <c r="AQ34" s="531"/>
      <c r="AR34" s="852"/>
      <c r="AS34" s="796" t="s">
        <v>1085</v>
      </c>
      <c r="AT34" s="843" t="s">
        <v>794</v>
      </c>
      <c r="AU34" s="992" t="s">
        <v>1086</v>
      </c>
      <c r="AV34" s="796" t="s">
        <v>1085</v>
      </c>
      <c r="AW34" s="843" t="s">
        <v>794</v>
      </c>
      <c r="AX34" s="992" t="s">
        <v>1086</v>
      </c>
      <c r="AY34" s="117"/>
      <c r="AZ34" s="1889" t="s">
        <v>1424</v>
      </c>
      <c r="BA34" s="1890"/>
      <c r="BB34" s="307">
        <v>33.9</v>
      </c>
      <c r="BC34" s="121"/>
      <c r="BD34" s="1889" t="s">
        <v>1424</v>
      </c>
      <c r="BE34" s="1890"/>
      <c r="BF34" s="307">
        <v>34.1</v>
      </c>
      <c r="BG34" s="1066" t="s">
        <v>1425</v>
      </c>
      <c r="BH34" s="770" t="s">
        <v>567</v>
      </c>
      <c r="BI34" s="1066" t="s">
        <v>1421</v>
      </c>
      <c r="BJ34" s="308">
        <v>33.9</v>
      </c>
      <c r="BK34" s="771" t="s">
        <v>28</v>
      </c>
      <c r="BL34" s="309">
        <f>ROUND(AVERAGE(BL4:BL33),)</f>
        <v>30</v>
      </c>
      <c r="BM34" s="309">
        <f>ROUND(AVERAGE(BM4:BM33),)</f>
        <v>50</v>
      </c>
      <c r="BN34" s="309">
        <f>ROUND(AVERAGE(BN4:BN33),)</f>
        <v>52</v>
      </c>
      <c r="BO34" s="309">
        <f>ROUND(AVERAGE(BO4:BO33),)</f>
        <v>57</v>
      </c>
      <c r="BP34" s="19"/>
      <c r="BQ34" s="20"/>
      <c r="BR34" s="2176" t="s">
        <v>400</v>
      </c>
      <c r="BS34" s="2177"/>
      <c r="BT34" s="2194">
        <f>I35</f>
        <v>88.8</v>
      </c>
      <c r="BU34" s="2195"/>
      <c r="BV34" s="2194">
        <f>AQ35</f>
        <v>88.9</v>
      </c>
      <c r="BW34" s="2195"/>
      <c r="BX34" s="209"/>
      <c r="BY34" s="209"/>
      <c r="BZ34" s="993"/>
      <c r="CA34" s="1"/>
      <c r="CM34" s="20"/>
      <c r="CN34" s="2204"/>
      <c r="CO34" s="2204"/>
      <c r="CP34" s="2205"/>
      <c r="CQ34" s="2205"/>
      <c r="CR34" s="2205"/>
      <c r="CS34" s="2205"/>
      <c r="CT34" s="214"/>
      <c r="CU34" s="214"/>
      <c r="CX34" s="1325" t="s">
        <v>1376</v>
      </c>
      <c r="CY34" s="1321">
        <f>MIN(G78:G89,AO78:AO89)</f>
        <v>17.600000000000001</v>
      </c>
      <c r="CZ34" s="1323" t="s">
        <v>247</v>
      </c>
      <c r="DA34" s="1321">
        <f>MAX(G78:G89,AO78:AO89)</f>
        <v>20.2</v>
      </c>
      <c r="DC34" s="3"/>
      <c r="DD34" s="3"/>
      <c r="DE34" s="3"/>
      <c r="DF34" s="3"/>
    </row>
    <row r="35" spans="1:110" ht="21.75" customHeight="1" thickBot="1" x14ac:dyDescent="0.4">
      <c r="A35" s="771" t="s">
        <v>28</v>
      </c>
      <c r="B35" s="106"/>
      <c r="C35" s="291">
        <f>ROUND(AVERAGE(C11:C18,C25:C32),2)</f>
        <v>0.16</v>
      </c>
      <c r="D35" s="292"/>
      <c r="E35" s="291">
        <f>ROUND(AVERAGE(E11:E22,E25:E34),2)</f>
        <v>7.0000000000000007E-2</v>
      </c>
      <c r="F35" s="293">
        <f>ROUND(AVERAGE(F11:F22,F25:F34),1)</f>
        <v>15.2</v>
      </c>
      <c r="G35" s="291">
        <f>ROUND(AVERAGE(G9:G32),2)</f>
        <v>0.47</v>
      </c>
      <c r="H35" s="294">
        <v>42.1</v>
      </c>
      <c r="I35" s="294">
        <v>88.8</v>
      </c>
      <c r="J35" s="293">
        <f>ROUND(AVERAGE(J9:J32),1)</f>
        <v>98.7</v>
      </c>
      <c r="K35" s="1439"/>
      <c r="L35" s="1440"/>
      <c r="M35" s="1441"/>
      <c r="N35" s="1439"/>
      <c r="O35" s="1440"/>
      <c r="P35" s="1441"/>
      <c r="Q35" s="1042"/>
      <c r="R35" s="531"/>
      <c r="S35" s="1043"/>
      <c r="T35" s="1044"/>
      <c r="U35" s="1045">
        <f>ROUND(AVERAGE(Q33,U33,Y33),1)</f>
        <v>96.2</v>
      </c>
      <c r="V35" s="1045">
        <f>ROUND(AVERAGE(R33,V33,Z33),1)</f>
        <v>26.5</v>
      </c>
      <c r="W35" s="1046">
        <f>ROUND(AVERAGE(S33,W33,AA33),1)</f>
        <v>92.7</v>
      </c>
      <c r="X35" s="1047">
        <f>ROUND((W35-V35),1)</f>
        <v>66.2</v>
      </c>
      <c r="Y35" s="1047">
        <f>ROUND(AVERAGE(T34,X34,AB34),1)</f>
        <v>37.4</v>
      </c>
      <c r="Z35" s="1045">
        <f>(1-((W35*I35)/(J35*U35)))*100</f>
        <v>13.303717559036709</v>
      </c>
      <c r="AA35" s="1048"/>
      <c r="AB35" s="1048"/>
      <c r="AC35" s="1049"/>
      <c r="AD35" s="1050">
        <f>COUNT(AD4:AD33)</f>
        <v>17</v>
      </c>
      <c r="AH35" s="24"/>
      <c r="AI35" s="771" t="s">
        <v>28</v>
      </c>
      <c r="AJ35" s="106"/>
      <c r="AK35" s="291">
        <f>ROUND(AVERAGE(AK11:AK18,AK25:AK32),2)</f>
        <v>0.16</v>
      </c>
      <c r="AL35" s="292"/>
      <c r="AM35" s="291">
        <f>ROUND(AVERAGE(AM11:AM22,AM25:AM34),2)</f>
        <v>7.0000000000000007E-2</v>
      </c>
      <c r="AN35" s="293" t="e">
        <f>ROUND(AVERAGE(AN11:AN22,AN25:AN34),1)</f>
        <v>#DIV/0!</v>
      </c>
      <c r="AO35" s="291">
        <f>ROUND(AVERAGE(AO9:AO34),2)</f>
        <v>0.39</v>
      </c>
      <c r="AP35" s="294">
        <v>39.200000000000003</v>
      </c>
      <c r="AQ35" s="294">
        <v>88.9</v>
      </c>
      <c r="AR35" s="293">
        <f>ROUND(AVERAGE(AR9:AR34),1)</f>
        <v>100.8</v>
      </c>
      <c r="AS35" s="302">
        <v>88.8</v>
      </c>
      <c r="AT35" s="302">
        <v>94.3</v>
      </c>
      <c r="AU35" s="303">
        <v>91.5</v>
      </c>
      <c r="AV35" s="1040">
        <v>88.4</v>
      </c>
      <c r="AW35" s="1040">
        <v>95.1</v>
      </c>
      <c r="AX35" s="1041">
        <v>92.7</v>
      </c>
      <c r="AY35" s="1051"/>
      <c r="AZ35" s="1052"/>
      <c r="BA35" s="1043"/>
      <c r="BB35" s="1044"/>
      <c r="BC35" s="1045">
        <f>ROUND(AVERAGE(AY33,BC33,BG33),1)</f>
        <v>97</v>
      </c>
      <c r="BD35" s="1045">
        <f>ROUND(AVERAGE(AZ33,BD33,BH33),1)</f>
        <v>25.3</v>
      </c>
      <c r="BE35" s="1046">
        <f>ROUND(AVERAGE(BA33,BE33,BI33),1)</f>
        <v>96.1</v>
      </c>
      <c r="BF35" s="1047">
        <f>ROUND((BE35-BD35),1)</f>
        <v>70.8</v>
      </c>
      <c r="BG35" s="1053">
        <f>ROUND(AVERAGE(BB34,BF34,BJ34),1)</f>
        <v>34</v>
      </c>
      <c r="BH35" s="1045">
        <f>(1-((BE35*AQ35)/(AR35*BC35)))*100</f>
        <v>12.623854524627721</v>
      </c>
      <c r="BI35" s="1048"/>
      <c r="BJ35" s="1054"/>
      <c r="BK35" s="1049"/>
      <c r="BL35" s="1050">
        <f>COUNT(BL4:BL33)</f>
        <v>18</v>
      </c>
      <c r="BP35" s="6"/>
      <c r="BR35" s="2178"/>
      <c r="BS35" s="2179"/>
      <c r="BT35" s="2196"/>
      <c r="BU35" s="2197"/>
      <c r="BV35" s="2196"/>
      <c r="BW35" s="2197"/>
      <c r="BX35" s="209"/>
      <c r="BY35" s="209"/>
      <c r="BZ35" s="209"/>
      <c r="CM35" s="7"/>
      <c r="CN35" s="2204"/>
      <c r="CO35" s="2204"/>
      <c r="CP35" s="2205"/>
      <c r="CQ35" s="2205"/>
      <c r="CR35" s="2205"/>
      <c r="CS35" s="2205"/>
      <c r="CT35" s="214"/>
      <c r="CU35" s="214"/>
      <c r="CX35" s="1325" t="s">
        <v>251</v>
      </c>
      <c r="CY35" s="1320">
        <f>MIN(M78:T89,AU78:BB89)</f>
        <v>0.06</v>
      </c>
      <c r="CZ35" s="1320" t="s">
        <v>247</v>
      </c>
      <c r="DA35" s="1320">
        <f>MAX(M78:T89,AU78:BB89)</f>
        <v>0.1</v>
      </c>
    </row>
    <row r="36" spans="1:110" ht="21.95" customHeight="1" thickBot="1" x14ac:dyDescent="0.4">
      <c r="B36" s="1895"/>
      <c r="C36" s="1895"/>
      <c r="D36" s="1895"/>
      <c r="E36" s="1895"/>
      <c r="F36" s="1895"/>
      <c r="G36" s="1895"/>
      <c r="H36" s="1895"/>
      <c r="I36" s="1895"/>
      <c r="J36" s="1895"/>
      <c r="K36" s="1896"/>
      <c r="L36" s="1896"/>
      <c r="M36" s="1896"/>
      <c r="N36" s="1917" t="s">
        <v>413</v>
      </c>
      <c r="O36" s="1824"/>
      <c r="P36" s="1824"/>
      <c r="Q36" s="1918"/>
      <c r="R36" s="1918"/>
      <c r="S36" s="1918"/>
      <c r="T36" s="1918"/>
      <c r="U36" s="1918"/>
      <c r="V36" s="1918"/>
      <c r="W36" s="1918"/>
      <c r="X36" s="1918"/>
      <c r="Y36" s="1918"/>
      <c r="Z36" s="1918"/>
      <c r="AA36" s="1918"/>
      <c r="AB36" s="1918"/>
      <c r="AC36" s="1918"/>
      <c r="AD36" s="1918"/>
      <c r="AE36" s="1918"/>
      <c r="AF36" s="1918"/>
      <c r="AG36" s="1919"/>
      <c r="AH36" s="12"/>
      <c r="AJ36" s="1895"/>
      <c r="AK36" s="1895"/>
      <c r="AL36" s="1895"/>
      <c r="AM36" s="1895"/>
      <c r="AN36" s="1895"/>
      <c r="AO36" s="1895"/>
      <c r="AP36" s="1895"/>
      <c r="AQ36" s="1895"/>
      <c r="AR36" s="1895"/>
      <c r="AS36" s="1895"/>
      <c r="AT36" s="1895"/>
      <c r="AU36" s="1895"/>
      <c r="AV36" s="2106" t="s">
        <v>413</v>
      </c>
      <c r="AW36" s="1918"/>
      <c r="AX36" s="1918"/>
      <c r="AY36" s="1918"/>
      <c r="AZ36" s="1918"/>
      <c r="BA36" s="1918"/>
      <c r="BB36" s="1918"/>
      <c r="BC36" s="1918"/>
      <c r="BD36" s="1918"/>
      <c r="BE36" s="1918"/>
      <c r="BF36" s="1918"/>
      <c r="BG36" s="1918"/>
      <c r="BH36" s="1918"/>
      <c r="BI36" s="1918"/>
      <c r="BJ36" s="1918"/>
      <c r="BK36" s="1918"/>
      <c r="BL36" s="1918"/>
      <c r="BM36" s="1918"/>
      <c r="BN36" s="1918"/>
      <c r="BO36" s="1919"/>
      <c r="BP36" s="6"/>
      <c r="BR36" s="2180"/>
      <c r="BS36" s="2181"/>
      <c r="BT36" s="2198"/>
      <c r="BU36" s="2199"/>
      <c r="BV36" s="2198"/>
      <c r="BW36" s="2199"/>
      <c r="BX36" s="209"/>
      <c r="BY36" s="209"/>
      <c r="BZ36" s="209"/>
      <c r="CM36" s="7"/>
      <c r="CN36" s="2204"/>
      <c r="CO36" s="2204"/>
      <c r="CP36" s="2205"/>
      <c r="CQ36" s="2205"/>
      <c r="CR36" s="2205"/>
      <c r="CS36" s="2205"/>
      <c r="CT36" s="275"/>
      <c r="CU36" s="214"/>
      <c r="CX36" s="1325" t="s">
        <v>1377</v>
      </c>
      <c r="CY36" s="1321">
        <f>MIN(E78:F89,AM78:AN89)</f>
        <v>14.3</v>
      </c>
      <c r="CZ36" s="1323" t="s">
        <v>247</v>
      </c>
      <c r="DA36" s="1321">
        <f>MAX(E78:F89,AM78:AN89)</f>
        <v>19.8</v>
      </c>
    </row>
    <row r="37" spans="1:110" ht="48" customHeight="1" thickBot="1" x14ac:dyDescent="0.4">
      <c r="A37" s="1850" t="s">
        <v>1092</v>
      </c>
      <c r="B37" s="1857" t="s">
        <v>1087</v>
      </c>
      <c r="C37" s="1857" t="s">
        <v>802</v>
      </c>
      <c r="D37" s="1857" t="s">
        <v>1086</v>
      </c>
      <c r="E37" s="1857" t="s">
        <v>1088</v>
      </c>
      <c r="F37" s="1986" t="s">
        <v>1423</v>
      </c>
      <c r="G37" s="1922" t="s">
        <v>437</v>
      </c>
      <c r="H37" s="1923"/>
      <c r="I37" s="1924"/>
      <c r="J37" s="1944" t="s">
        <v>1549</v>
      </c>
      <c r="K37" s="1945"/>
      <c r="L37" s="1945"/>
      <c r="M37" s="1946"/>
      <c r="N37" s="1939" t="s">
        <v>435</v>
      </c>
      <c r="O37" s="1940"/>
      <c r="P37" s="1940"/>
      <c r="Q37" s="1941"/>
      <c r="R37" s="1922" t="s">
        <v>436</v>
      </c>
      <c r="S37" s="1923"/>
      <c r="T37" s="1924"/>
      <c r="U37" s="2047" t="s">
        <v>1619</v>
      </c>
      <c r="V37" s="2048"/>
      <c r="W37" s="2049" t="s">
        <v>1024</v>
      </c>
      <c r="X37" s="2050"/>
      <c r="Y37" s="901" t="s">
        <v>899</v>
      </c>
      <c r="Z37" s="1939" t="s">
        <v>572</v>
      </c>
      <c r="AA37" s="1940"/>
      <c r="AB37" s="1940"/>
      <c r="AC37" s="1940"/>
      <c r="AD37" s="1940"/>
      <c r="AE37" s="1940"/>
      <c r="AF37" s="1941"/>
      <c r="AG37" s="2072" t="s">
        <v>4</v>
      </c>
      <c r="AH37" s="16"/>
      <c r="AI37" s="1850" t="s">
        <v>1092</v>
      </c>
      <c r="AJ37" s="1857" t="s">
        <v>1087</v>
      </c>
      <c r="AK37" s="1857" t="s">
        <v>802</v>
      </c>
      <c r="AL37" s="1857" t="s">
        <v>1086</v>
      </c>
      <c r="AM37" s="1857" t="s">
        <v>1088</v>
      </c>
      <c r="AN37" s="1986" t="s">
        <v>1423</v>
      </c>
      <c r="AO37" s="1922" t="s">
        <v>437</v>
      </c>
      <c r="AP37" s="1923"/>
      <c r="AQ37" s="1924"/>
      <c r="AR37" s="1944" t="s">
        <v>1549</v>
      </c>
      <c r="AS37" s="1945"/>
      <c r="AT37" s="1945"/>
      <c r="AU37" s="1946"/>
      <c r="AV37" s="1939" t="s">
        <v>435</v>
      </c>
      <c r="AW37" s="1940"/>
      <c r="AX37" s="1940"/>
      <c r="AY37" s="1941"/>
      <c r="AZ37" s="1922" t="s">
        <v>436</v>
      </c>
      <c r="BA37" s="1923"/>
      <c r="BB37" s="1924"/>
      <c r="BC37" s="2047" t="s">
        <v>1023</v>
      </c>
      <c r="BD37" s="2048"/>
      <c r="BE37" s="2047" t="s">
        <v>1024</v>
      </c>
      <c r="BF37" s="2048"/>
      <c r="BG37" s="901" t="s">
        <v>899</v>
      </c>
      <c r="BH37" s="1939" t="s">
        <v>572</v>
      </c>
      <c r="BI37" s="1940"/>
      <c r="BJ37" s="1940"/>
      <c r="BK37" s="1940"/>
      <c r="BL37" s="1940"/>
      <c r="BM37" s="1940"/>
      <c r="BN37" s="1941"/>
      <c r="BO37" s="2072" t="s">
        <v>4</v>
      </c>
      <c r="BP37" s="6"/>
      <c r="BR37" s="2214" t="s">
        <v>953</v>
      </c>
      <c r="BS37" s="2214"/>
      <c r="BT37" s="2169">
        <f>B132</f>
        <v>731.63499999999999</v>
      </c>
      <c r="BU37" s="2169"/>
      <c r="BV37" s="2169">
        <f>AJ132</f>
        <v>711.68200000000002</v>
      </c>
      <c r="BW37" s="2169"/>
      <c r="BX37" s="209"/>
      <c r="BY37" s="209"/>
      <c r="BZ37" s="216"/>
      <c r="CM37" s="7"/>
      <c r="CN37" s="2212" t="s">
        <v>757</v>
      </c>
      <c r="CO37" s="2212"/>
      <c r="CP37" s="2205">
        <f>CU70</f>
        <v>0</v>
      </c>
      <c r="CQ37" s="2205"/>
      <c r="CR37" s="2205">
        <f>CU71</f>
        <v>0</v>
      </c>
      <c r="CS37" s="2205"/>
      <c r="CT37" s="214"/>
      <c r="CU37" s="214"/>
      <c r="CX37" s="1325" t="s">
        <v>252</v>
      </c>
      <c r="CY37" s="1320">
        <f>MIN(K78:L89,AS78:AT89)</f>
        <v>0.06</v>
      </c>
      <c r="CZ37" s="1320" t="s">
        <v>247</v>
      </c>
      <c r="DA37" s="1320">
        <f>MAX(K78:L89,AS78:AT89)</f>
        <v>7.0000000000000007E-2</v>
      </c>
    </row>
    <row r="38" spans="1:110" ht="34.5" customHeight="1" x14ac:dyDescent="0.35">
      <c r="A38" s="1851"/>
      <c r="B38" s="1858"/>
      <c r="C38" s="1858"/>
      <c r="D38" s="1858"/>
      <c r="E38" s="1858"/>
      <c r="F38" s="1987"/>
      <c r="G38" s="1927" t="s">
        <v>1089</v>
      </c>
      <c r="H38" s="1928"/>
      <c r="I38" s="1929"/>
      <c r="J38" s="1930" t="s">
        <v>1090</v>
      </c>
      <c r="K38" s="1925" t="s">
        <v>794</v>
      </c>
      <c r="L38" s="1942" t="s">
        <v>1086</v>
      </c>
      <c r="M38" s="1891" t="s">
        <v>1091</v>
      </c>
      <c r="N38" s="1958" t="s">
        <v>22</v>
      </c>
      <c r="O38" s="1885" t="s">
        <v>1100</v>
      </c>
      <c r="P38" s="1853" t="s">
        <v>1101</v>
      </c>
      <c r="Q38" s="1883" t="s">
        <v>1090</v>
      </c>
      <c r="R38" s="1885" t="s">
        <v>1100</v>
      </c>
      <c r="S38" s="1853" t="s">
        <v>1101</v>
      </c>
      <c r="T38" s="1883" t="s">
        <v>1090</v>
      </c>
      <c r="U38" s="1853" t="s">
        <v>1101</v>
      </c>
      <c r="V38" s="1883" t="s">
        <v>1090</v>
      </c>
      <c r="W38" s="1853" t="s">
        <v>1101</v>
      </c>
      <c r="X38" s="1883" t="s">
        <v>1090</v>
      </c>
      <c r="Y38" s="2042" t="s">
        <v>1426</v>
      </c>
      <c r="Z38" s="777" t="s">
        <v>17</v>
      </c>
      <c r="AA38" s="2040" t="s">
        <v>983</v>
      </c>
      <c r="AB38" s="1881" t="s">
        <v>1562</v>
      </c>
      <c r="AC38" s="1881" t="s">
        <v>1563</v>
      </c>
      <c r="AD38" s="1881" t="s">
        <v>1564</v>
      </c>
      <c r="AE38" s="1881" t="s">
        <v>1565</v>
      </c>
      <c r="AF38" s="1932" t="s">
        <v>1123</v>
      </c>
      <c r="AG38" s="2073"/>
      <c r="AH38" s="17"/>
      <c r="AI38" s="1851"/>
      <c r="AJ38" s="1858"/>
      <c r="AK38" s="1858"/>
      <c r="AL38" s="1858"/>
      <c r="AM38" s="1858"/>
      <c r="AN38" s="1987"/>
      <c r="AO38" s="1927" t="s">
        <v>1089</v>
      </c>
      <c r="AP38" s="1928"/>
      <c r="AQ38" s="1928"/>
      <c r="AR38" s="1930" t="s">
        <v>1090</v>
      </c>
      <c r="AS38" s="1925" t="s">
        <v>794</v>
      </c>
      <c r="AT38" s="1942" t="s">
        <v>1086</v>
      </c>
      <c r="AU38" s="1891" t="s">
        <v>1091</v>
      </c>
      <c r="AV38" s="2257" t="s">
        <v>22</v>
      </c>
      <c r="AW38" s="1885" t="s">
        <v>1100</v>
      </c>
      <c r="AX38" s="1853" t="s">
        <v>1101</v>
      </c>
      <c r="AY38" s="1883" t="s">
        <v>1090</v>
      </c>
      <c r="AZ38" s="1885" t="s">
        <v>1100</v>
      </c>
      <c r="BA38" s="1853" t="s">
        <v>1101</v>
      </c>
      <c r="BB38" s="1883" t="s">
        <v>1090</v>
      </c>
      <c r="BC38" s="1853" t="s">
        <v>1101</v>
      </c>
      <c r="BD38" s="1883" t="s">
        <v>1090</v>
      </c>
      <c r="BE38" s="1853" t="s">
        <v>1101</v>
      </c>
      <c r="BF38" s="1883" t="s">
        <v>1090</v>
      </c>
      <c r="BG38" s="2042" t="s">
        <v>1426</v>
      </c>
      <c r="BH38" s="777" t="s">
        <v>17</v>
      </c>
      <c r="BI38" s="2040" t="s">
        <v>983</v>
      </c>
      <c r="BJ38" s="1881" t="s">
        <v>1562</v>
      </c>
      <c r="BK38" s="1881" t="s">
        <v>1563</v>
      </c>
      <c r="BL38" s="1881" t="s">
        <v>1564</v>
      </c>
      <c r="BM38" s="1881" t="s">
        <v>1565</v>
      </c>
      <c r="BN38" s="1932" t="s">
        <v>1123</v>
      </c>
      <c r="BO38" s="2073"/>
      <c r="BP38" s="6"/>
      <c r="BR38" s="2214"/>
      <c r="BS38" s="2214"/>
      <c r="BT38" s="2169"/>
      <c r="BU38" s="2169"/>
      <c r="BV38" s="2169"/>
      <c r="BW38" s="2169"/>
      <c r="BX38" s="209"/>
      <c r="BY38" s="209"/>
      <c r="BZ38" s="216"/>
      <c r="CM38" s="7"/>
      <c r="CN38" s="2212"/>
      <c r="CO38" s="2212"/>
      <c r="CP38" s="2205"/>
      <c r="CQ38" s="2205"/>
      <c r="CR38" s="2205"/>
      <c r="CS38" s="2205"/>
      <c r="CT38" s="1004"/>
      <c r="CU38" s="1004"/>
      <c r="CX38" s="1325" t="s">
        <v>1378</v>
      </c>
      <c r="CY38" s="1321">
        <f>MIN(D47:D48,AL47:AL48)</f>
        <v>7.1</v>
      </c>
      <c r="CZ38" s="1323" t="s">
        <v>247</v>
      </c>
      <c r="DA38" s="1321">
        <f>MAX(D47:D48,AL47:AL48)</f>
        <v>13.6</v>
      </c>
    </row>
    <row r="39" spans="1:110" ht="51.75" customHeight="1" thickBot="1" x14ac:dyDescent="0.4">
      <c r="A39" s="1852"/>
      <c r="B39" s="1859"/>
      <c r="C39" s="1859"/>
      <c r="D39" s="1859"/>
      <c r="E39" s="1859"/>
      <c r="F39" s="1988"/>
      <c r="G39" s="774" t="s">
        <v>175</v>
      </c>
      <c r="H39" s="775" t="s">
        <v>134</v>
      </c>
      <c r="I39" s="776" t="s">
        <v>81</v>
      </c>
      <c r="J39" s="1931"/>
      <c r="K39" s="1926"/>
      <c r="L39" s="1943"/>
      <c r="M39" s="1892"/>
      <c r="N39" s="1959"/>
      <c r="O39" s="1886"/>
      <c r="P39" s="1854"/>
      <c r="Q39" s="1884"/>
      <c r="R39" s="1886"/>
      <c r="S39" s="1854"/>
      <c r="T39" s="1884"/>
      <c r="U39" s="1854"/>
      <c r="V39" s="1884"/>
      <c r="W39" s="1854"/>
      <c r="X39" s="1884"/>
      <c r="Y39" s="2043"/>
      <c r="Z39" s="778" t="s">
        <v>35</v>
      </c>
      <c r="AA39" s="2041"/>
      <c r="AB39" s="1882"/>
      <c r="AC39" s="1882"/>
      <c r="AD39" s="1882"/>
      <c r="AE39" s="1882"/>
      <c r="AF39" s="1933"/>
      <c r="AG39" s="2074"/>
      <c r="AH39" s="17"/>
      <c r="AI39" s="1852"/>
      <c r="AJ39" s="1859"/>
      <c r="AK39" s="1859"/>
      <c r="AL39" s="1859"/>
      <c r="AM39" s="1859"/>
      <c r="AN39" s="1988"/>
      <c r="AO39" s="774" t="s">
        <v>175</v>
      </c>
      <c r="AP39" s="775" t="s">
        <v>134</v>
      </c>
      <c r="AQ39" s="776" t="s">
        <v>81</v>
      </c>
      <c r="AR39" s="1931"/>
      <c r="AS39" s="1926"/>
      <c r="AT39" s="1943"/>
      <c r="AU39" s="1892"/>
      <c r="AV39" s="2258"/>
      <c r="AW39" s="1886"/>
      <c r="AX39" s="1854"/>
      <c r="AY39" s="1884"/>
      <c r="AZ39" s="1886"/>
      <c r="BA39" s="1854"/>
      <c r="BB39" s="1884"/>
      <c r="BC39" s="1854"/>
      <c r="BD39" s="1884"/>
      <c r="BE39" s="1854"/>
      <c r="BF39" s="1884"/>
      <c r="BG39" s="2043"/>
      <c r="BH39" s="778" t="s">
        <v>35</v>
      </c>
      <c r="BI39" s="2041"/>
      <c r="BJ39" s="1882"/>
      <c r="BK39" s="1882"/>
      <c r="BL39" s="1882"/>
      <c r="BM39" s="1882"/>
      <c r="BN39" s="1933"/>
      <c r="BO39" s="2074"/>
      <c r="BP39" s="6"/>
      <c r="BR39" s="2214"/>
      <c r="BS39" s="2214"/>
      <c r="BT39" s="2169"/>
      <c r="BU39" s="2169"/>
      <c r="BV39" s="2169"/>
      <c r="BW39" s="2169"/>
      <c r="BX39" s="209"/>
      <c r="BY39" s="209"/>
      <c r="BZ39" s="216"/>
      <c r="CM39" s="7"/>
      <c r="CN39" s="2212"/>
      <c r="CO39" s="2212"/>
      <c r="CP39" s="2205"/>
      <c r="CQ39" s="2205"/>
      <c r="CR39" s="2205"/>
      <c r="CS39" s="2205"/>
      <c r="CT39" s="1004"/>
      <c r="CU39" s="1004"/>
      <c r="CX39" s="1325" t="s">
        <v>1380</v>
      </c>
      <c r="CY39" s="1320">
        <f>MIN(G40:H51,B40:B41,AJ40:AJ41,AO40:AP51)</f>
        <v>78</v>
      </c>
      <c r="CZ39" s="1320" t="s">
        <v>247</v>
      </c>
      <c r="DA39" s="1320">
        <f>MAX(G40:H51,B40:B41,AJ40:AJ41,AO40:AP51)</f>
        <v>90.8</v>
      </c>
    </row>
    <row r="40" spans="1:110" ht="26.25" customHeight="1" thickBot="1" x14ac:dyDescent="0.4">
      <c r="A40" s="1475" t="s">
        <v>1093</v>
      </c>
      <c r="B40" s="310">
        <v>83.2</v>
      </c>
      <c r="C40" s="311">
        <v>29.8</v>
      </c>
      <c r="D40" s="312">
        <v>79.8</v>
      </c>
      <c r="E40" s="313">
        <f>D40-C40</f>
        <v>50</v>
      </c>
      <c r="F40" s="312">
        <v>40.5</v>
      </c>
      <c r="G40" s="1593">
        <v>83.6</v>
      </c>
      <c r="H40" s="1594">
        <v>90</v>
      </c>
      <c r="I40" s="1023">
        <v>85.2</v>
      </c>
      <c r="J40" s="336">
        <v>84.4</v>
      </c>
      <c r="K40" s="337">
        <v>30.6</v>
      </c>
      <c r="L40" s="337">
        <v>85.5</v>
      </c>
      <c r="M40" s="342">
        <v>54.9</v>
      </c>
      <c r="N40" s="503">
        <v>2</v>
      </c>
      <c r="O40" s="1605">
        <v>2</v>
      </c>
      <c r="P40" s="1605">
        <v>9.6</v>
      </c>
      <c r="Q40" s="1603">
        <v>59.7</v>
      </c>
      <c r="R40" s="1610">
        <v>2.4</v>
      </c>
      <c r="S40" s="1611">
        <v>12</v>
      </c>
      <c r="T40" s="1604">
        <v>59.7</v>
      </c>
      <c r="U40" s="348">
        <v>4</v>
      </c>
      <c r="V40" s="911">
        <v>0.04</v>
      </c>
      <c r="W40" s="916">
        <v>5.2</v>
      </c>
      <c r="X40" s="919">
        <v>0.12</v>
      </c>
      <c r="Y40" s="350"/>
      <c r="Z40" s="650">
        <v>1</v>
      </c>
      <c r="AA40" s="1519"/>
      <c r="AB40" s="1520"/>
      <c r="AC40" s="1519">
        <v>58</v>
      </c>
      <c r="AD40" s="1519">
        <v>56</v>
      </c>
      <c r="AE40" s="1521"/>
      <c r="AF40" s="1522"/>
      <c r="AG40" s="676">
        <v>0.875</v>
      </c>
      <c r="AH40" s="12"/>
      <c r="AI40" s="1475" t="s">
        <v>1093</v>
      </c>
      <c r="AJ40" s="310">
        <v>86.5</v>
      </c>
      <c r="AK40" s="311">
        <v>27.8</v>
      </c>
      <c r="AL40" s="312">
        <v>86.3</v>
      </c>
      <c r="AM40" s="539">
        <f>AL40-AK40</f>
        <v>58.5</v>
      </c>
      <c r="AN40" s="312">
        <v>37.9</v>
      </c>
      <c r="AO40" s="1593">
        <v>87.6</v>
      </c>
      <c r="AP40" s="1594">
        <v>88.4</v>
      </c>
      <c r="AQ40" s="1603">
        <v>81.2</v>
      </c>
      <c r="AR40" s="348">
        <v>80.400000000000006</v>
      </c>
      <c r="AS40" s="349">
        <v>30.6</v>
      </c>
      <c r="AT40" s="349">
        <v>82.3</v>
      </c>
      <c r="AU40" s="342">
        <f>AT40-AS40</f>
        <v>51.699999999999996</v>
      </c>
      <c r="AV40" s="1436">
        <f>N40</f>
        <v>2</v>
      </c>
      <c r="AW40" s="1593">
        <v>3.2</v>
      </c>
      <c r="AX40" s="1605">
        <v>6.4</v>
      </c>
      <c r="AY40" s="1603">
        <v>58.1</v>
      </c>
      <c r="AZ40" s="1610">
        <v>2.2000000000000002</v>
      </c>
      <c r="BA40" s="1611">
        <v>6</v>
      </c>
      <c r="BB40" s="1638">
        <v>60.5</v>
      </c>
      <c r="BC40" s="348">
        <v>4</v>
      </c>
      <c r="BD40" s="911">
        <v>0.04</v>
      </c>
      <c r="BE40" s="916">
        <v>8</v>
      </c>
      <c r="BF40" s="919">
        <v>0.12</v>
      </c>
      <c r="BG40" s="350"/>
      <c r="BH40" s="650">
        <v>1</v>
      </c>
      <c r="BI40" s="351"/>
      <c r="BJ40" s="352"/>
      <c r="BK40" s="351">
        <v>58</v>
      </c>
      <c r="BL40" s="351">
        <v>65</v>
      </c>
      <c r="BM40" s="353"/>
      <c r="BN40" s="354"/>
      <c r="BO40" s="676">
        <v>0.375</v>
      </c>
      <c r="BP40" s="26"/>
      <c r="BQ40" s="200"/>
      <c r="BR40" s="2263" t="s">
        <v>465</v>
      </c>
      <c r="BS40" s="2179"/>
      <c r="BT40" s="2190">
        <f>BU78</f>
        <v>1.3640000000000001</v>
      </c>
      <c r="BU40" s="2191"/>
      <c r="BV40" s="2190">
        <f>BU79</f>
        <v>0.89500000000000002</v>
      </c>
      <c r="BW40" s="2191"/>
      <c r="BX40" s="209"/>
      <c r="BY40" s="209"/>
      <c r="BZ40" s="216"/>
      <c r="CM40" s="200"/>
      <c r="CN40" s="2212"/>
      <c r="CO40" s="2212"/>
      <c r="CP40" s="2205"/>
      <c r="CQ40" s="2205"/>
      <c r="CR40" s="2205"/>
      <c r="CS40" s="2205"/>
      <c r="CT40" s="2185"/>
      <c r="CU40" s="2185"/>
      <c r="CX40" s="1325" t="s">
        <v>1379</v>
      </c>
      <c r="CY40" s="1321">
        <f>MIN(AF60,BN60)</f>
        <v>13.1</v>
      </c>
      <c r="CZ40" s="1323" t="s">
        <v>247</v>
      </c>
      <c r="DA40" s="1321">
        <f>MAX(AF60,BN60)</f>
        <v>15.3</v>
      </c>
    </row>
    <row r="41" spans="1:110" ht="26.25" customHeight="1" thickBot="1" x14ac:dyDescent="0.4">
      <c r="A41" s="1475" t="s">
        <v>1094</v>
      </c>
      <c r="B41" s="314">
        <v>82.8</v>
      </c>
      <c r="C41" s="315">
        <v>31</v>
      </c>
      <c r="D41" s="316">
        <v>80.7</v>
      </c>
      <c r="E41" s="313">
        <f>D41-C41</f>
        <v>49.7</v>
      </c>
      <c r="F41" s="317">
        <v>38.299999999999997</v>
      </c>
      <c r="G41" s="404"/>
      <c r="H41" s="405" t="s">
        <v>960</v>
      </c>
      <c r="I41" s="403"/>
      <c r="J41" s="339"/>
      <c r="K41" s="340"/>
      <c r="L41" s="340"/>
      <c r="M41" s="342"/>
      <c r="N41" s="497">
        <v>4</v>
      </c>
      <c r="O41" s="1606">
        <v>1.2</v>
      </c>
      <c r="P41" s="1606">
        <v>10</v>
      </c>
      <c r="Q41" s="1608">
        <v>60.5</v>
      </c>
      <c r="R41" s="648"/>
      <c r="S41" s="405" t="s">
        <v>960</v>
      </c>
      <c r="T41" s="403"/>
      <c r="U41" s="356"/>
      <c r="V41" s="911"/>
      <c r="W41" s="988"/>
      <c r="X41" s="920"/>
      <c r="Y41" s="357">
        <v>0.45</v>
      </c>
      <c r="Z41" s="410">
        <v>2</v>
      </c>
      <c r="AA41" s="1523">
        <v>96</v>
      </c>
      <c r="AB41" s="1600">
        <v>77</v>
      </c>
      <c r="AC41" s="1523"/>
      <c r="AD41" s="1523"/>
      <c r="AE41" s="408">
        <v>0.28000000000000003</v>
      </c>
      <c r="AF41" s="1525">
        <v>181</v>
      </c>
      <c r="AG41" s="331"/>
      <c r="AH41" s="12"/>
      <c r="AI41" s="1475" t="s">
        <v>1094</v>
      </c>
      <c r="AJ41" s="314">
        <v>89.7</v>
      </c>
      <c r="AK41" s="315">
        <v>27.4</v>
      </c>
      <c r="AL41" s="317">
        <v>86.3</v>
      </c>
      <c r="AM41" s="539">
        <f>AL41-AK41</f>
        <v>58.9</v>
      </c>
      <c r="AN41" s="317">
        <v>37.799999999999997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37">
        <v>2.6</v>
      </c>
      <c r="AX41" s="1606">
        <v>8</v>
      </c>
      <c r="AY41" s="1616">
        <v>59.7</v>
      </c>
      <c r="AZ41" s="343"/>
      <c r="BA41" s="340"/>
      <c r="BB41" s="341"/>
      <c r="BC41" s="356"/>
      <c r="BD41" s="911"/>
      <c r="BE41" s="988"/>
      <c r="BF41" s="920"/>
      <c r="BG41" s="357">
        <v>0.51</v>
      </c>
      <c r="BH41" s="410">
        <v>2</v>
      </c>
      <c r="BI41" s="358">
        <v>96</v>
      </c>
      <c r="BJ41" s="1600">
        <v>79</v>
      </c>
      <c r="BK41" s="358"/>
      <c r="BL41" s="358"/>
      <c r="BM41" s="360">
        <v>0.18</v>
      </c>
      <c r="BN41" s="361">
        <v>169</v>
      </c>
      <c r="BO41" s="331"/>
      <c r="BP41" s="6"/>
      <c r="BR41" s="2178"/>
      <c r="BS41" s="2179"/>
      <c r="BT41" s="2190"/>
      <c r="BU41" s="2191"/>
      <c r="BV41" s="2190"/>
      <c r="BW41" s="2191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2212"/>
      <c r="CO41" s="2212"/>
      <c r="CP41" s="2205"/>
      <c r="CQ41" s="2205"/>
      <c r="CR41" s="2205"/>
      <c r="CS41" s="2205"/>
      <c r="CT41" s="2185"/>
      <c r="CU41" s="2185"/>
      <c r="CX41" s="1325" t="s">
        <v>1381</v>
      </c>
      <c r="CY41" s="1321">
        <f>MIN(I40:I51,B44,AQ40:AQ51,AJ44)</f>
        <v>74.5</v>
      </c>
      <c r="CZ41" s="1321" t="s">
        <v>247</v>
      </c>
      <c r="DA41" s="1321">
        <f>MAX(I40:I51,B44,AQ40:AQ51,AJ44)</f>
        <v>85.2</v>
      </c>
    </row>
    <row r="42" spans="1:110" ht="32.25" customHeight="1" thickBot="1" x14ac:dyDescent="0.45">
      <c r="A42" s="1475" t="s">
        <v>1097</v>
      </c>
      <c r="B42" s="318">
        <f>AVERAGE(B40:B41)</f>
        <v>83</v>
      </c>
      <c r="C42" s="318">
        <f>AVERAGE(C40:C41)</f>
        <v>30.4</v>
      </c>
      <c r="D42" s="318">
        <f>AVERAGE(D40:D41)</f>
        <v>80.25</v>
      </c>
      <c r="E42" s="313">
        <f>D42-C42</f>
        <v>49.85</v>
      </c>
      <c r="F42" s="319">
        <f>AVERAGE(F40:F41)</f>
        <v>39.4</v>
      </c>
      <c r="G42" s="1526"/>
      <c r="H42" s="405" t="s">
        <v>960</v>
      </c>
      <c r="I42" s="1528"/>
      <c r="J42" s="339"/>
      <c r="K42" s="340"/>
      <c r="L42" s="340"/>
      <c r="M42" s="342"/>
      <c r="N42" s="497">
        <v>6</v>
      </c>
      <c r="O42" s="1607">
        <v>1</v>
      </c>
      <c r="P42" s="1607">
        <v>4.8</v>
      </c>
      <c r="Q42" s="1609">
        <v>61.3</v>
      </c>
      <c r="R42" s="1621">
        <v>2</v>
      </c>
      <c r="S42" s="1606">
        <v>10</v>
      </c>
      <c r="T42" s="403"/>
      <c r="U42" s="356"/>
      <c r="V42" s="912"/>
      <c r="W42" s="988"/>
      <c r="X42" s="920"/>
      <c r="Y42" s="357"/>
      <c r="Z42" s="410">
        <v>3</v>
      </c>
      <c r="AA42" s="1523"/>
      <c r="AB42" s="1524"/>
      <c r="AC42" s="1523">
        <v>58</v>
      </c>
      <c r="AD42" s="1523">
        <v>56</v>
      </c>
      <c r="AE42" s="408"/>
      <c r="AF42" s="1525"/>
      <c r="AG42" s="331"/>
      <c r="AH42" s="12"/>
      <c r="AI42" s="1475" t="s">
        <v>1097</v>
      </c>
      <c r="AJ42" s="540">
        <f>AVERAGE(AJ40:AJ41)</f>
        <v>88.1</v>
      </c>
      <c r="AK42" s="540">
        <f>AVERAGE(AK40:AK41)</f>
        <v>27.6</v>
      </c>
      <c r="AL42" s="319">
        <f>AVERAGE(AL40:AL41)</f>
        <v>86.3</v>
      </c>
      <c r="AM42" s="539">
        <f>AL42-AK42</f>
        <v>58.699999999999996</v>
      </c>
      <c r="AN42" s="319">
        <f>AVERAGE(AN40:AN41)</f>
        <v>37.849999999999994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29">
        <v>4</v>
      </c>
      <c r="AX42" s="1606">
        <v>5.2</v>
      </c>
      <c r="AY42" s="1616">
        <v>59.7</v>
      </c>
      <c r="AZ42" s="343">
        <v>2.8</v>
      </c>
      <c r="BA42" s="340">
        <v>6.4</v>
      </c>
      <c r="BB42" s="341"/>
      <c r="BC42" s="356"/>
      <c r="BD42" s="912"/>
      <c r="BE42" s="988"/>
      <c r="BF42" s="920"/>
      <c r="BG42" s="357"/>
      <c r="BH42" s="410">
        <v>3</v>
      </c>
      <c r="BI42" s="358"/>
      <c r="BJ42" s="359"/>
      <c r="BK42" s="358">
        <v>57</v>
      </c>
      <c r="BL42" s="358">
        <v>56</v>
      </c>
      <c r="BM42" s="360"/>
      <c r="BN42" s="361"/>
      <c r="BO42" s="331"/>
      <c r="BP42" s="6"/>
      <c r="BR42" s="2178"/>
      <c r="BS42" s="2179"/>
      <c r="BT42" s="2190"/>
      <c r="BU42" s="2191"/>
      <c r="BV42" s="2190"/>
      <c r="BW42" s="2191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2264"/>
      <c r="CO42" s="2264"/>
      <c r="CP42" s="273"/>
      <c r="CQ42" s="216"/>
      <c r="CR42" s="218"/>
      <c r="CS42" s="218"/>
      <c r="CT42" s="218"/>
      <c r="CU42" s="216"/>
      <c r="CX42" s="1325" t="s">
        <v>1382</v>
      </c>
      <c r="CY42" s="1321">
        <f>MIN(F72,AN72)</f>
        <v>29</v>
      </c>
      <c r="CZ42" s="1323" t="s">
        <v>247</v>
      </c>
      <c r="DA42" s="1321">
        <f>MAX(F72,AN72)</f>
        <v>32</v>
      </c>
    </row>
    <row r="43" spans="1:110" ht="32.25" customHeight="1" thickBot="1" x14ac:dyDescent="0.45">
      <c r="A43" s="1476" t="s">
        <v>1096</v>
      </c>
      <c r="B43" s="320">
        <f>AVERAGE(Q33,U33)</f>
        <v>96.1</v>
      </c>
      <c r="C43" s="320">
        <f t="shared" ref="C43" si="0">AVERAGE(R33,V33)</f>
        <v>26.6</v>
      </c>
      <c r="D43" s="320">
        <f>AVERAGE(S33,W33)</f>
        <v>92.75</v>
      </c>
      <c r="E43" s="313">
        <f>D43-C43</f>
        <v>66.150000000000006</v>
      </c>
      <c r="F43" s="321">
        <f>AVERAGE(T34,X34)</f>
        <v>37</v>
      </c>
      <c r="G43" s="1526"/>
      <c r="H43" s="405" t="s">
        <v>960</v>
      </c>
      <c r="I43" s="1528"/>
      <c r="J43" s="339"/>
      <c r="K43" s="340"/>
      <c r="L43" s="340"/>
      <c r="M43" s="342"/>
      <c r="N43" s="497"/>
      <c r="O43" s="1527"/>
      <c r="P43" s="1527"/>
      <c r="Q43" s="1528"/>
      <c r="R43" s="648"/>
      <c r="S43" s="405" t="s">
        <v>960</v>
      </c>
      <c r="T43" s="403"/>
      <c r="U43" s="356"/>
      <c r="V43" s="911"/>
      <c r="W43" s="988"/>
      <c r="X43" s="920"/>
      <c r="Y43" s="357">
        <v>0.6</v>
      </c>
      <c r="Z43" s="410">
        <v>4</v>
      </c>
      <c r="AA43" s="1523">
        <v>93</v>
      </c>
      <c r="AB43" s="1524">
        <v>70</v>
      </c>
      <c r="AC43" s="1523"/>
      <c r="AD43" s="1523"/>
      <c r="AE43" s="408">
        <v>0.28000000000000003</v>
      </c>
      <c r="AF43" s="1525">
        <v>145</v>
      </c>
      <c r="AG43" s="331"/>
      <c r="AH43" s="12"/>
      <c r="AI43" s="1476" t="s">
        <v>1096</v>
      </c>
      <c r="AJ43" s="541">
        <f>AVERAGE(AY33,BC33)</f>
        <v>97</v>
      </c>
      <c r="AK43" s="541">
        <f>AVERAGE(AZ33,BD33)</f>
        <v>25.2</v>
      </c>
      <c r="AL43" s="541">
        <f>AVERAGE(BA33,BE33)</f>
        <v>96</v>
      </c>
      <c r="AM43" s="539">
        <f>AL43-AK43</f>
        <v>70.8</v>
      </c>
      <c r="AN43" s="321">
        <f>AVERAGE(BB34,BF34)</f>
        <v>34</v>
      </c>
      <c r="AO43" s="344"/>
      <c r="AP43" s="345"/>
      <c r="AQ43" s="346"/>
      <c r="AR43" s="339"/>
      <c r="AS43" s="340"/>
      <c r="AT43" s="340"/>
      <c r="AU43" s="1"/>
      <c r="AV43" s="260"/>
      <c r="AW43" s="344"/>
      <c r="AX43" s="340"/>
      <c r="AY43" s="341"/>
      <c r="AZ43" s="343"/>
      <c r="BA43" s="340"/>
      <c r="BB43" s="341"/>
      <c r="BC43" s="356"/>
      <c r="BD43" s="911"/>
      <c r="BE43" s="988"/>
      <c r="BF43" s="920"/>
      <c r="BG43" s="357">
        <v>0.44</v>
      </c>
      <c r="BH43" s="410">
        <v>4</v>
      </c>
      <c r="BI43" s="358">
        <v>92</v>
      </c>
      <c r="BJ43" s="359">
        <v>68</v>
      </c>
      <c r="BK43" s="358"/>
      <c r="BL43" s="358"/>
      <c r="BM43" s="360">
        <v>0.23</v>
      </c>
      <c r="BN43" s="361">
        <v>150</v>
      </c>
      <c r="BO43" s="331"/>
      <c r="BP43" s="6"/>
      <c r="BR43" s="2180"/>
      <c r="BS43" s="2181"/>
      <c r="BT43" s="2192"/>
      <c r="BU43" s="2193"/>
      <c r="BV43" s="2192"/>
      <c r="BW43" s="2193"/>
      <c r="BX43" s="209"/>
      <c r="BY43" s="209"/>
      <c r="BZ43" s="209"/>
      <c r="CM43" s="7"/>
      <c r="CN43" s="225"/>
      <c r="CO43" s="225"/>
      <c r="CP43" s="576"/>
      <c r="CQ43" s="1003"/>
      <c r="CR43" s="577"/>
      <c r="CS43" s="1003"/>
      <c r="CT43" s="223"/>
      <c r="CU43" s="223"/>
      <c r="CX43" s="1325" t="s">
        <v>624</v>
      </c>
      <c r="CY43" s="1320">
        <f>MIN(C78:C89,AK78:AK89)</f>
        <v>0.06</v>
      </c>
      <c r="CZ43" s="1320" t="s">
        <v>247</v>
      </c>
      <c r="DA43" s="1320">
        <f>MAX(C78:C89,AK78:AK89)</f>
        <v>0.06</v>
      </c>
    </row>
    <row r="44" spans="1:110" ht="26.25" customHeight="1" thickBot="1" x14ac:dyDescent="0.4">
      <c r="A44" s="1475" t="s">
        <v>1095</v>
      </c>
      <c r="B44" s="322">
        <v>74.5</v>
      </c>
      <c r="C44" s="323">
        <v>30.2</v>
      </c>
      <c r="D44" s="324">
        <v>73.8</v>
      </c>
      <c r="E44" s="325">
        <f>D44-C44</f>
        <v>43.599999999999994</v>
      </c>
      <c r="F44" s="322">
        <v>42.1</v>
      </c>
      <c r="G44" s="1618">
        <v>78</v>
      </c>
      <c r="H44" s="1527" t="s">
        <v>1684</v>
      </c>
      <c r="I44" s="1619">
        <v>76.400000000000006</v>
      </c>
      <c r="J44" s="339">
        <v>73.3</v>
      </c>
      <c r="K44" s="340">
        <v>32.200000000000003</v>
      </c>
      <c r="L44" s="340">
        <v>75.8</v>
      </c>
      <c r="M44" s="342">
        <v>43.6</v>
      </c>
      <c r="N44" s="1067"/>
      <c r="O44" s="1527"/>
      <c r="P44" s="1527"/>
      <c r="Q44" s="1528"/>
      <c r="R44" s="648">
        <v>1</v>
      </c>
      <c r="S44" s="405">
        <v>14</v>
      </c>
      <c r="T44" s="1616">
        <v>53.3</v>
      </c>
      <c r="U44" s="356"/>
      <c r="V44" s="912"/>
      <c r="W44" s="988"/>
      <c r="X44" s="920"/>
      <c r="Y44" s="357"/>
      <c r="Z44" s="410">
        <v>5</v>
      </c>
      <c r="AA44" s="1523"/>
      <c r="AB44" s="1524"/>
      <c r="AC44" s="1523">
        <v>59</v>
      </c>
      <c r="AD44" s="1523">
        <v>58</v>
      </c>
      <c r="AE44" s="408"/>
      <c r="AF44" s="1525"/>
      <c r="AG44" s="331"/>
      <c r="AH44" s="12"/>
      <c r="AI44" s="1475" t="s">
        <v>1095</v>
      </c>
      <c r="AJ44" s="322">
        <v>84.5</v>
      </c>
      <c r="AK44" s="323">
        <v>29</v>
      </c>
      <c r="AL44" s="324">
        <v>82.7</v>
      </c>
      <c r="AM44" s="330">
        <f>AL44-AK44</f>
        <v>53.7</v>
      </c>
      <c r="AN44" s="322">
        <v>37.9</v>
      </c>
      <c r="AO44" s="344"/>
      <c r="AP44" s="345"/>
      <c r="AQ44" s="346"/>
      <c r="AR44" s="339"/>
      <c r="AS44" s="340"/>
      <c r="AT44" s="340"/>
      <c r="AU44" s="341"/>
      <c r="AV44" s="1067"/>
      <c r="AW44" s="344"/>
      <c r="AX44" s="340"/>
      <c r="AY44" s="341"/>
      <c r="AZ44" s="343">
        <v>2</v>
      </c>
      <c r="BA44" s="340">
        <v>4</v>
      </c>
      <c r="BB44" s="341"/>
      <c r="BC44" s="356"/>
      <c r="BD44" s="912"/>
      <c r="BE44" s="988"/>
      <c r="BF44" s="920"/>
      <c r="BG44" s="357"/>
      <c r="BH44" s="410">
        <v>5</v>
      </c>
      <c r="BI44" s="358"/>
      <c r="BJ44" s="359"/>
      <c r="BK44" s="358">
        <v>58</v>
      </c>
      <c r="BL44" s="358">
        <v>57</v>
      </c>
      <c r="BM44" s="360"/>
      <c r="BN44" s="361"/>
      <c r="BO44" s="331"/>
      <c r="BP44" s="6"/>
      <c r="BR44" s="2176" t="s">
        <v>789</v>
      </c>
      <c r="BS44" s="2177"/>
      <c r="BT44" s="2188">
        <f>ROUND(BT47/2.925/BS82*1000,3)</f>
        <v>6.0590000000000002</v>
      </c>
      <c r="BU44" s="2189"/>
      <c r="BV44" s="2188">
        <f>ROUND(BV47/2.925/BS83*1000,3)</f>
        <v>5.6429999999999998</v>
      </c>
      <c r="BW44" s="2189"/>
      <c r="BX44" s="209"/>
      <c r="BY44" s="209"/>
      <c r="BZ44" s="209"/>
      <c r="CM44" s="7"/>
      <c r="CN44" s="2211"/>
      <c r="CO44" s="2211"/>
      <c r="CP44" s="271"/>
      <c r="CQ44" s="271"/>
      <c r="CR44" s="272"/>
      <c r="CS44" s="1003"/>
      <c r="CT44" s="218"/>
      <c r="CU44" s="218"/>
      <c r="CX44" s="1325" t="s">
        <v>1383</v>
      </c>
      <c r="CY44" s="1321">
        <f>MIN(B78:B89,AJ78:AJ89)</f>
        <v>7.3</v>
      </c>
      <c r="CZ44" s="1323" t="s">
        <v>247</v>
      </c>
      <c r="DA44" s="1321">
        <f>MAX(B78:B89,AJ78:AJ89)</f>
        <v>12.4</v>
      </c>
    </row>
    <row r="45" spans="1:110" ht="21.95" customHeight="1" thickBot="1" x14ac:dyDescent="0.45">
      <c r="A45" s="1953" t="s">
        <v>568</v>
      </c>
      <c r="B45" s="1954"/>
      <c r="C45" s="1955"/>
      <c r="D45" s="1863" t="s">
        <v>1098</v>
      </c>
      <c r="E45" s="1864"/>
      <c r="F45" s="1865"/>
      <c r="G45" s="1526"/>
      <c r="H45" s="1527" t="s">
        <v>960</v>
      </c>
      <c r="I45" s="1528"/>
      <c r="J45" s="339"/>
      <c r="K45" s="340"/>
      <c r="L45" s="340"/>
      <c r="M45" s="342"/>
      <c r="N45" s="1067"/>
      <c r="O45" s="1527"/>
      <c r="P45" s="1527"/>
      <c r="Q45" s="1528"/>
      <c r="R45" s="648"/>
      <c r="S45" s="405" t="s">
        <v>960</v>
      </c>
      <c r="T45" s="403"/>
      <c r="U45" s="356"/>
      <c r="V45" s="911"/>
      <c r="W45" s="988"/>
      <c r="X45" s="920"/>
      <c r="Y45" s="357">
        <v>0.51</v>
      </c>
      <c r="Z45" s="410">
        <v>6</v>
      </c>
      <c r="AA45" s="1523">
        <v>96</v>
      </c>
      <c r="AB45" s="1600">
        <v>78</v>
      </c>
      <c r="AC45" s="1523"/>
      <c r="AD45" s="1523"/>
      <c r="AE45" s="408">
        <v>0.24</v>
      </c>
      <c r="AF45" s="1525">
        <v>153</v>
      </c>
      <c r="AG45" s="331"/>
      <c r="AH45" s="12"/>
      <c r="AI45" s="1953" t="s">
        <v>568</v>
      </c>
      <c r="AJ45" s="1954"/>
      <c r="AK45" s="1955"/>
      <c r="AL45" s="1863" t="s">
        <v>1098</v>
      </c>
      <c r="AM45" s="1864"/>
      <c r="AN45" s="1865"/>
      <c r="AO45" s="344"/>
      <c r="AP45" s="345"/>
      <c r="AQ45" s="346"/>
      <c r="AR45" s="339"/>
      <c r="AS45" s="340"/>
      <c r="AT45" s="340"/>
      <c r="AU45" s="341"/>
      <c r="AV45" s="1067"/>
      <c r="AW45" s="344"/>
      <c r="AX45" s="340"/>
      <c r="AY45" s="341"/>
      <c r="AZ45" s="343"/>
      <c r="BA45" s="340"/>
      <c r="BB45" s="341"/>
      <c r="BC45" s="356"/>
      <c r="BD45" s="911"/>
      <c r="BE45" s="988"/>
      <c r="BF45" s="920"/>
      <c r="BG45" s="357">
        <v>0.64</v>
      </c>
      <c r="BH45" s="410">
        <v>6</v>
      </c>
      <c r="BI45" s="358">
        <v>94</v>
      </c>
      <c r="BJ45" s="1600">
        <v>76</v>
      </c>
      <c r="BK45" s="358"/>
      <c r="BL45" s="358"/>
      <c r="BM45" s="360">
        <v>0.38</v>
      </c>
      <c r="BN45" s="361">
        <v>151</v>
      </c>
      <c r="BO45" s="331"/>
      <c r="BP45" s="6"/>
      <c r="BR45" s="2178"/>
      <c r="BS45" s="2179"/>
      <c r="BT45" s="2190"/>
      <c r="BU45" s="2191"/>
      <c r="BV45" s="2190"/>
      <c r="BW45" s="2191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5" t="s">
        <v>1384</v>
      </c>
      <c r="CY45" s="1320">
        <f>MIN(D95:D106,H95:H106,L95:L106,P95:P106,AL95:AL106,AP95:AP106,AT95:AT106,AX95:AX106,T95:T106,BB95:BB106)</f>
        <v>0.14000000000000001</v>
      </c>
      <c r="CZ45" s="1320" t="s">
        <v>247</v>
      </c>
      <c r="DA45" s="1320">
        <f>MAX(D95:D106,H95:H106,L95:L106,P95:P106,AL95:AL106,AP95:AP106,AT95:AT106,AX95:AX106,T95:T106,BB95:BB106)</f>
        <v>0.39</v>
      </c>
    </row>
    <row r="46" spans="1:110" ht="21.95" customHeight="1" thickBot="1" x14ac:dyDescent="0.45">
      <c r="A46" s="645"/>
      <c r="B46" s="969" t="s">
        <v>429</v>
      </c>
      <c r="C46" s="632" t="s">
        <v>1099</v>
      </c>
      <c r="D46" s="1866"/>
      <c r="E46" s="1867"/>
      <c r="F46" s="1868"/>
      <c r="G46" s="1618">
        <v>82.8</v>
      </c>
      <c r="H46" s="1622">
        <v>81.8</v>
      </c>
      <c r="I46" s="1619">
        <v>74.8</v>
      </c>
      <c r="J46" s="339">
        <v>76.400000000000006</v>
      </c>
      <c r="K46" s="340">
        <v>31</v>
      </c>
      <c r="L46" s="340">
        <v>77</v>
      </c>
      <c r="M46" s="342">
        <v>46</v>
      </c>
      <c r="N46" s="1067"/>
      <c r="O46" s="1529"/>
      <c r="P46" s="1527"/>
      <c r="Q46" s="1528"/>
      <c r="R46" s="648">
        <v>2.8</v>
      </c>
      <c r="S46" s="405">
        <v>6.2</v>
      </c>
      <c r="T46" s="1616">
        <v>49.4</v>
      </c>
      <c r="U46" s="356"/>
      <c r="V46" s="911">
        <v>0.04</v>
      </c>
      <c r="W46" s="988"/>
      <c r="X46" s="920">
        <v>0.12</v>
      </c>
      <c r="Y46" s="363"/>
      <c r="Z46" s="651">
        <v>7</v>
      </c>
      <c r="AA46" s="660"/>
      <c r="AB46" s="941"/>
      <c r="AC46" s="661"/>
      <c r="AD46" s="1007"/>
      <c r="AE46" s="662"/>
      <c r="AF46" s="663"/>
      <c r="AG46" s="335"/>
      <c r="AH46" s="12"/>
      <c r="AI46" s="640"/>
      <c r="AJ46" s="969" t="s">
        <v>429</v>
      </c>
      <c r="AK46" s="632" t="s">
        <v>621</v>
      </c>
      <c r="AL46" s="1866"/>
      <c r="AM46" s="1867"/>
      <c r="AN46" s="1868"/>
      <c r="AO46" s="1635">
        <v>88.4</v>
      </c>
      <c r="AP46" s="1634">
        <v>90.8</v>
      </c>
      <c r="AQ46" s="346">
        <v>82</v>
      </c>
      <c r="AR46" s="339">
        <v>82</v>
      </c>
      <c r="AS46" s="340">
        <v>31.4</v>
      </c>
      <c r="AT46" s="340">
        <v>86.3</v>
      </c>
      <c r="AU46" s="341">
        <f>AT46-AS46</f>
        <v>54.9</v>
      </c>
      <c r="AV46" s="1067"/>
      <c r="AW46" s="369"/>
      <c r="AX46" s="1068"/>
      <c r="AY46" s="1435"/>
      <c r="AZ46" s="1621">
        <v>1.8</v>
      </c>
      <c r="BA46" s="1606">
        <v>4</v>
      </c>
      <c r="BB46" s="1608">
        <v>63.7</v>
      </c>
      <c r="BC46" s="356"/>
      <c r="BD46" s="911">
        <v>0.04</v>
      </c>
      <c r="BE46" s="988"/>
      <c r="BF46" s="920">
        <v>0.12</v>
      </c>
      <c r="BG46" s="363"/>
      <c r="BH46" s="651">
        <v>7</v>
      </c>
      <c r="BI46" s="660"/>
      <c r="BJ46" s="941"/>
      <c r="BK46" s="661"/>
      <c r="BL46" s="661"/>
      <c r="BM46" s="662"/>
      <c r="BN46" s="663"/>
      <c r="BO46" s="335"/>
      <c r="BP46" s="6"/>
      <c r="BR46" s="2180"/>
      <c r="BS46" s="2181"/>
      <c r="BT46" s="2192"/>
      <c r="BU46" s="2193"/>
      <c r="BV46" s="2192"/>
      <c r="BW46" s="2193"/>
      <c r="BX46" s="209"/>
      <c r="BY46" s="209"/>
      <c r="BZ46" s="209"/>
      <c r="CM46" s="7"/>
      <c r="CN46" s="580" t="s">
        <v>1553</v>
      </c>
      <c r="CO46" s="581"/>
      <c r="CP46" s="583"/>
      <c r="CQ46" s="578"/>
      <c r="CR46" s="582" t="s">
        <v>1554</v>
      </c>
      <c r="CS46" s="578"/>
      <c r="CT46" s="219"/>
      <c r="CU46" s="218"/>
      <c r="CX46" s="1325" t="s">
        <v>1385</v>
      </c>
      <c r="CY46" s="1322">
        <f>MAX(H78:H89,AP78:AP89)</f>
        <v>333</v>
      </c>
      <c r="CZ46" s="1322" t="s">
        <v>247</v>
      </c>
      <c r="DA46" s="1322">
        <f>MIN(H78:H89,AP78:AP89)</f>
        <v>209</v>
      </c>
    </row>
    <row r="47" spans="1:110" ht="21.95" customHeight="1" thickBot="1" x14ac:dyDescent="0.4">
      <c r="A47" s="772" t="s">
        <v>133</v>
      </c>
      <c r="B47" s="326">
        <f>ROUND(T33/Q33*100,1)</f>
        <v>69.599999999999994</v>
      </c>
      <c r="C47" s="327">
        <f>ROUND(E40/B40*100,1)</f>
        <v>60.1</v>
      </c>
      <c r="D47" s="328">
        <f>ROUND((B47-C47)/B47*100,1)</f>
        <v>13.6</v>
      </c>
      <c r="E47" s="646"/>
      <c r="F47" s="647"/>
      <c r="G47" s="344"/>
      <c r="H47" s="345"/>
      <c r="I47" s="346"/>
      <c r="J47" s="339"/>
      <c r="K47" s="340"/>
      <c r="L47" s="340"/>
      <c r="M47" s="342"/>
      <c r="N47" s="771" t="s">
        <v>22</v>
      </c>
      <c r="O47" s="1860" t="s">
        <v>1102</v>
      </c>
      <c r="P47" s="1861"/>
      <c r="Q47" s="1862"/>
      <c r="R47" s="343"/>
      <c r="S47" s="405" t="s">
        <v>960</v>
      </c>
      <c r="T47" s="341"/>
      <c r="U47" s="356"/>
      <c r="V47" s="911"/>
      <c r="W47" s="988"/>
      <c r="X47" s="920"/>
      <c r="Y47" s="350"/>
      <c r="Z47" s="665" t="s">
        <v>28</v>
      </c>
      <c r="AA47" s="309">
        <f>ROUND(AVERAGE(AA40:AA46),)</f>
        <v>95</v>
      </c>
      <c r="AB47" s="309">
        <f>ROUND(AVERAGE(AB40:AB46),)</f>
        <v>75</v>
      </c>
      <c r="AC47" s="309">
        <f>ROUND(AVERAGE(AC40:AC46),)</f>
        <v>58</v>
      </c>
      <c r="AD47" s="1008">
        <f>ROUND(AVERAGE(AD40:AD46),)</f>
        <v>57</v>
      </c>
      <c r="AE47" s="388">
        <f>ROUND(AVERAGE(AE40:AE46),2)</f>
        <v>0.27</v>
      </c>
      <c r="AF47" s="309">
        <f>ROUND(SUM(AF40:AF46),)</f>
        <v>479</v>
      </c>
      <c r="AG47" s="355"/>
      <c r="AH47" s="12"/>
      <c r="AI47" s="772" t="s">
        <v>133</v>
      </c>
      <c r="AJ47" s="326">
        <f>ROUND(BB33/AY33*100,1)</f>
        <v>72.8</v>
      </c>
      <c r="AK47" s="327">
        <f>ROUND(AM40/AJ40*100,1)</f>
        <v>67.599999999999994</v>
      </c>
      <c r="AL47" s="328">
        <f>ROUND((AJ47-AK47)/AJ47*100,1)</f>
        <v>7.1</v>
      </c>
      <c r="AM47" s="641"/>
      <c r="AN47" s="642"/>
      <c r="AO47" s="344"/>
      <c r="AP47" s="345"/>
      <c r="AQ47" s="346"/>
      <c r="AR47" s="339"/>
      <c r="AS47" s="340"/>
      <c r="AT47" s="340"/>
      <c r="AU47" s="341"/>
      <c r="AV47" s="771" t="s">
        <v>22</v>
      </c>
      <c r="AW47" s="1860" t="s">
        <v>1102</v>
      </c>
      <c r="AX47" s="1861"/>
      <c r="AY47" s="1862"/>
      <c r="AZ47" s="343"/>
      <c r="BA47" s="340"/>
      <c r="BB47" s="341"/>
      <c r="BC47" s="356"/>
      <c r="BD47" s="911"/>
      <c r="BE47" s="988"/>
      <c r="BF47" s="920"/>
      <c r="BG47" s="350"/>
      <c r="BH47" s="665" t="s">
        <v>28</v>
      </c>
      <c r="BI47" s="309">
        <f>ROUND(AVERAGE(BI40:BI46),)</f>
        <v>94</v>
      </c>
      <c r="BJ47" s="309">
        <f>ROUND(AVERAGE(BJ40:BJ46),)</f>
        <v>74</v>
      </c>
      <c r="BK47" s="309">
        <f>ROUND(AVERAGE(BK40:BK46),)</f>
        <v>58</v>
      </c>
      <c r="BL47" s="309">
        <f>ROUND(AVERAGE(BL40:BL46),)</f>
        <v>59</v>
      </c>
      <c r="BM47" s="388">
        <f>ROUND(AVERAGE(BM40:BM46),2)</f>
        <v>0.26</v>
      </c>
      <c r="BN47" s="309">
        <f>ROUND(SUM(BN40:BN46),)</f>
        <v>470</v>
      </c>
      <c r="BO47" s="355"/>
      <c r="BP47" s="6"/>
      <c r="BR47" s="2176" t="s">
        <v>402</v>
      </c>
      <c r="BS47" s="2177"/>
      <c r="BT47" s="2188">
        <f>ROUND(BT30*310/1000,3)</f>
        <v>1.845</v>
      </c>
      <c r="BU47" s="2189"/>
      <c r="BV47" s="2188">
        <f>ROUND(BV30*310/1000,3)</f>
        <v>1.7250000000000001</v>
      </c>
      <c r="BW47" s="2189"/>
      <c r="BX47" s="209"/>
      <c r="BY47" s="209"/>
      <c r="BZ47" s="209"/>
      <c r="CM47" s="7"/>
      <c r="CN47" s="2265" t="s">
        <v>468</v>
      </c>
      <c r="CO47" s="2211"/>
      <c r="CP47" s="271" t="s">
        <v>775</v>
      </c>
      <c r="CQ47" s="271"/>
      <c r="CR47" s="272" t="s">
        <v>756</v>
      </c>
      <c r="CT47" s="219"/>
      <c r="CU47" s="218"/>
      <c r="CX47" s="999"/>
      <c r="CY47" s="963"/>
      <c r="CZ47" s="963"/>
      <c r="DA47" s="963"/>
    </row>
    <row r="48" spans="1:110" ht="21.95" customHeight="1" thickBot="1" x14ac:dyDescent="0.45">
      <c r="A48" s="772" t="s">
        <v>134</v>
      </c>
      <c r="B48" s="329">
        <f>ROUND(X33/U33*100,1)</f>
        <v>68.099999999999994</v>
      </c>
      <c r="C48" s="330">
        <f>ROUND(E41/B41*100,1)</f>
        <v>60</v>
      </c>
      <c r="D48" s="330">
        <f>ROUND((B48-C48)/B48*100,1)</f>
        <v>11.9</v>
      </c>
      <c r="E48" s="648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336">
        <v>3</v>
      </c>
      <c r="P48" s="337">
        <v>8</v>
      </c>
      <c r="Q48" s="1603">
        <v>54.8</v>
      </c>
      <c r="R48" s="1621">
        <v>3</v>
      </c>
      <c r="S48" s="1606">
        <v>5.2</v>
      </c>
      <c r="T48" s="403"/>
      <c r="U48" s="356"/>
      <c r="V48" s="911"/>
      <c r="W48" s="988"/>
      <c r="X48" s="920"/>
      <c r="Y48" s="908"/>
      <c r="Z48" s="410">
        <v>1</v>
      </c>
      <c r="AA48" s="1519"/>
      <c r="AB48" s="1520"/>
      <c r="AC48" s="1519">
        <v>58</v>
      </c>
      <c r="AD48" s="1519">
        <v>56</v>
      </c>
      <c r="AE48" s="1521"/>
      <c r="AF48" s="1522"/>
      <c r="AG48" s="677">
        <v>0.20833333333333334</v>
      </c>
      <c r="AH48" s="12"/>
      <c r="AI48" s="772" t="s">
        <v>134</v>
      </c>
      <c r="AJ48" s="329">
        <f>ROUND(BF33/BC33*100,1)</f>
        <v>73.2</v>
      </c>
      <c r="AK48" s="330">
        <f>ROUND(AM41/AJ41*100,1)</f>
        <v>65.7</v>
      </c>
      <c r="AL48" s="330">
        <f>ROUND((AJ48-AK48)/AJ48*100,1)</f>
        <v>10.199999999999999</v>
      </c>
      <c r="AM48" s="643"/>
      <c r="AN48" s="986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336">
        <v>2.6</v>
      </c>
      <c r="AX48" s="337">
        <v>12.8</v>
      </c>
      <c r="AY48" s="338">
        <v>62.5</v>
      </c>
      <c r="AZ48" s="343">
        <v>1.6</v>
      </c>
      <c r="BA48" s="340">
        <v>4</v>
      </c>
      <c r="BB48" s="341"/>
      <c r="BC48" s="356"/>
      <c r="BD48" s="911"/>
      <c r="BE48" s="988"/>
      <c r="BF48" s="920"/>
      <c r="BG48" s="908"/>
      <c r="BH48" s="410">
        <v>1</v>
      </c>
      <c r="BI48" s="351"/>
      <c r="BJ48" s="352"/>
      <c r="BK48" s="351">
        <v>58</v>
      </c>
      <c r="BL48" s="351">
        <v>63</v>
      </c>
      <c r="BM48" s="353"/>
      <c r="BN48" s="354"/>
      <c r="BO48" s="677">
        <v>0.70833333333333337</v>
      </c>
      <c r="BP48" s="6"/>
      <c r="BR48" s="2178"/>
      <c r="BS48" s="2179"/>
      <c r="BT48" s="2190"/>
      <c r="BU48" s="2191"/>
      <c r="BV48" s="2190"/>
      <c r="BW48" s="2191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999"/>
      <c r="CY48" s="963"/>
      <c r="CZ48" s="963"/>
      <c r="DA48" s="963"/>
    </row>
    <row r="49" spans="1:106" ht="26.25" customHeight="1" thickBot="1" x14ac:dyDescent="0.45">
      <c r="A49" s="773" t="s">
        <v>570</v>
      </c>
      <c r="B49" s="332">
        <f>COUNT(B40:B41)</f>
        <v>2</v>
      </c>
      <c r="C49" s="333"/>
      <c r="D49" s="334"/>
      <c r="E49" s="649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2.8</v>
      </c>
      <c r="P49" s="340">
        <v>12.8</v>
      </c>
      <c r="Q49" s="1616">
        <v>55.7</v>
      </c>
      <c r="R49" s="648"/>
      <c r="S49" s="405" t="s">
        <v>960</v>
      </c>
      <c r="T49" s="403"/>
      <c r="U49" s="356"/>
      <c r="V49" s="911"/>
      <c r="W49" s="988"/>
      <c r="X49" s="920"/>
      <c r="Y49" s="357"/>
      <c r="Z49" s="410">
        <v>2</v>
      </c>
      <c r="AA49" s="1523">
        <v>98</v>
      </c>
      <c r="AB49" s="1600">
        <v>85</v>
      </c>
      <c r="AC49" s="1523"/>
      <c r="AD49" s="1523"/>
      <c r="AE49" s="408">
        <v>0.05</v>
      </c>
      <c r="AF49" s="1525">
        <v>140</v>
      </c>
      <c r="AG49" s="331"/>
      <c r="AH49" s="12"/>
      <c r="AI49" s="844" t="s">
        <v>570</v>
      </c>
      <c r="AJ49" s="332">
        <f>COUNT(AJ40:AJ41)</f>
        <v>2</v>
      </c>
      <c r="AK49" s="515"/>
      <c r="AL49" s="542"/>
      <c r="AM49" s="644"/>
      <c r="AN49" s="857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2</v>
      </c>
      <c r="AX49" s="340">
        <v>12</v>
      </c>
      <c r="AY49" s="342">
        <v>60.9</v>
      </c>
      <c r="AZ49" s="343"/>
      <c r="BA49" s="362"/>
      <c r="BB49" s="411"/>
      <c r="BC49" s="356"/>
      <c r="BD49" s="911"/>
      <c r="BE49" s="988"/>
      <c r="BF49" s="920"/>
      <c r="BG49" s="357"/>
      <c r="BH49" s="410">
        <v>2</v>
      </c>
      <c r="BI49" s="358">
        <v>96</v>
      </c>
      <c r="BJ49" s="1600">
        <v>78</v>
      </c>
      <c r="BK49" s="358"/>
      <c r="BL49" s="358"/>
      <c r="BM49" s="360">
        <v>0.21</v>
      </c>
      <c r="BN49" s="361">
        <v>174</v>
      </c>
      <c r="BO49" s="331"/>
      <c r="BP49" s="6"/>
      <c r="BR49" s="2180"/>
      <c r="BS49" s="2181"/>
      <c r="BT49" s="2192"/>
      <c r="BU49" s="2193"/>
      <c r="BV49" s="2192"/>
      <c r="BW49" s="2193"/>
      <c r="BX49" s="209"/>
      <c r="BY49" s="209"/>
      <c r="BZ49" s="209"/>
      <c r="CM49" s="7"/>
      <c r="CN49" s="2266"/>
      <c r="CO49" s="2266"/>
      <c r="CP49" s="225"/>
      <c r="CQ49" s="216"/>
      <c r="CR49" s="218"/>
      <c r="CS49" s="218"/>
      <c r="CT49" s="216"/>
      <c r="CU49" s="216"/>
      <c r="CX49" s="999"/>
      <c r="CY49" s="963"/>
      <c r="CZ49" s="963"/>
      <c r="DA49" s="963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" si="1">N42</f>
        <v>6</v>
      </c>
      <c r="O50" s="1629">
        <v>3.8</v>
      </c>
      <c r="P50" s="345">
        <v>8.4</v>
      </c>
      <c r="Q50" s="1630">
        <v>58.1</v>
      </c>
      <c r="R50" s="648">
        <v>2.8</v>
      </c>
      <c r="S50" s="405">
        <v>4</v>
      </c>
      <c r="T50" s="403"/>
      <c r="U50" s="356"/>
      <c r="V50" s="911"/>
      <c r="W50" s="988"/>
      <c r="X50" s="920"/>
      <c r="Y50" s="357"/>
      <c r="Z50" s="410">
        <v>3</v>
      </c>
      <c r="AA50" s="1523"/>
      <c r="AB50" s="1524"/>
      <c r="AC50" s="1523">
        <v>62</v>
      </c>
      <c r="AD50" s="1523">
        <v>56</v>
      </c>
      <c r="AE50" s="408"/>
      <c r="AF50" s="1525"/>
      <c r="AG50" s="331"/>
      <c r="AH50" s="12"/>
      <c r="AO50" s="344"/>
      <c r="AP50" s="367"/>
      <c r="AQ50" s="368"/>
      <c r="AR50" s="356"/>
      <c r="AS50" s="362"/>
      <c r="AT50" s="362"/>
      <c r="AU50" s="544"/>
      <c r="AV50" s="260">
        <f t="shared" ref="AV50" si="2">AV42</f>
        <v>6</v>
      </c>
      <c r="AW50" s="344">
        <v>2.8</v>
      </c>
      <c r="AX50" s="383">
        <v>4</v>
      </c>
      <c r="AY50" s="342">
        <v>62.5</v>
      </c>
      <c r="AZ50" s="343">
        <v>2.2000000000000002</v>
      </c>
      <c r="BA50" s="362">
        <v>8.4</v>
      </c>
      <c r="BB50" s="411"/>
      <c r="BC50" s="356"/>
      <c r="BD50" s="911"/>
      <c r="BE50" s="988"/>
      <c r="BF50" s="920"/>
      <c r="BG50" s="357"/>
      <c r="BH50" s="410">
        <v>3</v>
      </c>
      <c r="BI50" s="358"/>
      <c r="BJ50" s="359"/>
      <c r="BK50" s="358">
        <v>57</v>
      </c>
      <c r="BL50" s="358">
        <v>58</v>
      </c>
      <c r="BM50" s="360"/>
      <c r="BN50" s="361"/>
      <c r="BO50" s="331"/>
      <c r="BP50" s="6"/>
      <c r="BR50" s="2214" t="s">
        <v>954</v>
      </c>
      <c r="BS50" s="2214"/>
      <c r="BT50" s="2169">
        <f>ROUND(BT37*0.85,3)</f>
        <v>621.89</v>
      </c>
      <c r="BU50" s="2169"/>
      <c r="BV50" s="2169">
        <f>ROUND(BV37*0.85,3)</f>
        <v>604.92999999999995</v>
      </c>
      <c r="BW50" s="2169"/>
      <c r="BX50" s="209"/>
      <c r="BY50" s="209"/>
      <c r="BZ50" s="209"/>
      <c r="CM50" s="7"/>
      <c r="CN50" s="2266"/>
      <c r="CO50" s="2266"/>
      <c r="CP50" s="225"/>
      <c r="CQ50" s="216"/>
      <c r="CR50" s="216"/>
      <c r="CS50" s="216"/>
      <c r="CT50" s="216"/>
      <c r="CU50" s="216"/>
      <c r="CX50" s="999"/>
      <c r="CY50" s="963"/>
      <c r="CZ50" s="963"/>
      <c r="DA50" s="963"/>
      <c r="DB50" s="127"/>
    </row>
    <row r="51" spans="1:106" ht="21.95" customHeight="1" thickBot="1" x14ac:dyDescent="0.45">
      <c r="G51" s="369"/>
      <c r="H51" s="370"/>
      <c r="I51" s="371"/>
      <c r="J51" s="372"/>
      <c r="K51" s="228"/>
      <c r="L51" s="228"/>
      <c r="M51" s="373"/>
      <c r="N51" s="260"/>
      <c r="O51" s="344"/>
      <c r="P51" s="345"/>
      <c r="Q51" s="346"/>
      <c r="R51" s="648"/>
      <c r="S51" s="405" t="s">
        <v>960</v>
      </c>
      <c r="T51" s="403"/>
      <c r="U51" s="356"/>
      <c r="V51" s="911"/>
      <c r="W51" s="917"/>
      <c r="X51" s="920"/>
      <c r="Y51" s="366"/>
      <c r="Z51" s="410">
        <v>4</v>
      </c>
      <c r="AA51" s="1523">
        <v>96</v>
      </c>
      <c r="AB51" s="1600">
        <v>76</v>
      </c>
      <c r="AC51" s="1523"/>
      <c r="AD51" s="1523"/>
      <c r="AE51" s="408">
        <v>0.19</v>
      </c>
      <c r="AF51" s="1525">
        <v>130</v>
      </c>
      <c r="AG51" s="331"/>
      <c r="AH51" s="12"/>
      <c r="AI51" s="2053" t="s">
        <v>1561</v>
      </c>
      <c r="AJ51" s="2054"/>
      <c r="AK51" s="2054"/>
      <c r="AL51" s="2055"/>
      <c r="AO51" s="369"/>
      <c r="AP51" s="370"/>
      <c r="AQ51" s="371"/>
      <c r="AR51" s="372"/>
      <c r="AS51" s="228"/>
      <c r="AT51" s="228"/>
      <c r="AU51" s="373"/>
      <c r="AV51" s="260"/>
      <c r="AW51" s="344"/>
      <c r="AX51" s="340"/>
      <c r="AY51" s="341"/>
      <c r="AZ51" s="343" t="s">
        <v>960</v>
      </c>
      <c r="BA51" s="362"/>
      <c r="BB51" s="411"/>
      <c r="BC51" s="356"/>
      <c r="BD51" s="911"/>
      <c r="BE51" s="917"/>
      <c r="BF51" s="920"/>
      <c r="BG51" s="366"/>
      <c r="BH51" s="410">
        <v>4</v>
      </c>
      <c r="BI51" s="1636">
        <v>90</v>
      </c>
      <c r="BJ51" s="359">
        <v>66</v>
      </c>
      <c r="BK51" s="358"/>
      <c r="BL51" s="358"/>
      <c r="BM51" s="360">
        <v>0.25</v>
      </c>
      <c r="BN51" s="361">
        <v>161</v>
      </c>
      <c r="BO51" s="331"/>
      <c r="BP51" s="6"/>
      <c r="BR51" s="2214"/>
      <c r="BS51" s="2214"/>
      <c r="BT51" s="2169"/>
      <c r="BU51" s="2169"/>
      <c r="BV51" s="2169"/>
      <c r="BW51" s="2169"/>
      <c r="BX51" s="209"/>
      <c r="BY51" s="209"/>
      <c r="BZ51" s="209"/>
      <c r="CM51" s="7"/>
      <c r="CN51" s="2266"/>
      <c r="CO51" s="2266"/>
      <c r="CP51" s="225"/>
      <c r="CQ51" s="216"/>
      <c r="CR51" s="216"/>
      <c r="CS51" s="216"/>
      <c r="CT51" s="216"/>
      <c r="CU51" s="216"/>
      <c r="CX51" s="999"/>
      <c r="CY51" s="963"/>
      <c r="CZ51" s="963"/>
      <c r="DA51" s="963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8"/>
      <c r="S52" s="405"/>
      <c r="T52" s="403"/>
      <c r="U52" s="364"/>
      <c r="V52" s="913"/>
      <c r="W52" s="918"/>
      <c r="X52" s="921"/>
      <c r="Y52" s="914"/>
      <c r="Z52" s="410">
        <v>5</v>
      </c>
      <c r="AA52" s="1523"/>
      <c r="AB52" s="1524"/>
      <c r="AC52" s="1523">
        <v>61</v>
      </c>
      <c r="AD52" s="1523">
        <v>60</v>
      </c>
      <c r="AE52" s="408"/>
      <c r="AF52" s="1525"/>
      <c r="AG52" s="331"/>
      <c r="AH52" s="12"/>
      <c r="AI52" s="2070" t="s">
        <v>1080</v>
      </c>
      <c r="AJ52" s="1646" t="s">
        <v>794</v>
      </c>
      <c r="AK52" s="1646" t="s">
        <v>1081</v>
      </c>
      <c r="AL52" s="2249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1"/>
      <c r="BC52" s="364"/>
      <c r="BD52" s="913"/>
      <c r="BE52" s="918"/>
      <c r="BF52" s="921"/>
      <c r="BG52" s="914"/>
      <c r="BH52" s="410">
        <v>5</v>
      </c>
      <c r="BI52" s="358"/>
      <c r="BJ52" s="359"/>
      <c r="BK52" s="358">
        <v>57</v>
      </c>
      <c r="BL52" s="358">
        <v>56</v>
      </c>
      <c r="BM52" s="360"/>
      <c r="BN52" s="361"/>
      <c r="BO52" s="331"/>
      <c r="BP52" s="6"/>
      <c r="BR52" s="2214"/>
      <c r="BS52" s="2214"/>
      <c r="BT52" s="2169"/>
      <c r="BU52" s="2169"/>
      <c r="BV52" s="2169"/>
      <c r="BW52" s="2169"/>
      <c r="BX52" s="209"/>
      <c r="BY52" s="209"/>
      <c r="BZ52" s="209"/>
      <c r="CM52" s="7"/>
      <c r="CN52" s="2262" t="s">
        <v>89</v>
      </c>
      <c r="CO52" s="2262"/>
      <c r="CP52" s="2262"/>
      <c r="CQ52" s="578"/>
      <c r="CR52" s="578"/>
      <c r="CS52" s="578"/>
      <c r="CT52" s="209"/>
      <c r="CU52" s="209"/>
      <c r="CX52" s="999"/>
      <c r="CY52" s="963"/>
      <c r="CZ52" s="963"/>
      <c r="DA52" s="963"/>
      <c r="DB52" s="127"/>
    </row>
    <row r="53" spans="1:106" ht="21.95" customHeight="1" thickBot="1" x14ac:dyDescent="0.5">
      <c r="G53" s="962"/>
      <c r="H53" s="1936" t="s">
        <v>654</v>
      </c>
      <c r="I53" s="1936"/>
      <c r="J53" s="380">
        <v>79.599999999999994</v>
      </c>
      <c r="K53" s="377">
        <v>31.4</v>
      </c>
      <c r="L53" s="377">
        <v>79.8</v>
      </c>
      <c r="M53" s="378">
        <f>ROUND(L53-K53,1)</f>
        <v>48.4</v>
      </c>
      <c r="N53" s="260"/>
      <c r="O53" s="344"/>
      <c r="P53" s="345"/>
      <c r="Q53" s="346"/>
      <c r="R53" s="380">
        <v>2.6</v>
      </c>
      <c r="S53" s="377">
        <v>8.4</v>
      </c>
      <c r="T53" s="384">
        <v>56.5</v>
      </c>
      <c r="U53" s="380">
        <v>4</v>
      </c>
      <c r="V53" s="924">
        <v>0.04</v>
      </c>
      <c r="W53" s="922">
        <v>6</v>
      </c>
      <c r="X53" s="923">
        <v>0.12</v>
      </c>
      <c r="Y53" s="914"/>
      <c r="Z53" s="410">
        <v>6</v>
      </c>
      <c r="AA53" s="1523">
        <v>96</v>
      </c>
      <c r="AB53" s="1600">
        <v>81</v>
      </c>
      <c r="AC53" s="1523"/>
      <c r="AD53" s="1523"/>
      <c r="AE53" s="408">
        <v>0.17</v>
      </c>
      <c r="AF53" s="1525">
        <v>130</v>
      </c>
      <c r="AG53" s="331"/>
      <c r="AH53" s="12"/>
      <c r="AI53" s="2071"/>
      <c r="AJ53" s="1886"/>
      <c r="AK53" s="1886"/>
      <c r="AL53" s="2249"/>
      <c r="AO53" s="962"/>
      <c r="AP53" s="1936" t="s">
        <v>654</v>
      </c>
      <c r="AQ53" s="1936"/>
      <c r="AR53" s="380">
        <v>84.9</v>
      </c>
      <c r="AS53" s="377">
        <v>31.4</v>
      </c>
      <c r="AT53" s="377">
        <v>86.7</v>
      </c>
      <c r="AU53" s="545">
        <f>ROUND(AT53-AS53,1)</f>
        <v>55.3</v>
      </c>
      <c r="AV53" s="260"/>
      <c r="AW53" s="344"/>
      <c r="AX53" s="340"/>
      <c r="AY53" s="341"/>
      <c r="AZ53" s="922">
        <v>2</v>
      </c>
      <c r="BA53" s="294">
        <v>4.4000000000000004</v>
      </c>
      <c r="BB53" s="303">
        <v>61.7</v>
      </c>
      <c r="BC53" s="294">
        <v>4</v>
      </c>
      <c r="BD53" s="925">
        <v>0.04</v>
      </c>
      <c r="BE53" s="922">
        <v>4.8</v>
      </c>
      <c r="BF53" s="923">
        <v>0.12</v>
      </c>
      <c r="BG53" s="914"/>
      <c r="BH53" s="410">
        <v>6</v>
      </c>
      <c r="BI53" s="358">
        <v>97</v>
      </c>
      <c r="BJ53" s="1600">
        <v>75</v>
      </c>
      <c r="BK53" s="358"/>
      <c r="BL53" s="358"/>
      <c r="BM53" s="360">
        <v>0.43</v>
      </c>
      <c r="BN53" s="361">
        <v>155</v>
      </c>
      <c r="BO53" s="331"/>
      <c r="BP53" s="6"/>
      <c r="BR53" s="2168"/>
      <c r="BS53" s="2168"/>
      <c r="BT53" s="565"/>
      <c r="BU53" s="565"/>
      <c r="BV53" s="565"/>
      <c r="BW53" s="565"/>
      <c r="BX53" s="566"/>
      <c r="BY53" s="566"/>
      <c r="BZ53" s="209"/>
      <c r="CM53" s="7"/>
      <c r="CN53" s="2262" t="s">
        <v>163</v>
      </c>
      <c r="CO53" s="2262"/>
      <c r="CP53" s="2262"/>
      <c r="CQ53" s="578"/>
      <c r="CR53" s="578"/>
      <c r="CS53" s="578"/>
      <c r="CT53" s="209"/>
      <c r="CU53" s="209"/>
      <c r="CX53" s="999"/>
      <c r="CY53" s="963"/>
      <c r="CZ53" s="963"/>
      <c r="DA53" s="963"/>
      <c r="DB53" s="127"/>
    </row>
    <row r="54" spans="1:106" ht="27" customHeight="1" thickBot="1" x14ac:dyDescent="0.5">
      <c r="A54" s="208"/>
      <c r="B54" s="962"/>
      <c r="C54" s="962"/>
      <c r="D54" s="962"/>
      <c r="E54" s="962"/>
      <c r="F54" s="962"/>
      <c r="G54" s="962"/>
      <c r="H54" s="962"/>
      <c r="I54" s="962"/>
      <c r="J54" s="2008" t="s">
        <v>1423</v>
      </c>
      <c r="K54" s="2009"/>
      <c r="L54" s="381">
        <v>39.200000000000003</v>
      </c>
      <c r="M54" s="122"/>
      <c r="N54" s="260"/>
      <c r="O54" s="344"/>
      <c r="P54" s="345"/>
      <c r="Q54" s="346"/>
      <c r="R54" s="903" t="s">
        <v>654</v>
      </c>
      <c r="S54" s="904"/>
      <c r="T54" s="1846" t="s">
        <v>1422</v>
      </c>
      <c r="U54" s="1844">
        <v>6.3</v>
      </c>
      <c r="V54" s="1846" t="s">
        <v>1422</v>
      </c>
      <c r="W54" s="1840">
        <v>4.4000000000000004</v>
      </c>
      <c r="X54" s="909"/>
      <c r="Y54" s="915"/>
      <c r="Z54" s="651">
        <v>7</v>
      </c>
      <c r="AA54" s="385"/>
      <c r="AB54" s="942"/>
      <c r="AC54" s="661"/>
      <c r="AD54" s="661"/>
      <c r="AE54" s="386"/>
      <c r="AF54" s="387"/>
      <c r="AG54" s="653"/>
      <c r="AH54" s="12"/>
      <c r="AI54" s="674">
        <v>0.08</v>
      </c>
      <c r="AJ54" s="675">
        <v>26.2</v>
      </c>
      <c r="AK54" s="675">
        <v>16.5</v>
      </c>
      <c r="AL54" s="384">
        <v>33.1</v>
      </c>
      <c r="AM54" s="962"/>
      <c r="AN54" s="962"/>
      <c r="AO54" s="962"/>
      <c r="AP54" s="962"/>
      <c r="AQ54" s="962"/>
      <c r="AR54" s="2008" t="s">
        <v>1423</v>
      </c>
      <c r="AS54" s="2009"/>
      <c r="AT54" s="381">
        <v>39.200000000000003</v>
      </c>
      <c r="AU54" s="122"/>
      <c r="AV54" s="546"/>
      <c r="AW54" s="344"/>
      <c r="AX54" s="340"/>
      <c r="AY54" s="341"/>
      <c r="AZ54" s="903" t="s">
        <v>654</v>
      </c>
      <c r="BA54" s="904"/>
      <c r="BB54" s="1846" t="s">
        <v>1422</v>
      </c>
      <c r="BC54" s="1844">
        <v>6.6</v>
      </c>
      <c r="BD54" s="1846" t="s">
        <v>1422</v>
      </c>
      <c r="BE54" s="2166">
        <v>3.2</v>
      </c>
      <c r="BF54" s="909"/>
      <c r="BG54" s="915"/>
      <c r="BH54" s="651">
        <v>7</v>
      </c>
      <c r="BI54" s="385"/>
      <c r="BJ54" s="942"/>
      <c r="BK54" s="661"/>
      <c r="BL54" s="661"/>
      <c r="BM54" s="386"/>
      <c r="BN54" s="387"/>
      <c r="BO54" s="653"/>
      <c r="BP54" s="6"/>
      <c r="BR54" s="2168"/>
      <c r="BS54" s="2168"/>
      <c r="BT54" s="567"/>
      <c r="BU54" s="567"/>
      <c r="BV54" s="567"/>
      <c r="BW54" s="568"/>
      <c r="BX54" s="569"/>
      <c r="BY54" s="566"/>
      <c r="BZ54" s="209"/>
      <c r="CM54" s="7"/>
      <c r="CN54" s="2262"/>
      <c r="CO54" s="2262"/>
      <c r="CP54" s="2262"/>
      <c r="CQ54" s="2261"/>
      <c r="CR54" s="2261"/>
      <c r="CS54" s="2261"/>
      <c r="CT54" s="209"/>
      <c r="CU54" s="209"/>
      <c r="CX54" s="999"/>
      <c r="CY54" s="963"/>
      <c r="CZ54" s="963"/>
      <c r="DA54" s="963"/>
      <c r="DB54" s="128"/>
    </row>
    <row r="55" spans="1:106" ht="21.75" customHeight="1" thickBot="1" x14ac:dyDescent="0.5">
      <c r="A55" s="1887" t="s">
        <v>883</v>
      </c>
      <c r="B55" s="1888"/>
      <c r="C55" s="1888"/>
      <c r="D55" s="1888"/>
      <c r="E55" s="1888"/>
      <c r="F55" s="1888"/>
      <c r="G55" s="1888"/>
      <c r="H55" s="1888"/>
      <c r="I55" s="1888"/>
      <c r="J55" s="1888"/>
      <c r="K55" s="1888"/>
      <c r="L55" s="1888"/>
      <c r="M55" s="664"/>
      <c r="N55" s="672" t="s">
        <v>28</v>
      </c>
      <c r="O55" s="488">
        <f>ROUND(AVERAGE(O48:O54),1)</f>
        <v>3.2</v>
      </c>
      <c r="P55" s="488">
        <f t="shared" ref="P55" si="3">ROUND(AVERAGE(P48:P54),1)</f>
        <v>9.6999999999999993</v>
      </c>
      <c r="Q55" s="420">
        <f>ROUND(AVERAGE(Q48:Q54),1)</f>
        <v>56.2</v>
      </c>
      <c r="R55" s="905"/>
      <c r="S55" s="906"/>
      <c r="T55" s="1847"/>
      <c r="U55" s="1845"/>
      <c r="V55" s="1847"/>
      <c r="W55" s="1841"/>
      <c r="X55" s="668"/>
      <c r="Y55" s="388">
        <f>ROUND(AVERAGE(Y40:Y54),2)</f>
        <v>0.52</v>
      </c>
      <c r="Z55" s="665" t="s">
        <v>28</v>
      </c>
      <c r="AA55" s="309">
        <f>ROUND(AVERAGE(AA48:AA54,AA40:AA46),)</f>
        <v>96</v>
      </c>
      <c r="AB55" s="309">
        <f>ROUND(AVERAGE(AB48:AB54,AB40:AB46),)</f>
        <v>78</v>
      </c>
      <c r="AC55" s="309">
        <f>ROUND(AVERAGE(AC48:AC54,AC40:AC46),)</f>
        <v>59</v>
      </c>
      <c r="AD55" s="309">
        <f>ROUND(AVERAGE(AD48:AD54,AD40:AD46),)</f>
        <v>57</v>
      </c>
      <c r="AE55" s="388">
        <f>ROUND(AVERAGE(AE48:AE54,AE40:AE46),2)</f>
        <v>0.2</v>
      </c>
      <c r="AF55" s="309">
        <f>ROUND(SUM(AF48:AF54),)</f>
        <v>400</v>
      </c>
      <c r="AG55" s="666"/>
      <c r="AH55" s="12"/>
      <c r="AI55" s="1887" t="s">
        <v>883</v>
      </c>
      <c r="AJ55" s="1888"/>
      <c r="AK55" s="1888"/>
      <c r="AL55" s="1888"/>
      <c r="AM55" s="1888"/>
      <c r="AN55" s="1888"/>
      <c r="AO55" s="1888"/>
      <c r="AP55" s="1888"/>
      <c r="AQ55" s="1888"/>
      <c r="AR55" s="1888"/>
      <c r="AS55" s="1888"/>
      <c r="AT55" s="1888"/>
      <c r="AU55" s="664"/>
      <c r="AV55" s="672" t="s">
        <v>28</v>
      </c>
      <c r="AW55" s="488">
        <f>ROUND(AVERAGE(AW48:AW54),1)</f>
        <v>2.5</v>
      </c>
      <c r="AX55" s="488">
        <f t="shared" ref="AX55" si="4">ROUND(AVERAGE(AX48:AX54),1)</f>
        <v>9.6</v>
      </c>
      <c r="AY55" s="420">
        <f>ROUND(AVERAGE(AY48:AY54),1)</f>
        <v>62</v>
      </c>
      <c r="AZ55" s="905"/>
      <c r="BA55" s="906"/>
      <c r="BB55" s="1847"/>
      <c r="BC55" s="1845"/>
      <c r="BD55" s="1847"/>
      <c r="BE55" s="2167"/>
      <c r="BF55" s="668"/>
      <c r="BG55" s="667">
        <f>ROUND(AVERAGE(BG40:BG54),2)</f>
        <v>0.53</v>
      </c>
      <c r="BH55" s="665" t="s">
        <v>28</v>
      </c>
      <c r="BI55" s="309">
        <f>ROUND(AVERAGE(BI48:BI54,BI40:BI46),)</f>
        <v>94</v>
      </c>
      <c r="BJ55" s="309">
        <f>ROUND(AVERAGE(BJ48:BJ54,BJ40:BJ46),)</f>
        <v>74</v>
      </c>
      <c r="BK55" s="309">
        <f>ROUND(AVERAGE(BK48:BK54,BK40:BK46),)</f>
        <v>58</v>
      </c>
      <c r="BL55" s="309">
        <f>ROUND(AVERAGE(BL48:BL54,BL40:BL46),)</f>
        <v>59</v>
      </c>
      <c r="BM55" s="388">
        <f>ROUND(AVERAGE(BM48:BM54,BM40:BM46),2)</f>
        <v>0.28000000000000003</v>
      </c>
      <c r="BN55" s="309">
        <f>ROUND(SUM(BN48:BN54),)</f>
        <v>490</v>
      </c>
      <c r="BO55" s="666"/>
      <c r="BP55" s="6"/>
      <c r="BR55" s="2161" t="s">
        <v>1007</v>
      </c>
      <c r="BS55" s="2161"/>
      <c r="BT55" s="565"/>
      <c r="BU55" s="565"/>
      <c r="BV55" s="565"/>
      <c r="BW55" s="2163" t="s">
        <v>1070</v>
      </c>
      <c r="BX55" s="570"/>
      <c r="BY55" s="566"/>
      <c r="BZ55" s="209"/>
      <c r="CM55" s="7"/>
      <c r="CN55" s="579" t="s">
        <v>1670</v>
      </c>
      <c r="CO55" s="579"/>
      <c r="CP55" s="580"/>
      <c r="CQ55" s="581"/>
      <c r="CR55" s="582" t="s">
        <v>755</v>
      </c>
      <c r="CS55" s="578"/>
      <c r="CT55" s="223"/>
      <c r="CU55" s="223"/>
      <c r="CX55" s="999"/>
      <c r="CY55" s="963"/>
      <c r="CZ55" s="963"/>
      <c r="DA55" s="963"/>
      <c r="DB55" s="128"/>
    </row>
    <row r="56" spans="1:106" ht="21.95" customHeight="1" thickBot="1" x14ac:dyDescent="0.45">
      <c r="A56" s="627" t="s">
        <v>4</v>
      </c>
      <c r="B56" s="628">
        <v>1059</v>
      </c>
      <c r="C56" s="629" t="s">
        <v>14</v>
      </c>
      <c r="D56" s="630" t="s">
        <v>7</v>
      </c>
      <c r="E56" s="630" t="s">
        <v>164</v>
      </c>
      <c r="F56" s="630" t="s">
        <v>15</v>
      </c>
      <c r="G56" s="630" t="s">
        <v>566</v>
      </c>
      <c r="H56" s="630">
        <v>12</v>
      </c>
      <c r="I56" s="630">
        <v>1859</v>
      </c>
      <c r="J56" s="630" t="s">
        <v>171</v>
      </c>
      <c r="K56" s="630" t="s">
        <v>18</v>
      </c>
      <c r="L56" s="631" t="s">
        <v>130</v>
      </c>
      <c r="M56" s="1025" t="s">
        <v>39</v>
      </c>
      <c r="N56" s="1027"/>
      <c r="O56" s="1027"/>
      <c r="P56" s="392"/>
      <c r="Q56" s="393"/>
      <c r="R56" s="396"/>
      <c r="S56" s="1639"/>
      <c r="T56" s="1540"/>
      <c r="U56" s="1640"/>
      <c r="V56" s="1639"/>
      <c r="W56" s="907"/>
      <c r="X56" s="2013" t="s">
        <v>1087</v>
      </c>
      <c r="Y56" s="1844">
        <v>70.099999999999994</v>
      </c>
      <c r="Z56" s="1016">
        <f>COUNT(AA40:AA46,AA48:AA54)</f>
        <v>6</v>
      </c>
      <c r="AA56" s="100"/>
      <c r="AB56" s="2044" t="s">
        <v>568</v>
      </c>
      <c r="AC56" s="2045"/>
      <c r="AD56" s="2045"/>
      <c r="AE56" s="2046"/>
      <c r="AF56" s="1989" t="s">
        <v>801</v>
      </c>
      <c r="AG56" s="1990"/>
      <c r="AH56" s="12"/>
      <c r="AI56" s="627" t="s">
        <v>4</v>
      </c>
      <c r="AJ56" s="628">
        <v>1059</v>
      </c>
      <c r="AK56" s="629" t="s">
        <v>14</v>
      </c>
      <c r="AL56" s="630" t="s">
        <v>7</v>
      </c>
      <c r="AM56" s="630" t="s">
        <v>164</v>
      </c>
      <c r="AN56" s="630" t="s">
        <v>15</v>
      </c>
      <c r="AO56" s="630" t="s">
        <v>566</v>
      </c>
      <c r="AP56" s="630">
        <v>12</v>
      </c>
      <c r="AQ56" s="630">
        <v>1859</v>
      </c>
      <c r="AR56" s="630" t="s">
        <v>171</v>
      </c>
      <c r="AS56" s="630" t="s">
        <v>18</v>
      </c>
      <c r="AT56" s="631" t="s">
        <v>130</v>
      </c>
      <c r="AU56" s="1025" t="s">
        <v>39</v>
      </c>
      <c r="AV56" s="1026"/>
      <c r="AW56" s="1026"/>
      <c r="AX56" s="1020"/>
      <c r="AY56" s="1020"/>
      <c r="AZ56" s="396"/>
      <c r="BA56" s="405"/>
      <c r="BB56" s="1540"/>
      <c r="BC56" s="1640"/>
      <c r="BD56" s="1639"/>
      <c r="BE56" s="1643"/>
      <c r="BF56" s="2013" t="s">
        <v>1087</v>
      </c>
      <c r="BG56" s="1844">
        <v>70.900000000000006</v>
      </c>
      <c r="BH56" s="1016">
        <f>COUNT(BI40:BI46,BI48:BI54)</f>
        <v>6</v>
      </c>
      <c r="BI56" s="1003"/>
      <c r="BJ56" s="2216" t="s">
        <v>568</v>
      </c>
      <c r="BK56" s="2217"/>
      <c r="BL56" s="2217"/>
      <c r="BM56" s="2218"/>
      <c r="BN56" s="1989" t="s">
        <v>801</v>
      </c>
      <c r="BO56" s="1990"/>
      <c r="BP56" s="6"/>
      <c r="BR56" s="2162"/>
      <c r="BS56" s="2162"/>
      <c r="BT56" s="563"/>
      <c r="BU56" s="1005"/>
      <c r="BV56" s="563"/>
      <c r="BW56" s="2164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999"/>
      <c r="CY56" s="963"/>
      <c r="CZ56" s="963"/>
      <c r="DA56" s="963"/>
      <c r="DB56" s="128"/>
    </row>
    <row r="57" spans="1:106" ht="21.95" customHeight="1" thickBot="1" x14ac:dyDescent="0.4">
      <c r="A57" s="1018">
        <v>0.83333333333333337</v>
      </c>
      <c r="B57" s="1593">
        <v>0.7</v>
      </c>
      <c r="C57" s="478">
        <v>0.3</v>
      </c>
      <c r="D57" s="478">
        <v>0.5</v>
      </c>
      <c r="E57" s="478">
        <v>0.5</v>
      </c>
      <c r="F57" s="478">
        <v>0.5</v>
      </c>
      <c r="G57" s="478">
        <v>0.3</v>
      </c>
      <c r="H57" s="478"/>
      <c r="I57" s="478"/>
      <c r="J57" s="1594">
        <v>0.7</v>
      </c>
      <c r="K57" s="478">
        <v>0.3</v>
      </c>
      <c r="L57" s="1023" t="s">
        <v>1555</v>
      </c>
      <c r="M57" s="669"/>
      <c r="N57" s="527"/>
      <c r="O57" s="670"/>
      <c r="P57" s="395"/>
      <c r="Q57" s="396"/>
      <c r="R57" s="1642">
        <v>0.84722222222222221</v>
      </c>
      <c r="S57" s="1641" t="s">
        <v>1080</v>
      </c>
      <c r="T57" s="1641" t="s">
        <v>794</v>
      </c>
      <c r="U57" s="1641" t="s">
        <v>1081</v>
      </c>
      <c r="V57" s="1641" t="s">
        <v>1082</v>
      </c>
      <c r="W57" s="907"/>
      <c r="X57" s="2014"/>
      <c r="Y57" s="1845"/>
      <c r="Z57" s="910"/>
      <c r="AA57" s="131"/>
      <c r="AB57" s="2015" t="s">
        <v>58</v>
      </c>
      <c r="AC57" s="392" t="s">
        <v>79</v>
      </c>
      <c r="AD57" s="635">
        <f>ROUND((E43/B43)*100,1)</f>
        <v>68.8</v>
      </c>
      <c r="AE57" s="2018">
        <f>ROUND((X35/U35*100),1)</f>
        <v>68.8</v>
      </c>
      <c r="AF57" s="1991"/>
      <c r="AG57" s="1992"/>
      <c r="AH57" s="12"/>
      <c r="AI57" s="1021" t="s">
        <v>1546</v>
      </c>
      <c r="AJ57" s="543">
        <v>0.3</v>
      </c>
      <c r="AK57" s="478">
        <v>0.3</v>
      </c>
      <c r="AL57" s="478">
        <v>0.3</v>
      </c>
      <c r="AM57" s="478">
        <v>0.3</v>
      </c>
      <c r="AN57" s="478">
        <v>0.3</v>
      </c>
      <c r="AO57" s="478">
        <v>0.3</v>
      </c>
      <c r="AP57" s="1022" t="s">
        <v>1703</v>
      </c>
      <c r="AQ57" s="1022">
        <v>0.3</v>
      </c>
      <c r="AR57" s="1594">
        <v>0.7</v>
      </c>
      <c r="AS57" s="1022">
        <v>0.3</v>
      </c>
      <c r="AT57" s="1023" t="s">
        <v>1555</v>
      </c>
      <c r="AU57" s="1009"/>
      <c r="AV57" s="392"/>
      <c r="AW57" s="392"/>
      <c r="AX57" s="392"/>
      <c r="AY57" s="393"/>
      <c r="AZ57" s="396"/>
      <c r="BA57" s="1642">
        <v>0.56597222222222221</v>
      </c>
      <c r="BB57" s="1644" t="s">
        <v>1080</v>
      </c>
      <c r="BC57" s="1644" t="s">
        <v>794</v>
      </c>
      <c r="BD57" s="1644" t="s">
        <v>1081</v>
      </c>
      <c r="BE57" s="1645" t="s">
        <v>1082</v>
      </c>
      <c r="BF57" s="2014"/>
      <c r="BG57" s="1845"/>
      <c r="BH57" s="1024"/>
      <c r="BI57" s="29"/>
      <c r="BJ57" s="2015" t="s">
        <v>58</v>
      </c>
      <c r="BK57" s="392" t="s">
        <v>79</v>
      </c>
      <c r="BL57" s="635">
        <f>ROUND((AM43/AJ43)*100,1)</f>
        <v>73</v>
      </c>
      <c r="BM57" s="2018">
        <f>ROUND((BF35/BC35*100),1)</f>
        <v>73</v>
      </c>
      <c r="BN57" s="1991"/>
      <c r="BO57" s="1992"/>
      <c r="BP57" s="6"/>
      <c r="BR57" s="547" t="s">
        <v>468</v>
      </c>
      <c r="BS57" s="547"/>
      <c r="BT57" s="270"/>
      <c r="BU57" s="564" t="s">
        <v>791</v>
      </c>
      <c r="BV57" s="564"/>
      <c r="BW57" s="549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999"/>
      <c r="CY57" s="963"/>
      <c r="CZ57" s="963"/>
      <c r="DA57" s="963"/>
      <c r="DB57" s="128"/>
    </row>
    <row r="58" spans="1:106" ht="21.95" customHeight="1" thickBot="1" x14ac:dyDescent="0.5">
      <c r="A58" s="1466">
        <v>8.3333333333333329E-2</v>
      </c>
      <c r="B58" s="419">
        <v>0.5</v>
      </c>
      <c r="C58" s="937">
        <v>0.3</v>
      </c>
      <c r="D58" s="937">
        <v>0.5</v>
      </c>
      <c r="E58" s="1624">
        <v>0.7</v>
      </c>
      <c r="F58" s="937">
        <v>0.5</v>
      </c>
      <c r="G58" s="937">
        <v>0.3</v>
      </c>
      <c r="H58" s="1461"/>
      <c r="I58" s="1461"/>
      <c r="J58" s="1461">
        <v>0.5</v>
      </c>
      <c r="K58" s="1461">
        <v>0.3</v>
      </c>
      <c r="L58" s="1462" t="s">
        <v>1555</v>
      </c>
      <c r="M58" s="669"/>
      <c r="N58" s="1646" t="s">
        <v>1100</v>
      </c>
      <c r="O58" s="671"/>
      <c r="P58" s="395"/>
      <c r="Q58" s="396"/>
      <c r="R58" s="396" t="s">
        <v>1682</v>
      </c>
      <c r="S58" s="394">
        <v>82</v>
      </c>
      <c r="T58" s="393">
        <v>28.2</v>
      </c>
      <c r="U58" s="393">
        <v>82.7</v>
      </c>
      <c r="V58" s="393">
        <v>54.5</v>
      </c>
      <c r="W58" s="396"/>
      <c r="X58" s="396"/>
      <c r="Y58" s="393"/>
      <c r="Z58" s="396"/>
      <c r="AA58" s="30"/>
      <c r="AB58" s="2016"/>
      <c r="AC58" s="395" t="s">
        <v>81</v>
      </c>
      <c r="AD58" s="636">
        <f>ROUND((AB33/Y33)*100,1)</f>
        <v>69.099999999999994</v>
      </c>
      <c r="AE58" s="2023"/>
      <c r="AF58" s="1993"/>
      <c r="AG58" s="1994"/>
      <c r="AH58" s="31"/>
      <c r="AI58" s="1019">
        <v>0.58333333333333337</v>
      </c>
      <c r="AJ58" s="419">
        <v>0.3</v>
      </c>
      <c r="AK58" s="937">
        <v>0.3</v>
      </c>
      <c r="AL58" s="937">
        <v>0.3</v>
      </c>
      <c r="AM58" s="937">
        <v>0.3</v>
      </c>
      <c r="AN58" s="937">
        <v>0.3</v>
      </c>
      <c r="AO58" s="937">
        <v>0.3</v>
      </c>
      <c r="AP58" s="1434"/>
      <c r="AQ58" s="1434"/>
      <c r="AR58" s="1434">
        <v>0.5</v>
      </c>
      <c r="AS58" s="1434">
        <v>0.3</v>
      </c>
      <c r="AT58" s="1472" t="s">
        <v>1555</v>
      </c>
      <c r="AU58" s="523"/>
      <c r="AV58" s="395"/>
      <c r="AW58" s="395"/>
      <c r="AX58" s="395"/>
      <c r="AY58" s="396"/>
      <c r="AZ58" s="396"/>
      <c r="BA58" s="1586" t="s">
        <v>1707</v>
      </c>
      <c r="BB58" s="394">
        <v>76.400000000000006</v>
      </c>
      <c r="BC58" s="394">
        <v>32.6</v>
      </c>
      <c r="BD58" s="394">
        <v>75.400000000000006</v>
      </c>
      <c r="BE58" s="394">
        <f>BD58-BC58</f>
        <v>42.800000000000004</v>
      </c>
      <c r="BF58" s="405"/>
      <c r="BG58" s="394"/>
      <c r="BH58" s="405"/>
      <c r="BI58" s="30"/>
      <c r="BJ58" s="2016"/>
      <c r="BK58" s="395" t="s">
        <v>81</v>
      </c>
      <c r="BL58" s="636">
        <f>ROUND((BJ33/BG33)*100,1)</f>
        <v>73.2</v>
      </c>
      <c r="BM58" s="2023"/>
      <c r="BN58" s="1993"/>
      <c r="BO58" s="1994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2235"/>
      <c r="CO58" s="2235"/>
      <c r="CP58" s="2235"/>
      <c r="CQ58" s="2238"/>
      <c r="CR58" s="2238"/>
      <c r="CS58" s="2238"/>
      <c r="CT58" s="2221"/>
      <c r="CU58" s="2221"/>
      <c r="CX58" s="999"/>
      <c r="CY58" s="963"/>
      <c r="CZ58" s="963"/>
      <c r="DA58" s="963"/>
      <c r="DB58" s="128"/>
    </row>
    <row r="59" spans="1:106" ht="21.75" customHeight="1" thickBot="1" x14ac:dyDescent="0.45">
      <c r="A59" s="1463" t="s">
        <v>28</v>
      </c>
      <c r="B59" s="1470">
        <f>ROUND(AVERAGE(B57:B58),1)</f>
        <v>0.6</v>
      </c>
      <c r="C59" s="1471">
        <f t="shared" ref="C59:L59" si="5">ROUND(AVERAGE(C57:C58),1)</f>
        <v>0.3</v>
      </c>
      <c r="D59" s="1471">
        <f t="shared" si="5"/>
        <v>0.5</v>
      </c>
      <c r="E59" s="1471">
        <f t="shared" si="5"/>
        <v>0.6</v>
      </c>
      <c r="F59" s="1471">
        <f t="shared" si="5"/>
        <v>0.5</v>
      </c>
      <c r="G59" s="1471">
        <f t="shared" si="5"/>
        <v>0.3</v>
      </c>
      <c r="H59" s="1471" t="e">
        <f t="shared" si="5"/>
        <v>#DIV/0!</v>
      </c>
      <c r="I59" s="1471" t="e">
        <f t="shared" si="5"/>
        <v>#DIV/0!</v>
      </c>
      <c r="J59" s="1471">
        <f>ROUND(AVERAGE(J57:J58),1)</f>
        <v>0.6</v>
      </c>
      <c r="K59" s="1471">
        <f t="shared" si="5"/>
        <v>0.3</v>
      </c>
      <c r="L59" s="378" t="e">
        <f t="shared" si="5"/>
        <v>#DIV/0!</v>
      </c>
      <c r="M59" s="669">
        <v>0.875</v>
      </c>
      <c r="N59" s="1647"/>
      <c r="O59" s="1612" t="s">
        <v>1709</v>
      </c>
      <c r="P59" s="395"/>
      <c r="Q59" s="396"/>
      <c r="R59" s="396"/>
      <c r="S59" s="405"/>
      <c r="T59" s="1465"/>
      <c r="U59" s="396"/>
      <c r="V59" s="405"/>
      <c r="W59" s="396"/>
      <c r="X59" s="396"/>
      <c r="Y59" s="396"/>
      <c r="Z59" s="396"/>
      <c r="AA59" s="107"/>
      <c r="AB59" s="2058" t="s">
        <v>622</v>
      </c>
      <c r="AC59" s="395" t="s">
        <v>79</v>
      </c>
      <c r="AD59" s="637">
        <f>ROUND((E42/B42*100),1)</f>
        <v>60.1</v>
      </c>
      <c r="AE59" s="2022">
        <f>ROUND((AD59*6.5+AD60*I90)/(6.5+I90),1)</f>
        <v>59.8</v>
      </c>
      <c r="AF59" s="638">
        <f>ROUND((AD57-AD59)/AD57*100,1)</f>
        <v>12.6</v>
      </c>
      <c r="AG59" s="2018">
        <f>ROUND((AE57-AE59)/AE57*100,1)</f>
        <v>13.1</v>
      </c>
      <c r="AH59" s="12"/>
      <c r="AI59" s="1463" t="s">
        <v>28</v>
      </c>
      <c r="AJ59" s="1470">
        <f>ROUND(AVERAGE(AJ57:AJ58),1)</f>
        <v>0.3</v>
      </c>
      <c r="AK59" s="1471">
        <f t="shared" ref="AK59" si="6">ROUND(AVERAGE(AK57:AK58),1)</f>
        <v>0.3</v>
      </c>
      <c r="AL59" s="1471">
        <f t="shared" ref="AL59" si="7">ROUND(AVERAGE(AL57:AL58),1)</f>
        <v>0.3</v>
      </c>
      <c r="AM59" s="1471">
        <f t="shared" ref="AM59" si="8">ROUND(AVERAGE(AM57:AM58),1)</f>
        <v>0.3</v>
      </c>
      <c r="AN59" s="1471">
        <f t="shared" ref="AN59" si="9">ROUND(AVERAGE(AN57:AN58),1)</f>
        <v>0.3</v>
      </c>
      <c r="AO59" s="1471">
        <f t="shared" ref="AO59" si="10">ROUND(AVERAGE(AO57:AO58),1)</f>
        <v>0.3</v>
      </c>
      <c r="AP59" s="1471" t="e">
        <f t="shared" ref="AP59" si="11">ROUND(AVERAGE(AP57:AP58),1)</f>
        <v>#DIV/0!</v>
      </c>
      <c r="AQ59" s="1471">
        <f t="shared" ref="AQ59" si="12">ROUND(AVERAGE(AQ57:AQ58),1)</f>
        <v>0.3</v>
      </c>
      <c r="AR59" s="1471">
        <f t="shared" ref="AR59" si="13">ROUND(AVERAGE(AR57:AR58),1)</f>
        <v>0.6</v>
      </c>
      <c r="AS59" s="1471">
        <f t="shared" ref="AS59" si="14">ROUND(AVERAGE(AS57:AS58),1)</f>
        <v>0.3</v>
      </c>
      <c r="AT59" s="378" t="e">
        <f t="shared" ref="AT59" si="15">ROUND(AVERAGE(AT57:AT58),1)</f>
        <v>#DIV/0!</v>
      </c>
      <c r="AU59" s="523"/>
      <c r="AV59" s="1010"/>
      <c r="AW59" s="340"/>
      <c r="AX59" s="395"/>
      <c r="AY59" s="396"/>
      <c r="AZ59" s="396"/>
      <c r="BA59" s="1586" t="s">
        <v>1708</v>
      </c>
      <c r="BB59" s="405">
        <v>86.8</v>
      </c>
      <c r="BC59" s="405">
        <v>30.6</v>
      </c>
      <c r="BD59" s="405">
        <v>83.9</v>
      </c>
      <c r="BE59" s="405">
        <f>BD59-BC59</f>
        <v>53.300000000000004</v>
      </c>
      <c r="BF59" s="405"/>
      <c r="BG59" s="405"/>
      <c r="BH59" s="405"/>
      <c r="BI59" s="32"/>
      <c r="BJ59" s="2058" t="s">
        <v>623</v>
      </c>
      <c r="BK59" s="395" t="s">
        <v>79</v>
      </c>
      <c r="BL59" s="637">
        <f>ROUND((AM42/AJ42*100),1)</f>
        <v>66.599999999999994</v>
      </c>
      <c r="BM59" s="2022">
        <f>ROUND((BL59*6.5+BL60*AQ90)/(6.5+AQ90),1)</f>
        <v>65.900000000000006</v>
      </c>
      <c r="BN59" s="1401">
        <f>ROUND((BL57-BL59)/BL57*100,1)</f>
        <v>8.8000000000000007</v>
      </c>
      <c r="BO59" s="2018">
        <f>ROUND((BM57-BM59)/BM57*100,1)</f>
        <v>9.6999999999999993</v>
      </c>
      <c r="BP59" s="6"/>
      <c r="BR59" s="995" t="s">
        <v>89</v>
      </c>
      <c r="BS59" s="562"/>
      <c r="BT59" s="563"/>
      <c r="BU59" s="563"/>
      <c r="BV59" s="563"/>
      <c r="BW59" s="226"/>
      <c r="BX59" s="209"/>
      <c r="BY59" s="209"/>
      <c r="BZ59" s="209"/>
      <c r="CM59" s="7"/>
      <c r="CN59" s="2229"/>
      <c r="CO59" s="2229"/>
      <c r="CP59" s="2229"/>
      <c r="CQ59" s="2227"/>
      <c r="CR59" s="2227"/>
      <c r="CS59" s="2227"/>
      <c r="CT59" s="2227"/>
      <c r="CU59" s="2227"/>
      <c r="CX59" s="999"/>
      <c r="CY59" s="246"/>
      <c r="CZ59" s="246"/>
      <c r="DA59" s="246"/>
    </row>
    <row r="60" spans="1:106" ht="21.75" customHeight="1" thickBot="1" x14ac:dyDescent="0.45">
      <c r="A60" s="1467"/>
      <c r="B60" s="1468"/>
      <c r="C60" s="1468"/>
      <c r="D60" s="1468"/>
      <c r="E60" s="1468"/>
      <c r="F60" s="1468"/>
      <c r="G60" s="1468"/>
      <c r="H60" s="1468"/>
      <c r="I60" s="1468"/>
      <c r="J60" s="1468"/>
      <c r="K60" s="1468"/>
      <c r="L60" s="1468"/>
      <c r="M60" s="397" t="s">
        <v>1687</v>
      </c>
      <c r="N60" s="1596">
        <v>139</v>
      </c>
      <c r="O60" s="1612" t="s">
        <v>1688</v>
      </c>
      <c r="P60" s="395"/>
      <c r="Q60" s="396"/>
      <c r="R60" s="396"/>
      <c r="S60" s="405"/>
      <c r="T60" s="1465"/>
      <c r="U60" s="396"/>
      <c r="V60" s="408"/>
      <c r="W60" s="396"/>
      <c r="X60" s="396"/>
      <c r="Y60" s="396"/>
      <c r="Z60" s="396"/>
      <c r="AA60" s="107"/>
      <c r="AB60" s="2058"/>
      <c r="AC60" s="395" t="s">
        <v>81</v>
      </c>
      <c r="AD60" s="637">
        <f>ROUND((E44/B44*100),1)</f>
        <v>58.5</v>
      </c>
      <c r="AE60" s="2023" t="e">
        <f>ROUND((AC60*6.5+AD60*G89)/(6.5+G89),1)</f>
        <v>#VALUE!</v>
      </c>
      <c r="AF60" s="639">
        <f>ROUND((AD58-AD60)/AD58*100,1)</f>
        <v>15.3</v>
      </c>
      <c r="AG60" s="2018"/>
      <c r="AH60" s="12"/>
      <c r="AI60" s="1467"/>
      <c r="AJ60" s="1468"/>
      <c r="AK60" s="1468"/>
      <c r="AL60" s="1468"/>
      <c r="AM60" s="1468"/>
      <c r="AN60" s="1468"/>
      <c r="AO60" s="1468"/>
      <c r="AP60" s="1468"/>
      <c r="AQ60" s="1468"/>
      <c r="AR60" s="1468"/>
      <c r="AS60" s="1468"/>
      <c r="AT60" s="1468"/>
      <c r="AU60" s="397"/>
      <c r="AV60" s="395"/>
      <c r="AW60" s="395"/>
      <c r="AX60" s="395"/>
      <c r="AY60" s="396"/>
      <c r="AZ60" s="396"/>
      <c r="BA60" s="405"/>
      <c r="BB60" s="405"/>
      <c r="BC60" s="405"/>
      <c r="BD60" s="405"/>
      <c r="BE60" s="405"/>
      <c r="BF60" s="405"/>
      <c r="BG60" s="405"/>
      <c r="BH60" s="405"/>
      <c r="BI60" s="32"/>
      <c r="BJ60" s="2058"/>
      <c r="BK60" s="395" t="s">
        <v>81</v>
      </c>
      <c r="BL60" s="637">
        <f>ROUND((AM44/AJ44*100),1)</f>
        <v>63.6</v>
      </c>
      <c r="BM60" s="2023" t="e">
        <f>ROUND((BK60*6.5+BL60*AO89)/(6.5+AO89),1)</f>
        <v>#VALUE!</v>
      </c>
      <c r="BN60" s="1402">
        <f>ROUND((BL58-BL60)/BL58*100,1)</f>
        <v>13.1</v>
      </c>
      <c r="BO60" s="2023"/>
      <c r="BP60" s="6"/>
      <c r="BR60" s="995" t="s">
        <v>163</v>
      </c>
      <c r="BS60" s="562"/>
      <c r="BT60" s="226"/>
      <c r="BU60" s="226"/>
      <c r="BV60" s="226"/>
      <c r="BW60" s="226"/>
      <c r="BX60" s="209"/>
      <c r="BY60" s="209"/>
      <c r="BZ60" s="209"/>
      <c r="CM60" s="7"/>
      <c r="CN60" s="2229"/>
      <c r="CO60" s="2229"/>
      <c r="CP60" s="2229"/>
      <c r="CQ60" s="2227"/>
      <c r="CR60" s="2227"/>
      <c r="CS60" s="2227"/>
      <c r="CT60" s="2227"/>
      <c r="CU60" s="2227"/>
      <c r="CX60" s="859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4"/>
      <c r="B61" s="1465"/>
      <c r="C61" s="1465"/>
      <c r="D61" s="1465"/>
      <c r="E61" s="1465"/>
      <c r="F61" s="1465"/>
      <c r="G61" s="1465"/>
      <c r="H61" s="1465"/>
      <c r="I61" s="1465"/>
      <c r="J61" s="1465"/>
      <c r="K61" s="1465"/>
      <c r="L61" s="1465"/>
      <c r="M61" s="397"/>
      <c r="N61" s="395"/>
      <c r="O61" s="340"/>
      <c r="P61" s="395"/>
      <c r="Q61" s="396"/>
      <c r="R61" s="396"/>
      <c r="S61" s="405"/>
      <c r="T61" s="396"/>
      <c r="U61" s="396"/>
      <c r="V61" s="396"/>
      <c r="W61" s="396"/>
      <c r="X61" s="396"/>
      <c r="Y61" s="396"/>
      <c r="Z61" s="396"/>
      <c r="AA61" s="108"/>
      <c r="AB61" s="1995" t="s">
        <v>23</v>
      </c>
      <c r="AC61" s="1996"/>
      <c r="AD61" s="2004">
        <f>ROUND((M53*BS85)/(J53*BS86)*100,1)</f>
        <v>59.8</v>
      </c>
      <c r="AE61" s="2005"/>
      <c r="AF61" s="2067">
        <f>ROUND((AE57-AD61)/AE57*100,1)</f>
        <v>13.1</v>
      </c>
      <c r="AG61" s="2068"/>
      <c r="AH61" s="12"/>
      <c r="AI61" s="1464"/>
      <c r="AJ61" s="1465"/>
      <c r="AK61" s="1465"/>
      <c r="AL61" s="1465"/>
      <c r="AM61" s="1465"/>
      <c r="AN61" s="1465"/>
      <c r="AO61" s="1465"/>
      <c r="AP61" s="1465"/>
      <c r="AQ61" s="1465"/>
      <c r="AR61" s="1465"/>
      <c r="AS61" s="1465"/>
      <c r="AT61" s="1465"/>
      <c r="AU61" s="397"/>
      <c r="AV61" s="395"/>
      <c r="AW61" s="395"/>
      <c r="AX61" s="395"/>
      <c r="AY61" s="396"/>
      <c r="AZ61" s="396"/>
      <c r="BA61" s="405"/>
      <c r="BB61" s="405"/>
      <c r="BC61" s="405"/>
      <c r="BD61" s="405"/>
      <c r="BE61" s="405"/>
      <c r="BF61" s="405"/>
      <c r="BG61" s="405"/>
      <c r="BH61" s="405"/>
      <c r="BI61" s="33"/>
      <c r="BJ61" s="1995" t="s">
        <v>23</v>
      </c>
      <c r="BK61" s="1996"/>
      <c r="BL61" s="2004">
        <f>ROUND((AU53*BS85)/(AR53*BS86)*100,1)</f>
        <v>64</v>
      </c>
      <c r="BM61" s="2005"/>
      <c r="BN61" s="2213">
        <f>ROUND((BM57-BL61)/BM57*100,1)</f>
        <v>12.3</v>
      </c>
      <c r="BO61" s="2005"/>
      <c r="BP61" s="6"/>
      <c r="BR61" s="562"/>
      <c r="BS61" s="562"/>
      <c r="BT61" s="563"/>
      <c r="BU61" s="563"/>
      <c r="BV61" s="563"/>
      <c r="BW61" s="2159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59" t="s">
        <v>261</v>
      </c>
      <c r="CY61" s="244">
        <f>MIN(AK111:AZ111,C111:R111)</f>
        <v>146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57"/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6"/>
      <c r="M62" s="395"/>
      <c r="N62" s="395"/>
      <c r="O62" s="340"/>
      <c r="P62" s="395"/>
      <c r="Q62" s="396"/>
      <c r="R62" s="396"/>
      <c r="S62" s="405"/>
      <c r="T62" s="405"/>
      <c r="U62" s="405"/>
      <c r="V62" s="405"/>
      <c r="W62" s="396"/>
      <c r="X62" s="396"/>
      <c r="Y62" s="396"/>
      <c r="Z62" s="396"/>
      <c r="AA62" s="108"/>
      <c r="AB62" s="1993"/>
      <c r="AC62" s="1997"/>
      <c r="AD62" s="2006"/>
      <c r="AE62" s="2007"/>
      <c r="AF62" s="2069"/>
      <c r="AG62" s="2007"/>
      <c r="AH62" s="12"/>
      <c r="AI62" s="857"/>
      <c r="AJ62" s="857"/>
      <c r="AK62" s="857"/>
      <c r="AL62" s="857"/>
      <c r="AM62" s="857"/>
      <c r="AN62" s="857"/>
      <c r="AO62" s="857"/>
      <c r="AP62" s="857"/>
      <c r="AQ62" s="857"/>
      <c r="AR62" s="857"/>
      <c r="AS62" s="857"/>
      <c r="AT62" s="856"/>
      <c r="AU62" s="1010"/>
      <c r="AV62" s="1010"/>
      <c r="AW62" s="340"/>
      <c r="AX62" s="395"/>
      <c r="AY62" s="396"/>
      <c r="AZ62" s="396"/>
      <c r="BA62" s="405"/>
      <c r="BB62" s="405"/>
      <c r="BC62" s="405"/>
      <c r="BD62" s="405"/>
      <c r="BE62" s="405"/>
      <c r="BF62" s="405"/>
      <c r="BG62" s="405"/>
      <c r="BH62" s="405"/>
      <c r="BI62" s="33"/>
      <c r="BJ62" s="1993"/>
      <c r="BK62" s="1997"/>
      <c r="BL62" s="2006"/>
      <c r="BM62" s="2007"/>
      <c r="BN62" s="2069"/>
      <c r="BO62" s="2007"/>
      <c r="BP62" s="6"/>
      <c r="BR62" s="562" t="s">
        <v>1669</v>
      </c>
      <c r="BS62" s="562"/>
      <c r="BT62" s="226"/>
      <c r="BU62" s="563" t="s">
        <v>87</v>
      </c>
      <c r="BV62" s="563"/>
      <c r="BW62" s="2159"/>
      <c r="BX62" s="997"/>
      <c r="BY62" s="209"/>
      <c r="BZ62" s="209"/>
      <c r="CM62" s="7"/>
      <c r="CN62" s="2229"/>
      <c r="CO62" s="2229"/>
      <c r="CP62" s="2229"/>
      <c r="CQ62" s="1"/>
      <c r="CR62" s="1"/>
      <c r="CS62" s="1"/>
      <c r="CT62" s="1"/>
      <c r="CU62" s="1"/>
      <c r="CX62" s="859" t="s">
        <v>262</v>
      </c>
      <c r="CY62" s="244">
        <f>MIN(AK115:AZ115,C115:R115)</f>
        <v>320</v>
      </c>
      <c r="CZ62" s="240" t="s">
        <v>247</v>
      </c>
      <c r="DA62" s="244">
        <f>MAX(AK115:AZ115,C115:R115)</f>
        <v>496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3"/>
      <c r="N63" s="1003"/>
      <c r="O63" s="1003"/>
      <c r="P63" s="1003"/>
      <c r="Q63" s="1003"/>
      <c r="R63" s="1003"/>
      <c r="S63" s="2025" t="s">
        <v>797</v>
      </c>
      <c r="T63" s="2025"/>
      <c r="U63" s="2025"/>
      <c r="V63" s="22"/>
      <c r="W63" s="2025" t="s">
        <v>798</v>
      </c>
      <c r="X63" s="2025"/>
      <c r="Y63" s="2025"/>
      <c r="Z63" s="1003"/>
      <c r="AB63" s="1805" t="s">
        <v>1103</v>
      </c>
      <c r="AC63" s="1502" t="s">
        <v>1108</v>
      </c>
      <c r="AD63" s="633">
        <v>90</v>
      </c>
      <c r="AE63" s="1762" t="s">
        <v>1105</v>
      </c>
      <c r="AF63" s="1502" t="s">
        <v>1108</v>
      </c>
      <c r="AG63" s="532">
        <v>510</v>
      </c>
      <c r="AH63" s="12"/>
      <c r="AI63" s="28"/>
      <c r="AJ63" s="845"/>
      <c r="AK63" s="845"/>
      <c r="AL63" s="845"/>
      <c r="AM63" s="845"/>
      <c r="AN63" s="845"/>
      <c r="AO63" s="845"/>
      <c r="AP63" s="845"/>
      <c r="AQ63" s="845"/>
      <c r="AR63" s="845"/>
      <c r="AS63" s="845"/>
      <c r="AT63" s="845"/>
      <c r="AU63" s="22"/>
      <c r="AV63" s="22"/>
      <c r="AW63" s="22"/>
      <c r="AX63" s="22"/>
      <c r="AY63" s="22"/>
      <c r="AZ63" s="22"/>
      <c r="BA63" s="2025" t="s">
        <v>797</v>
      </c>
      <c r="BB63" s="2025"/>
      <c r="BC63" s="2025"/>
      <c r="BD63" s="22"/>
      <c r="BE63" s="2025" t="s">
        <v>798</v>
      </c>
      <c r="BF63" s="2025"/>
      <c r="BG63" s="2025"/>
      <c r="BH63" s="1003"/>
      <c r="BJ63" s="1805" t="s">
        <v>1103</v>
      </c>
      <c r="BK63" s="1473" t="s">
        <v>1108</v>
      </c>
      <c r="BL63" s="633">
        <v>220</v>
      </c>
      <c r="BM63" s="1762" t="s">
        <v>1105</v>
      </c>
      <c r="BN63" s="1473" t="s">
        <v>1108</v>
      </c>
      <c r="BO63" s="532">
        <v>400</v>
      </c>
      <c r="BP63" s="6"/>
      <c r="BR63" s="209"/>
      <c r="BS63" s="209"/>
      <c r="BT63" s="209"/>
      <c r="BU63" s="548" t="s">
        <v>88</v>
      </c>
      <c r="BV63" s="548"/>
      <c r="BW63" s="549" t="s">
        <v>466</v>
      </c>
      <c r="BX63" s="109"/>
      <c r="BY63" s="209"/>
      <c r="BZ63" s="209"/>
      <c r="CM63" s="7"/>
      <c r="CN63" s="2229"/>
      <c r="CO63" s="2229"/>
      <c r="CP63" s="2229"/>
      <c r="CQ63" s="1"/>
      <c r="CR63" s="1"/>
      <c r="CS63" s="1"/>
      <c r="CT63" s="1"/>
      <c r="CU63" s="1"/>
      <c r="CX63" s="859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77" t="s">
        <v>799</v>
      </c>
      <c r="B64" s="1477"/>
      <c r="C64" s="1477"/>
      <c r="D64" s="1477"/>
      <c r="E64" s="99"/>
      <c r="F64" s="1756" t="s">
        <v>1674</v>
      </c>
      <c r="G64" s="1757"/>
      <c r="H64" s="1758"/>
      <c r="I64" s="779"/>
      <c r="J64" s="99"/>
      <c r="K64" s="1479" t="s">
        <v>800</v>
      </c>
      <c r="L64" s="1756" t="s">
        <v>1678</v>
      </c>
      <c r="M64" s="1757"/>
      <c r="N64" s="1758"/>
      <c r="O64" s="89"/>
      <c r="P64" s="1869" t="s">
        <v>430</v>
      </c>
      <c r="Q64" s="1869"/>
      <c r="R64" s="1870"/>
      <c r="S64" s="1756" t="s">
        <v>1679</v>
      </c>
      <c r="T64" s="1757"/>
      <c r="U64" s="1758"/>
      <c r="V64" s="36"/>
      <c r="W64" s="1756" t="s">
        <v>1686</v>
      </c>
      <c r="X64" s="1757"/>
      <c r="Y64" s="1758"/>
      <c r="Z64" s="37"/>
      <c r="AB64" s="1806"/>
      <c r="AC64" s="634" t="s">
        <v>1107</v>
      </c>
      <c r="AD64" s="534">
        <v>220</v>
      </c>
      <c r="AE64" s="1763"/>
      <c r="AF64" s="634" t="s">
        <v>1107</v>
      </c>
      <c r="AG64" s="533">
        <v>400</v>
      </c>
      <c r="AH64" s="38"/>
      <c r="AI64" s="1477" t="s">
        <v>799</v>
      </c>
      <c r="AJ64" s="1477"/>
      <c r="AK64" s="1477"/>
      <c r="AL64" s="1477"/>
      <c r="AM64" s="779"/>
      <c r="AN64" s="1756" t="s">
        <v>1700</v>
      </c>
      <c r="AO64" s="1757"/>
      <c r="AP64" s="1758"/>
      <c r="AQ64" s="779"/>
      <c r="AR64" s="779"/>
      <c r="AS64" s="1479" t="s">
        <v>800</v>
      </c>
      <c r="AT64" s="1756" t="s">
        <v>1694</v>
      </c>
      <c r="AU64" s="1757"/>
      <c r="AV64" s="1758"/>
      <c r="AW64" s="846"/>
      <c r="AX64" s="2038" t="s">
        <v>430</v>
      </c>
      <c r="AY64" s="2038"/>
      <c r="AZ64" s="2039"/>
      <c r="BA64" s="1756" t="s">
        <v>1698</v>
      </c>
      <c r="BB64" s="1757"/>
      <c r="BC64" s="1758"/>
      <c r="BD64" s="780"/>
      <c r="BE64" s="1756" t="s">
        <v>1692</v>
      </c>
      <c r="BF64" s="1757"/>
      <c r="BG64" s="1758"/>
      <c r="BH64" s="37"/>
      <c r="BJ64" s="1806"/>
      <c r="BK64" s="1474" t="s">
        <v>1107</v>
      </c>
      <c r="BL64" s="535">
        <v>170</v>
      </c>
      <c r="BM64" s="1763"/>
      <c r="BN64" s="1474" t="s">
        <v>1107</v>
      </c>
      <c r="BO64" s="1483">
        <v>410</v>
      </c>
      <c r="BP64" s="39"/>
      <c r="BQ64" s="40"/>
      <c r="BR64" s="1"/>
      <c r="BS64" s="1"/>
      <c r="BT64" s="998"/>
      <c r="BU64" s="998"/>
      <c r="BV64" s="998"/>
      <c r="BW64" s="207"/>
      <c r="BX64" s="207"/>
      <c r="CA64" s="1"/>
      <c r="CM64" s="40"/>
      <c r="CN64" s="2229"/>
      <c r="CO64" s="2229"/>
      <c r="CP64" s="2229"/>
      <c r="CQ64" s="2165"/>
      <c r="CR64" s="2165"/>
      <c r="CS64" s="2165"/>
      <c r="CT64" s="1"/>
      <c r="CU64" s="1"/>
      <c r="CX64" s="859" t="s">
        <v>995</v>
      </c>
      <c r="CY64" s="244">
        <f>MIN(BJ78:BJ89,AB78:AB89)</f>
        <v>81</v>
      </c>
      <c r="CZ64" s="240" t="s">
        <v>247</v>
      </c>
      <c r="DA64" s="244">
        <f>MAX(BJ78:BJ89,AB78:AB89)</f>
        <v>82</v>
      </c>
    </row>
    <row r="65" spans="1:105" s="35" customFormat="1" ht="21.95" customHeight="1" x14ac:dyDescent="0.3">
      <c r="A65" s="1477" t="s">
        <v>169</v>
      </c>
      <c r="B65" s="1477"/>
      <c r="C65" s="1477"/>
      <c r="D65" s="1477"/>
      <c r="E65" s="99"/>
      <c r="F65" s="1756" t="s">
        <v>1675</v>
      </c>
      <c r="G65" s="1757"/>
      <c r="H65" s="1758"/>
      <c r="I65" s="99"/>
      <c r="J65" s="99"/>
      <c r="P65" s="1869" t="s">
        <v>430</v>
      </c>
      <c r="Q65" s="1869"/>
      <c r="R65" s="1870"/>
      <c r="S65" s="1756" t="s">
        <v>1680</v>
      </c>
      <c r="T65" s="1757"/>
      <c r="U65" s="1758"/>
      <c r="V65" s="36"/>
      <c r="W65" s="1756"/>
      <c r="X65" s="1757"/>
      <c r="Y65" s="1758"/>
      <c r="Z65" s="37"/>
      <c r="AB65" s="1805" t="s">
        <v>1104</v>
      </c>
      <c r="AC65" s="1502" t="s">
        <v>1108</v>
      </c>
      <c r="AD65" s="534">
        <v>110</v>
      </c>
      <c r="AE65" s="1762" t="s">
        <v>1106</v>
      </c>
      <c r="AF65" s="1502" t="s">
        <v>1108</v>
      </c>
      <c r="AG65" s="534"/>
      <c r="AH65" s="38"/>
      <c r="AI65" s="1477" t="s">
        <v>169</v>
      </c>
      <c r="AJ65" s="1477"/>
      <c r="AK65" s="1477"/>
      <c r="AL65" s="1477"/>
      <c r="AM65" s="779"/>
      <c r="AN65" s="1756" t="s">
        <v>1702</v>
      </c>
      <c r="AO65" s="1757"/>
      <c r="AP65" s="1758"/>
      <c r="AQ65" s="779"/>
      <c r="AR65" s="779"/>
      <c r="AS65" s="1"/>
      <c r="AT65" s="1"/>
      <c r="AU65" s="1"/>
      <c r="AV65" s="1"/>
      <c r="AW65" s="1"/>
      <c r="AX65" s="2038" t="s">
        <v>430</v>
      </c>
      <c r="AY65" s="2038"/>
      <c r="AZ65" s="2039"/>
      <c r="BA65" s="1756" t="s">
        <v>1699</v>
      </c>
      <c r="BB65" s="1757"/>
      <c r="BC65" s="1758"/>
      <c r="BD65" s="780"/>
      <c r="BE65" s="1756" t="s">
        <v>1693</v>
      </c>
      <c r="BF65" s="1757"/>
      <c r="BG65" s="1758"/>
      <c r="BH65" s="37"/>
      <c r="BJ65" s="1805" t="s">
        <v>1104</v>
      </c>
      <c r="BK65" s="1473" t="s">
        <v>1108</v>
      </c>
      <c r="BL65" s="633">
        <v>250</v>
      </c>
      <c r="BM65" s="1762" t="s">
        <v>1106</v>
      </c>
      <c r="BN65" s="1473" t="s">
        <v>1108</v>
      </c>
      <c r="BO65" s="633"/>
      <c r="BP65" s="39"/>
      <c r="BQ65" s="40"/>
      <c r="CA65" s="1"/>
      <c r="CM65" s="40"/>
      <c r="CN65" s="2229"/>
      <c r="CO65" s="2229"/>
      <c r="CP65" s="2229"/>
      <c r="CQ65" s="2165"/>
      <c r="CR65" s="2165"/>
      <c r="CS65" s="2165"/>
      <c r="CT65" s="2228"/>
      <c r="CU65" s="2228"/>
      <c r="CX65" s="859" t="s">
        <v>263</v>
      </c>
      <c r="CY65" s="244">
        <f>MIN(AK112:AZ112,C112:R112)</f>
        <v>91</v>
      </c>
      <c r="CZ65" s="240" t="s">
        <v>247</v>
      </c>
      <c r="DA65" s="244">
        <f>MAX(AK112:AZ112,C112:R112)</f>
        <v>106</v>
      </c>
    </row>
    <row r="66" spans="1:105" s="35" customFormat="1" ht="21.95" customHeight="1" thickBot="1" x14ac:dyDescent="0.4">
      <c r="A66" s="1477" t="s">
        <v>1125</v>
      </c>
      <c r="B66" s="1477"/>
      <c r="C66" s="1477"/>
      <c r="D66" s="1477"/>
      <c r="E66" s="99"/>
      <c r="F66" s="1756"/>
      <c r="G66" s="1757"/>
      <c r="H66" s="1758"/>
      <c r="I66" s="99"/>
      <c r="J66" s="99"/>
      <c r="P66" s="1869" t="s">
        <v>430</v>
      </c>
      <c r="Q66" s="1869"/>
      <c r="R66" s="1870"/>
      <c r="S66" s="1756" t="s">
        <v>1681</v>
      </c>
      <c r="T66" s="1757"/>
      <c r="U66" s="1758"/>
      <c r="V66" s="36"/>
      <c r="W66" s="2026"/>
      <c r="X66" s="2027"/>
      <c r="Y66" s="2028"/>
      <c r="Z66" s="37"/>
      <c r="AB66" s="1806"/>
      <c r="AC66" s="1503" t="s">
        <v>1107</v>
      </c>
      <c r="AD66" s="535">
        <v>250</v>
      </c>
      <c r="AE66" s="1763"/>
      <c r="AF66" s="1503" t="s">
        <v>1107</v>
      </c>
      <c r="AG66" s="535"/>
      <c r="AH66" s="38"/>
      <c r="AI66" s="1477" t="s">
        <v>1125</v>
      </c>
      <c r="AJ66" s="1477"/>
      <c r="AK66" s="1477"/>
      <c r="AL66" s="1477"/>
      <c r="AM66" s="779"/>
      <c r="AN66" s="1756" t="s">
        <v>1701</v>
      </c>
      <c r="AO66" s="1757"/>
      <c r="AP66" s="1758"/>
      <c r="AQ66" s="779"/>
      <c r="AR66" s="779"/>
      <c r="AS66" s="1"/>
      <c r="AT66" s="1"/>
      <c r="AU66" s="1"/>
      <c r="AV66" s="1"/>
      <c r="AW66" s="1"/>
      <c r="AX66" s="2038" t="s">
        <v>430</v>
      </c>
      <c r="AY66" s="2038"/>
      <c r="AZ66" s="2039"/>
      <c r="BA66" s="1756"/>
      <c r="BB66" s="1757"/>
      <c r="BC66" s="1758"/>
      <c r="BD66" s="780"/>
      <c r="BE66" s="1756"/>
      <c r="BF66" s="1757"/>
      <c r="BG66" s="1758"/>
      <c r="BH66" s="37"/>
      <c r="BJ66" s="1806"/>
      <c r="BK66" s="1474" t="s">
        <v>1107</v>
      </c>
      <c r="BL66" s="535">
        <v>190</v>
      </c>
      <c r="BM66" s="1763"/>
      <c r="BN66" s="1474" t="s">
        <v>1107</v>
      </c>
      <c r="BO66" s="535"/>
      <c r="BP66" s="39"/>
      <c r="BQ66" s="40"/>
      <c r="CA66" s="1"/>
      <c r="CM66" s="40"/>
      <c r="CN66" s="1"/>
      <c r="CO66" s="1"/>
      <c r="CP66" s="1"/>
      <c r="CQ66" s="2227"/>
      <c r="CR66" s="2227"/>
      <c r="CS66" s="2227"/>
      <c r="CT66" s="2227"/>
      <c r="CU66" s="2227"/>
      <c r="CX66" s="859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77" t="s">
        <v>1126</v>
      </c>
      <c r="B67" s="1477"/>
      <c r="C67" s="1477"/>
      <c r="D67" s="1477"/>
      <c r="E67" s="99"/>
      <c r="F67" s="1756" t="s">
        <v>1676</v>
      </c>
      <c r="G67" s="1757"/>
      <c r="H67" s="1758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7" t="s">
        <v>1126</v>
      </c>
      <c r="AJ67" s="1477"/>
      <c r="AK67" s="1477"/>
      <c r="AL67" s="1477"/>
      <c r="AM67" s="779"/>
      <c r="AN67" s="1756" t="s">
        <v>1695</v>
      </c>
      <c r="AO67" s="1757"/>
      <c r="AP67" s="1758"/>
      <c r="AQ67" s="779"/>
      <c r="AR67" s="779"/>
      <c r="AS67" s="1"/>
      <c r="AT67" s="1"/>
      <c r="AU67" s="1"/>
      <c r="AV67" s="1"/>
      <c r="AW67" s="1"/>
      <c r="AX67" s="1"/>
      <c r="AY67" s="779"/>
      <c r="AZ67" s="779"/>
      <c r="BA67" s="779"/>
      <c r="BB67" s="779"/>
      <c r="BC67" s="780"/>
      <c r="BD67" s="780"/>
      <c r="BE67" s="780"/>
      <c r="BF67" s="780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2227"/>
      <c r="CR67" s="2227"/>
      <c r="CS67" s="2227"/>
      <c r="CT67" s="2227"/>
      <c r="CU67" s="2227"/>
      <c r="CX67" s="859" t="s">
        <v>264</v>
      </c>
      <c r="CY67" s="244">
        <f>MIN(BG113:BN113,Y113:AF113)</f>
        <v>171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78" t="s">
        <v>1124</v>
      </c>
      <c r="B68" s="1478"/>
      <c r="C68" s="1478"/>
      <c r="D68" s="1478"/>
      <c r="E68" s="37"/>
      <c r="F68" s="1756" t="s">
        <v>1677</v>
      </c>
      <c r="G68" s="1757"/>
      <c r="H68" s="1758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8" t="s">
        <v>1124</v>
      </c>
      <c r="AJ68" s="1478"/>
      <c r="AK68" s="1478"/>
      <c r="AL68" s="1478"/>
      <c r="AM68" s="15"/>
      <c r="AN68" s="1756" t="s">
        <v>1696</v>
      </c>
      <c r="AO68" s="1757"/>
      <c r="AP68" s="1758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59" t="s">
        <v>262</v>
      </c>
      <c r="CY68" s="244">
        <f>MIN(AK115:AZ115,C115:R115)</f>
        <v>320</v>
      </c>
      <c r="CZ68" s="240" t="s">
        <v>247</v>
      </c>
      <c r="DA68" s="244">
        <f>MAX(AK115:AZ115,C115:R115)</f>
        <v>496</v>
      </c>
    </row>
    <row r="69" spans="1:105" ht="24" customHeight="1" thickBot="1" x14ac:dyDescent="0.35">
      <c r="B69" s="1"/>
      <c r="C69" s="1"/>
      <c r="D69" s="1"/>
      <c r="E69" s="1"/>
      <c r="F69" s="202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24"/>
      <c r="H69" s="2024"/>
      <c r="I69" s="2024"/>
      <c r="J69" s="2024"/>
      <c r="K69" s="2024"/>
      <c r="L69" s="2024"/>
      <c r="M69" s="2024"/>
      <c r="N69" s="2024"/>
      <c r="O69" s="2024"/>
      <c r="P69" s="2024"/>
      <c r="Q69" s="2024"/>
      <c r="R69" s="2024"/>
      <c r="S69" s="2024"/>
      <c r="T69" s="2024"/>
      <c r="U69" s="2024"/>
      <c r="V69" s="2024"/>
      <c r="W69" s="2024"/>
      <c r="X69" s="2024"/>
      <c r="Y69" s="2024"/>
      <c r="Z69" s="2024"/>
      <c r="AA69" s="2024"/>
      <c r="AB69" s="2024"/>
      <c r="AC69" s="2024"/>
      <c r="AD69" s="2024"/>
      <c r="AH69" s="12"/>
      <c r="AN69" s="202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24"/>
      <c r="AP69" s="2024"/>
      <c r="AQ69" s="2024"/>
      <c r="AR69" s="2024"/>
      <c r="AS69" s="2024"/>
      <c r="AT69" s="2024"/>
      <c r="AU69" s="2024"/>
      <c r="AV69" s="2024"/>
      <c r="AW69" s="2024"/>
      <c r="AX69" s="2024"/>
      <c r="AY69" s="2024"/>
      <c r="AZ69" s="2024"/>
      <c r="BA69" s="2024"/>
      <c r="BB69" s="2024"/>
      <c r="BC69" s="2024"/>
      <c r="BD69" s="2024"/>
      <c r="BE69" s="2024"/>
      <c r="BF69" s="2024"/>
      <c r="BG69" s="2024"/>
      <c r="BH69" s="2024"/>
      <c r="BI69" s="2024"/>
      <c r="BJ69" s="2024"/>
      <c r="BK69" s="2024"/>
      <c r="BL69" s="2024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59" t="s">
        <v>265</v>
      </c>
      <c r="CY69" s="244">
        <f>MIN(AW125:AW128,O125:O128)</f>
        <v>58</v>
      </c>
      <c r="CZ69" s="247" t="s">
        <v>247</v>
      </c>
      <c r="DA69" s="244">
        <f>MAX(AW125:AW128,O125:O128)</f>
        <v>61</v>
      </c>
    </row>
    <row r="70" spans="1:105" ht="21.95" customHeight="1" thickBot="1" x14ac:dyDescent="0.35">
      <c r="B70" s="1480" t="s">
        <v>1115</v>
      </c>
      <c r="C70" s="232">
        <v>753</v>
      </c>
      <c r="D70" s="781" t="s">
        <v>62</v>
      </c>
      <c r="E70" s="1"/>
      <c r="F70" s="2024"/>
      <c r="G70" s="2024"/>
      <c r="H70" s="2024"/>
      <c r="I70" s="2024"/>
      <c r="J70" s="2024"/>
      <c r="K70" s="2024"/>
      <c r="L70" s="2024"/>
      <c r="M70" s="2024"/>
      <c r="N70" s="2024"/>
      <c r="O70" s="2024"/>
      <c r="P70" s="2024"/>
      <c r="Q70" s="2024"/>
      <c r="R70" s="2024"/>
      <c r="S70" s="2024"/>
      <c r="T70" s="2024"/>
      <c r="U70" s="2024"/>
      <c r="V70" s="2024"/>
      <c r="W70" s="2024"/>
      <c r="X70" s="2024"/>
      <c r="Y70" s="2024"/>
      <c r="Z70" s="2024"/>
      <c r="AA70" s="2024"/>
      <c r="AB70" s="2024"/>
      <c r="AC70" s="2024"/>
      <c r="AD70" s="2024"/>
      <c r="AE70" s="1828" t="s">
        <v>37</v>
      </c>
      <c r="AF70" s="1828"/>
      <c r="AG70" s="1828"/>
      <c r="AH70" s="8"/>
      <c r="AJ70" s="1480" t="s">
        <v>1115</v>
      </c>
      <c r="AK70" s="232">
        <v>756.1</v>
      </c>
      <c r="AL70" s="781" t="s">
        <v>62</v>
      </c>
      <c r="AM70" s="1"/>
      <c r="AN70" s="2024"/>
      <c r="AO70" s="2024"/>
      <c r="AP70" s="2024"/>
      <c r="AQ70" s="2024"/>
      <c r="AR70" s="2024"/>
      <c r="AS70" s="2024"/>
      <c r="AT70" s="2024"/>
      <c r="AU70" s="2024"/>
      <c r="AV70" s="2024"/>
      <c r="AW70" s="2024"/>
      <c r="AX70" s="2024"/>
      <c r="AY70" s="2024"/>
      <c r="AZ70" s="2024"/>
      <c r="BA70" s="2024"/>
      <c r="BB70" s="2024"/>
      <c r="BC70" s="2024"/>
      <c r="BD70" s="2024"/>
      <c r="BE70" s="2024"/>
      <c r="BF70" s="2024"/>
      <c r="BG70" s="2024"/>
      <c r="BH70" s="2024"/>
      <c r="BI70" s="2024"/>
      <c r="BJ70" s="2024"/>
      <c r="BK70" s="2024"/>
      <c r="BL70" s="2024"/>
      <c r="BM70" s="1828" t="s">
        <v>37</v>
      </c>
      <c r="BN70" s="1828"/>
      <c r="BO70" s="1828"/>
      <c r="BP70" s="6"/>
      <c r="BQ70" s="963"/>
      <c r="BR70" s="2165"/>
      <c r="BS70" s="2165"/>
      <c r="BW70" s="68"/>
      <c r="BX70" s="9"/>
      <c r="BY70" s="9"/>
      <c r="BZ70" s="9"/>
      <c r="CN70" s="123" t="s">
        <v>136</v>
      </c>
      <c r="CO70" s="124"/>
      <c r="CP70" s="124"/>
      <c r="CQ70" s="123" t="e">
        <f>ROUND(CP70/CO70*100,1)</f>
        <v>#DIV/0!</v>
      </c>
      <c r="CR70" s="123" t="s">
        <v>136</v>
      </c>
      <c r="CS70" s="124">
        <v>12</v>
      </c>
      <c r="CT70" s="124"/>
      <c r="CU70" s="123">
        <f>ROUND(CT70/CS70*100,1)</f>
        <v>0</v>
      </c>
      <c r="CX70" s="859" t="s">
        <v>266</v>
      </c>
      <c r="CY70" s="244">
        <f>MIN(AX125:AX128,P125:P128)</f>
        <v>54</v>
      </c>
      <c r="CZ70" s="247" t="s">
        <v>247</v>
      </c>
      <c r="DA70" s="244">
        <f>MAX(AX125:AX128,P125:P128)</f>
        <v>56</v>
      </c>
    </row>
    <row r="71" spans="1:105" ht="21.95" customHeight="1" thickBot="1" x14ac:dyDescent="0.35">
      <c r="B71" s="1481" t="s">
        <v>1111</v>
      </c>
      <c r="C71" s="536">
        <v>-18</v>
      </c>
      <c r="D71" s="784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34"/>
      <c r="AB71" s="782"/>
      <c r="AC71" s="977"/>
      <c r="AD71" s="22"/>
      <c r="AE71" s="1003"/>
      <c r="AF71" s="1003"/>
      <c r="AG71" s="1003"/>
      <c r="AH71" s="12"/>
      <c r="AJ71" s="1481" t="s">
        <v>1111</v>
      </c>
      <c r="AK71" s="536">
        <v>-11</v>
      </c>
      <c r="AL71" s="784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182"/>
      <c r="BJ71" s="90"/>
      <c r="BK71" s="987"/>
      <c r="BL71" s="1003"/>
      <c r="BM71" s="1003"/>
      <c r="BN71" s="1003"/>
      <c r="BO71" s="1003"/>
      <c r="BP71" s="6"/>
      <c r="BQ71" s="963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/>
      <c r="CP71" s="124"/>
      <c r="CQ71" s="123" t="e">
        <f>ROUND(CP71/CO71*100,1)</f>
        <v>#DIV/0!</v>
      </c>
      <c r="CR71" s="123" t="s">
        <v>137</v>
      </c>
      <c r="CS71" s="124">
        <v>12</v>
      </c>
      <c r="CT71" s="124"/>
      <c r="CU71" s="123">
        <f>ROUND(CT71/CS71*100,1)</f>
        <v>0</v>
      </c>
      <c r="CX71" s="859" t="s">
        <v>267</v>
      </c>
      <c r="CY71" s="244">
        <f>MIN(AY125:AY128,Q125:Q128)</f>
        <v>54</v>
      </c>
      <c r="CZ71" s="247" t="s">
        <v>247</v>
      </c>
      <c r="DA71" s="244">
        <f>MAX(AY125:AY128,Q125:Q128)</f>
        <v>57</v>
      </c>
    </row>
    <row r="72" spans="1:105" ht="21.95" customHeight="1" thickBot="1" x14ac:dyDescent="0.4">
      <c r="B72" s="1073" t="s">
        <v>1109</v>
      </c>
      <c r="C72" s="537">
        <v>1</v>
      </c>
      <c r="D72" s="784" t="s">
        <v>1114</v>
      </c>
      <c r="E72" s="1073" t="s">
        <v>1112</v>
      </c>
      <c r="F72" s="626">
        <v>29</v>
      </c>
      <c r="G72" s="784" t="s">
        <v>1114</v>
      </c>
      <c r="H72" s="2"/>
      <c r="I72" s="2"/>
      <c r="J72" s="2"/>
      <c r="K72" s="2"/>
      <c r="L72" s="1832" t="s">
        <v>59</v>
      </c>
      <c r="M72" s="1833"/>
      <c r="N72" s="1830" t="str">
        <f>N4</f>
        <v>23.02.2026г</v>
      </c>
      <c r="O72" s="1831"/>
      <c r="P72" s="795"/>
      <c r="Q72" s="1832" t="s">
        <v>60</v>
      </c>
      <c r="R72" s="1833"/>
      <c r="S72" s="765">
        <v>1</v>
      </c>
      <c r="T72" s="795"/>
      <c r="U72" s="1832" t="s">
        <v>61</v>
      </c>
      <c r="V72" s="1833"/>
      <c r="W72" s="765" t="str">
        <f>W4</f>
        <v>А</v>
      </c>
      <c r="X72" s="1"/>
      <c r="Y72" s="1"/>
      <c r="Z72" s="1"/>
      <c r="AA72" s="1834"/>
      <c r="AB72" s="782"/>
      <c r="AC72" s="977"/>
      <c r="AD72" s="22"/>
      <c r="AE72" s="1003"/>
      <c r="AF72" s="1003"/>
      <c r="AG72" s="1003"/>
      <c r="AH72" s="12"/>
      <c r="AJ72" s="1073" t="s">
        <v>1109</v>
      </c>
      <c r="AK72" s="537">
        <v>1.4</v>
      </c>
      <c r="AL72" s="784" t="s">
        <v>1114</v>
      </c>
      <c r="AM72" s="1073" t="s">
        <v>1112</v>
      </c>
      <c r="AN72" s="538">
        <v>32</v>
      </c>
      <c r="AO72" s="784" t="s">
        <v>1114</v>
      </c>
      <c r="AP72" s="2"/>
      <c r="AQ72" s="2"/>
      <c r="AR72" s="2"/>
      <c r="AS72" s="2"/>
      <c r="AT72" s="1832" t="s">
        <v>59</v>
      </c>
      <c r="AU72" s="1833"/>
      <c r="AV72" s="2183" t="str">
        <f>AV4</f>
        <v>23.02.2026г</v>
      </c>
      <c r="AW72" s="2184"/>
      <c r="AX72" s="2"/>
      <c r="AY72" s="1832" t="s">
        <v>60</v>
      </c>
      <c r="AZ72" s="1833"/>
      <c r="BA72" s="237">
        <v>2</v>
      </c>
      <c r="BB72" s="5"/>
      <c r="BC72" s="1832" t="s">
        <v>61</v>
      </c>
      <c r="BD72" s="1833"/>
      <c r="BE72" s="237" t="str">
        <f>BE4</f>
        <v>в</v>
      </c>
      <c r="BI72" s="2182"/>
      <c r="BJ72" s="90"/>
      <c r="BK72" s="987"/>
      <c r="BL72" s="1003"/>
      <c r="BM72" s="1003"/>
      <c r="BN72" s="1003"/>
      <c r="BO72" s="1003"/>
      <c r="BP72" s="6"/>
      <c r="BR72" s="1399" t="s">
        <v>1407</v>
      </c>
      <c r="BS72" s="1399" t="s">
        <v>1407</v>
      </c>
      <c r="BT72" s="1399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59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</v>
      </c>
    </row>
    <row r="73" spans="1:105" ht="21.95" customHeight="1" thickBot="1" x14ac:dyDescent="0.35">
      <c r="B73" s="1073" t="s">
        <v>1110</v>
      </c>
      <c r="C73" s="537">
        <v>18</v>
      </c>
      <c r="D73" s="784" t="s">
        <v>1114</v>
      </c>
      <c r="E73" s="1879" t="s">
        <v>1113</v>
      </c>
      <c r="F73" s="626">
        <v>58</v>
      </c>
      <c r="G73" s="784" t="s">
        <v>1114</v>
      </c>
      <c r="H73" s="963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1"/>
      <c r="T73" s="239"/>
      <c r="U73" s="239"/>
      <c r="V73" s="239"/>
      <c r="W73" s="991"/>
      <c r="X73" s="239"/>
      <c r="Y73" s="239"/>
      <c r="Z73" s="239"/>
      <c r="AA73" s="1834"/>
      <c r="AB73" s="782"/>
      <c r="AC73" s="785"/>
      <c r="AD73" s="786"/>
      <c r="AE73" s="93"/>
      <c r="AF73" s="94"/>
      <c r="AG73" s="95"/>
      <c r="AH73" s="12"/>
      <c r="AJ73" s="1073" t="s">
        <v>1110</v>
      </c>
      <c r="AK73" s="537">
        <v>15</v>
      </c>
      <c r="AL73" s="784" t="s">
        <v>1114</v>
      </c>
      <c r="AM73" s="1879" t="s">
        <v>1113</v>
      </c>
      <c r="AN73" s="538">
        <v>62</v>
      </c>
      <c r="AO73" s="784" t="s">
        <v>1114</v>
      </c>
      <c r="AP73" s="963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1"/>
      <c r="BB73" s="13"/>
      <c r="BC73" s="13"/>
      <c r="BD73" s="13"/>
      <c r="BE73" s="131"/>
      <c r="BF73" s="13"/>
      <c r="BG73" s="13"/>
      <c r="BH73" s="13"/>
      <c r="BI73" s="2182"/>
      <c r="BJ73" s="90"/>
      <c r="BK73" s="91"/>
      <c r="BL73" s="92"/>
      <c r="BM73" s="93"/>
      <c r="BN73" s="94"/>
      <c r="BO73" s="95"/>
      <c r="BP73" s="6"/>
      <c r="BR73" s="257">
        <f>ROUND(BS73/BT73,3)*100</f>
        <v>60.099999999999994</v>
      </c>
      <c r="BS73" s="258">
        <f>E42</f>
        <v>49.85</v>
      </c>
      <c r="BT73" s="258">
        <f>B42</f>
        <v>83</v>
      </c>
      <c r="BU73" s="258">
        <f>B43</f>
        <v>96.1</v>
      </c>
      <c r="BV73" s="258">
        <f>F91</f>
        <v>17.100000000000001</v>
      </c>
      <c r="CN73" s="70"/>
      <c r="CO73" s="70"/>
      <c r="CP73" s="70"/>
      <c r="CQ73" s="70"/>
      <c r="CR73" s="70"/>
      <c r="CS73" s="70"/>
      <c r="CT73" s="70"/>
      <c r="CU73" s="70"/>
      <c r="CX73" s="859" t="s">
        <v>269</v>
      </c>
      <c r="CY73" s="244">
        <f>MIN(AU125:AU128,M125:M128)</f>
        <v>3</v>
      </c>
      <c r="CZ73" s="247" t="s">
        <v>247</v>
      </c>
      <c r="DA73" s="244">
        <f>MAX(AU125:AU128,M125:M128)</f>
        <v>3.1</v>
      </c>
    </row>
    <row r="74" spans="1:105" ht="21.95" customHeight="1" thickBot="1" x14ac:dyDescent="0.35">
      <c r="A74" s="5"/>
      <c r="B74" s="783"/>
      <c r="C74" s="787"/>
      <c r="D74" s="429"/>
      <c r="E74" s="1880"/>
      <c r="F74" s="1824" t="s">
        <v>419</v>
      </c>
      <c r="G74" s="1824"/>
      <c r="H74" s="1824"/>
      <c r="I74" s="1824"/>
      <c r="J74" s="1824"/>
      <c r="K74" s="1824"/>
      <c r="L74" s="1824"/>
      <c r="M74" s="1824"/>
      <c r="N74" s="1824"/>
      <c r="O74" s="1824"/>
      <c r="P74" s="1824"/>
      <c r="Q74" s="1824"/>
      <c r="R74" s="1824"/>
      <c r="S74" s="1824"/>
      <c r="T74" s="1824"/>
      <c r="U74" s="1824"/>
      <c r="V74" s="1824"/>
      <c r="W74" s="4"/>
      <c r="X74" s="4"/>
      <c r="Y74" s="4"/>
      <c r="Z74" s="4"/>
      <c r="AA74" s="1834"/>
      <c r="AB74" s="782"/>
      <c r="AC74" s="785"/>
      <c r="AD74" s="786"/>
      <c r="AE74" s="96"/>
      <c r="AF74" s="96"/>
      <c r="AG74" s="1003"/>
      <c r="AH74" s="43"/>
      <c r="AI74" s="5"/>
      <c r="AJ74" s="783"/>
      <c r="AK74" s="787"/>
      <c r="AL74" s="429"/>
      <c r="AM74" s="1880"/>
      <c r="AN74" s="2066" t="s">
        <v>419</v>
      </c>
      <c r="AO74" s="2066"/>
      <c r="AP74" s="2066"/>
      <c r="AQ74" s="2066"/>
      <c r="AR74" s="2066"/>
      <c r="AS74" s="2066"/>
      <c r="AT74" s="2066"/>
      <c r="AU74" s="2066"/>
      <c r="AV74" s="2066"/>
      <c r="AW74" s="2066"/>
      <c r="AX74" s="2066"/>
      <c r="AY74" s="2066"/>
      <c r="AZ74" s="2066"/>
      <c r="BA74" s="2066"/>
      <c r="BB74" s="197"/>
      <c r="BC74" s="197"/>
      <c r="BD74" s="197"/>
      <c r="BE74" s="69"/>
      <c r="BF74" s="69"/>
      <c r="BG74" s="69"/>
      <c r="BH74" s="69"/>
      <c r="BI74" s="2182"/>
      <c r="BJ74" s="90"/>
      <c r="BK74" s="91"/>
      <c r="BL74" s="92"/>
      <c r="BM74" s="96"/>
      <c r="BN74" s="96"/>
      <c r="BO74" s="1003"/>
      <c r="BP74" s="6"/>
      <c r="BR74" s="257">
        <f>ROUND(BS74/BT74,3)*100</f>
        <v>66.600000000000009</v>
      </c>
      <c r="BS74" s="258">
        <f>AM42</f>
        <v>58.699999999999996</v>
      </c>
      <c r="BT74" s="258">
        <f>AJ42</f>
        <v>88.1</v>
      </c>
      <c r="BU74" s="258">
        <f>AJ43</f>
        <v>97</v>
      </c>
      <c r="BV74" s="258">
        <f>AN91</f>
        <v>15.9</v>
      </c>
      <c r="CN74" s="70"/>
      <c r="CO74" s="70"/>
      <c r="CP74" s="70"/>
      <c r="CQ74" s="70"/>
      <c r="CR74" s="70"/>
      <c r="CS74" s="70"/>
      <c r="CT74" s="70"/>
      <c r="CU74" s="70"/>
      <c r="CX74" s="859" t="s">
        <v>270</v>
      </c>
      <c r="CY74" s="244">
        <f>MIN(AV125:AV128,N125:N128)</f>
        <v>3.8</v>
      </c>
      <c r="CZ74" s="247" t="s">
        <v>247</v>
      </c>
      <c r="DA74" s="244">
        <f>MAX(AV125:AV128,N125:N128)</f>
        <v>3.9</v>
      </c>
    </row>
    <row r="75" spans="1:105" ht="21.95" customHeight="1" thickBot="1" x14ac:dyDescent="0.45">
      <c r="A75" s="1817" t="s">
        <v>4</v>
      </c>
      <c r="B75" s="1876" t="s">
        <v>633</v>
      </c>
      <c r="C75" s="1877"/>
      <c r="D75" s="1878"/>
      <c r="E75" s="2019" t="s">
        <v>1116</v>
      </c>
      <c r="F75" s="2020"/>
      <c r="G75" s="2020"/>
      <c r="H75" s="2020"/>
      <c r="I75" s="2020"/>
      <c r="J75" s="2020"/>
      <c r="K75" s="2020"/>
      <c r="L75" s="2020"/>
      <c r="M75" s="2020"/>
      <c r="N75" s="2020"/>
      <c r="O75" s="2020"/>
      <c r="P75" s="2020"/>
      <c r="Q75" s="2020"/>
      <c r="R75" s="2020"/>
      <c r="S75" s="2020"/>
      <c r="T75" s="2020"/>
      <c r="U75" s="2020"/>
      <c r="V75" s="2021"/>
      <c r="W75" s="2063" t="s">
        <v>1119</v>
      </c>
      <c r="X75" s="2064"/>
      <c r="Y75" s="2064"/>
      <c r="Z75" s="2064"/>
      <c r="AA75" s="2064"/>
      <c r="AB75" s="2064"/>
      <c r="AC75" s="2064"/>
      <c r="AD75" s="2064"/>
      <c r="AE75" s="2064"/>
      <c r="AF75" s="2064"/>
      <c r="AG75" s="2065"/>
      <c r="AH75" s="16"/>
      <c r="AI75" s="1817" t="s">
        <v>4</v>
      </c>
      <c r="AJ75" s="1876" t="s">
        <v>633</v>
      </c>
      <c r="AK75" s="1877"/>
      <c r="AL75" s="1878"/>
      <c r="AM75" s="2019" t="s">
        <v>1116</v>
      </c>
      <c r="AN75" s="2020"/>
      <c r="AO75" s="2020"/>
      <c r="AP75" s="2020"/>
      <c r="AQ75" s="2020"/>
      <c r="AR75" s="2020"/>
      <c r="AS75" s="2020"/>
      <c r="AT75" s="2020"/>
      <c r="AU75" s="2020"/>
      <c r="AV75" s="2020"/>
      <c r="AW75" s="2020"/>
      <c r="AX75" s="2020"/>
      <c r="AY75" s="2020"/>
      <c r="AZ75" s="2020"/>
      <c r="BA75" s="2020"/>
      <c r="BB75" s="2020"/>
      <c r="BC75" s="2020"/>
      <c r="BD75" s="2021"/>
      <c r="BE75" s="2063"/>
      <c r="BF75" s="2064"/>
      <c r="BG75" s="2064"/>
      <c r="BH75" s="2064"/>
      <c r="BI75" s="2064"/>
      <c r="BJ75" s="2064"/>
      <c r="BK75" s="2064"/>
      <c r="BL75" s="2064"/>
      <c r="BM75" s="2064"/>
      <c r="BN75" s="2064"/>
      <c r="BO75" s="2065"/>
      <c r="BP75" s="6"/>
      <c r="BS75" s="963"/>
      <c r="BT75" s="963"/>
      <c r="BU75" s="963"/>
      <c r="BV75" s="963"/>
      <c r="BW75" s="963"/>
      <c r="CN75" s="70"/>
      <c r="CO75" s="70"/>
      <c r="CP75" s="70"/>
      <c r="CQ75" s="70"/>
      <c r="CR75" s="70"/>
      <c r="CS75" s="70"/>
      <c r="CT75" s="70"/>
      <c r="CU75" s="70"/>
      <c r="CX75" s="859" t="s">
        <v>271</v>
      </c>
      <c r="CY75" s="244">
        <f>MIN(AZ125,R125)</f>
        <v>320</v>
      </c>
      <c r="CZ75" s="247" t="s">
        <v>247</v>
      </c>
      <c r="DA75" s="244">
        <f>MAX(AZ125,R125)</f>
        <v>380</v>
      </c>
    </row>
    <row r="76" spans="1:105" ht="37.5" customHeight="1" thickBot="1" x14ac:dyDescent="0.35">
      <c r="A76" s="1818"/>
      <c r="B76" s="1846" t="s">
        <v>803</v>
      </c>
      <c r="C76" s="1842" t="s">
        <v>1079</v>
      </c>
      <c r="D76" s="1855" t="s">
        <v>1422</v>
      </c>
      <c r="E76" s="1825" t="s">
        <v>1117</v>
      </c>
      <c r="F76" s="1826"/>
      <c r="G76" s="1827"/>
      <c r="H76" s="1835" t="s">
        <v>1129</v>
      </c>
      <c r="I76" s="1807" t="s">
        <v>1127</v>
      </c>
      <c r="J76" s="1807" t="s">
        <v>1128</v>
      </c>
      <c r="K76" s="1983" t="s">
        <v>1118</v>
      </c>
      <c r="L76" s="1984"/>
      <c r="M76" s="1984"/>
      <c r="N76" s="1984"/>
      <c r="O76" s="1984"/>
      <c r="P76" s="1984"/>
      <c r="Q76" s="1984"/>
      <c r="R76" s="1984"/>
      <c r="S76" s="1984"/>
      <c r="T76" s="1985"/>
      <c r="U76" s="1809" t="s">
        <v>1286</v>
      </c>
      <c r="V76" s="1810"/>
      <c r="W76" s="2033" t="s">
        <v>432</v>
      </c>
      <c r="X76" s="2034"/>
      <c r="Y76" s="2034"/>
      <c r="Z76" s="2035"/>
      <c r="AA76" s="1863" t="s">
        <v>628</v>
      </c>
      <c r="AB76" s="1874" t="s">
        <v>12</v>
      </c>
      <c r="AC76" s="1874" t="s">
        <v>1122</v>
      </c>
      <c r="AD76" s="1863" t="s">
        <v>1009</v>
      </c>
      <c r="AE76" s="2059"/>
      <c r="AF76" s="1863" t="s">
        <v>569</v>
      </c>
      <c r="AG76" s="1865"/>
      <c r="AH76" s="31"/>
      <c r="AI76" s="1818"/>
      <c r="AJ76" s="1846" t="s">
        <v>803</v>
      </c>
      <c r="AK76" s="1842" t="s">
        <v>1079</v>
      </c>
      <c r="AL76" s="1855" t="s">
        <v>1422</v>
      </c>
      <c r="AM76" s="1825" t="s">
        <v>1117</v>
      </c>
      <c r="AN76" s="1826"/>
      <c r="AO76" s="1827"/>
      <c r="AP76" s="1835" t="s">
        <v>1129</v>
      </c>
      <c r="AQ76" s="1807" t="s">
        <v>1127</v>
      </c>
      <c r="AR76" s="1807" t="s">
        <v>1128</v>
      </c>
      <c r="AS76" s="1983" t="s">
        <v>1118</v>
      </c>
      <c r="AT76" s="1984"/>
      <c r="AU76" s="1984"/>
      <c r="AV76" s="1984"/>
      <c r="AW76" s="1984"/>
      <c r="AX76" s="1984"/>
      <c r="AY76" s="1984"/>
      <c r="AZ76" s="1984"/>
      <c r="BA76" s="1984"/>
      <c r="BB76" s="1985"/>
      <c r="BC76" s="1809" t="s">
        <v>1286</v>
      </c>
      <c r="BD76" s="1810"/>
      <c r="BE76" s="2033" t="s">
        <v>432</v>
      </c>
      <c r="BF76" s="2034"/>
      <c r="BG76" s="2034"/>
      <c r="BH76" s="2035"/>
      <c r="BI76" s="1863" t="s">
        <v>628</v>
      </c>
      <c r="BJ76" s="1874" t="s">
        <v>12</v>
      </c>
      <c r="BK76" s="1874" t="s">
        <v>1122</v>
      </c>
      <c r="BL76" s="1863" t="s">
        <v>1009</v>
      </c>
      <c r="BM76" s="2059"/>
      <c r="BN76" s="1863" t="s">
        <v>569</v>
      </c>
      <c r="BO76" s="1865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3"/>
      <c r="CN76" s="2232">
        <v>12</v>
      </c>
      <c r="CO76" s="2233"/>
      <c r="CP76" s="2233"/>
      <c r="CQ76" s="2233"/>
      <c r="CR76" s="2234"/>
      <c r="CS76" s="2222">
        <v>1859</v>
      </c>
      <c r="CT76" s="2223"/>
      <c r="CU76" s="2223"/>
      <c r="CV76" s="2223"/>
      <c r="CW76" s="2224"/>
      <c r="CX76" s="999"/>
      <c r="CY76" s="963"/>
      <c r="CZ76" s="963"/>
      <c r="DA76" s="963"/>
    </row>
    <row r="77" spans="1:105" ht="21.95" customHeight="1" thickBot="1" x14ac:dyDescent="0.35">
      <c r="A77" s="1819"/>
      <c r="B77" s="1847"/>
      <c r="C77" s="1843"/>
      <c r="D77" s="1856"/>
      <c r="E77" s="1071" t="s">
        <v>133</v>
      </c>
      <c r="F77" s="788" t="s">
        <v>134</v>
      </c>
      <c r="G77" s="622" t="s">
        <v>81</v>
      </c>
      <c r="H77" s="1836"/>
      <c r="I77" s="1808"/>
      <c r="J77" s="1808"/>
      <c r="K77" s="789" t="s">
        <v>133</v>
      </c>
      <c r="L77" s="790" t="s">
        <v>134</v>
      </c>
      <c r="M77" s="791" t="s">
        <v>420</v>
      </c>
      <c r="N77" s="792" t="s">
        <v>421</v>
      </c>
      <c r="O77" s="792" t="s">
        <v>422</v>
      </c>
      <c r="P77" s="792" t="s">
        <v>423</v>
      </c>
      <c r="Q77" s="792" t="s">
        <v>424</v>
      </c>
      <c r="R77" s="792" t="s">
        <v>425</v>
      </c>
      <c r="S77" s="792" t="s">
        <v>426</v>
      </c>
      <c r="T77" s="790" t="s">
        <v>427</v>
      </c>
      <c r="U77" s="732" t="s">
        <v>79</v>
      </c>
      <c r="V77" s="622" t="s">
        <v>81</v>
      </c>
      <c r="W77" s="623" t="s">
        <v>409</v>
      </c>
      <c r="X77" s="624" t="s">
        <v>410</v>
      </c>
      <c r="Y77" s="624" t="s">
        <v>433</v>
      </c>
      <c r="Z77" s="625" t="s">
        <v>428</v>
      </c>
      <c r="AA77" s="1866"/>
      <c r="AB77" s="1875"/>
      <c r="AC77" s="2075"/>
      <c r="AD77" s="2060"/>
      <c r="AE77" s="2061"/>
      <c r="AF77" s="793"/>
      <c r="AG77" s="794" t="s">
        <v>234</v>
      </c>
      <c r="AH77" s="12"/>
      <c r="AI77" s="1819"/>
      <c r="AJ77" s="1847"/>
      <c r="AK77" s="1843"/>
      <c r="AL77" s="1856"/>
      <c r="AM77" s="1071" t="s">
        <v>133</v>
      </c>
      <c r="AN77" s="788" t="s">
        <v>134</v>
      </c>
      <c r="AO77" s="622" t="s">
        <v>81</v>
      </c>
      <c r="AP77" s="1836"/>
      <c r="AQ77" s="1808"/>
      <c r="AR77" s="1808"/>
      <c r="AS77" s="789" t="s">
        <v>133</v>
      </c>
      <c r="AT77" s="790" t="s">
        <v>134</v>
      </c>
      <c r="AU77" s="791" t="s">
        <v>420</v>
      </c>
      <c r="AV77" s="792" t="s">
        <v>421</v>
      </c>
      <c r="AW77" s="792" t="s">
        <v>422</v>
      </c>
      <c r="AX77" s="792" t="s">
        <v>423</v>
      </c>
      <c r="AY77" s="792" t="s">
        <v>424</v>
      </c>
      <c r="AZ77" s="792" t="s">
        <v>425</v>
      </c>
      <c r="BA77" s="792" t="s">
        <v>426</v>
      </c>
      <c r="BB77" s="790" t="s">
        <v>427</v>
      </c>
      <c r="BC77" s="732" t="s">
        <v>79</v>
      </c>
      <c r="BD77" s="622" t="s">
        <v>81</v>
      </c>
      <c r="BE77" s="623" t="s">
        <v>409</v>
      </c>
      <c r="BF77" s="624" t="s">
        <v>410</v>
      </c>
      <c r="BG77" s="624" t="s">
        <v>433</v>
      </c>
      <c r="BH77" s="625" t="s">
        <v>428</v>
      </c>
      <c r="BI77" s="1866"/>
      <c r="BJ77" s="1875"/>
      <c r="BK77" s="2075"/>
      <c r="BL77" s="2060"/>
      <c r="BM77" s="2061"/>
      <c r="BN77" s="793"/>
      <c r="BO77" s="794" t="s">
        <v>234</v>
      </c>
      <c r="BP77" s="6"/>
      <c r="BR77" s="1399" t="s">
        <v>1409</v>
      </c>
      <c r="BS77" s="1399" t="s">
        <v>1404</v>
      </c>
      <c r="BT77" s="256" t="s">
        <v>1301</v>
      </c>
      <c r="BU77" s="1400" t="s">
        <v>139</v>
      </c>
      <c r="CN77" s="860" t="s">
        <v>165</v>
      </c>
      <c r="CO77" s="861" t="s">
        <v>166</v>
      </c>
      <c r="CP77" s="861" t="s">
        <v>151</v>
      </c>
      <c r="CQ77" s="861" t="s">
        <v>167</v>
      </c>
      <c r="CR77" s="862" t="s">
        <v>168</v>
      </c>
      <c r="CS77" s="860" t="s">
        <v>165</v>
      </c>
      <c r="CT77" s="861" t="s">
        <v>166</v>
      </c>
      <c r="CU77" s="861" t="s">
        <v>151</v>
      </c>
      <c r="CV77" s="863" t="s">
        <v>167</v>
      </c>
      <c r="CW77" s="862" t="s">
        <v>168</v>
      </c>
      <c r="CX77" s="999"/>
      <c r="CY77" s="963"/>
      <c r="CZ77" s="963"/>
      <c r="DA77" s="963"/>
    </row>
    <row r="78" spans="1:105" ht="21.95" customHeight="1" x14ac:dyDescent="0.3">
      <c r="A78" s="1080" t="s">
        <v>1133</v>
      </c>
      <c r="B78" s="1530">
        <v>10.9</v>
      </c>
      <c r="C78" s="393">
        <v>0.06</v>
      </c>
      <c r="D78" s="399"/>
      <c r="E78" s="1595">
        <v>18.8</v>
      </c>
      <c r="F78" s="1596">
        <v>18.100000000000001</v>
      </c>
      <c r="G78" s="394">
        <v>17.600000000000001</v>
      </c>
      <c r="H78" s="400">
        <v>244</v>
      </c>
      <c r="I78" s="1069">
        <v>2</v>
      </c>
      <c r="J78" s="1070">
        <v>1</v>
      </c>
      <c r="K78" s="947">
        <v>0.06</v>
      </c>
      <c r="L78" s="953">
        <v>7.0000000000000007E-2</v>
      </c>
      <c r="M78" s="947"/>
      <c r="N78" s="948"/>
      <c r="O78" s="948"/>
      <c r="P78" s="948"/>
      <c r="Q78" s="948"/>
      <c r="R78" s="948"/>
      <c r="S78" s="948"/>
      <c r="T78" s="949">
        <v>0.06</v>
      </c>
      <c r="U78" s="735">
        <v>1.1000000000000001E-3</v>
      </c>
      <c r="V78" s="728">
        <v>5.9999999999999995E-4</v>
      </c>
      <c r="W78" s="1530"/>
      <c r="X78" s="393"/>
      <c r="Y78" s="394"/>
      <c r="Z78" s="1531"/>
      <c r="AA78" s="1532"/>
      <c r="AB78" s="400"/>
      <c r="AC78" s="1533"/>
      <c r="AD78" s="2056"/>
      <c r="AE78" s="2057"/>
      <c r="AF78" s="1534"/>
      <c r="AG78" s="399"/>
      <c r="AH78" s="12"/>
      <c r="AI78" s="1080" t="s">
        <v>1146</v>
      </c>
      <c r="AJ78" s="515">
        <v>8</v>
      </c>
      <c r="AK78" s="392">
        <v>0.06</v>
      </c>
      <c r="AL78" s="342"/>
      <c r="AM78" s="483">
        <v>16.3</v>
      </c>
      <c r="AN78" s="1596">
        <v>16.899999999999999</v>
      </c>
      <c r="AO78" s="347">
        <v>18.2</v>
      </c>
      <c r="AP78" s="513">
        <v>289</v>
      </c>
      <c r="AQ78" s="1506">
        <v>2</v>
      </c>
      <c r="AR78" s="1507">
        <v>2</v>
      </c>
      <c r="AS78" s="1508">
        <v>0.06</v>
      </c>
      <c r="AT78" s="1509">
        <v>0.06</v>
      </c>
      <c r="AU78" s="1508"/>
      <c r="AV78" s="1510"/>
      <c r="AW78" s="1510"/>
      <c r="AX78" s="1510"/>
      <c r="AY78" s="1510">
        <v>0.06</v>
      </c>
      <c r="AZ78" s="1510"/>
      <c r="BA78" s="1510"/>
      <c r="BB78" s="1511">
        <v>0.06</v>
      </c>
      <c r="BC78" s="735">
        <v>1.1000000000000001E-3</v>
      </c>
      <c r="BD78" s="728">
        <v>8.0000000000000004E-4</v>
      </c>
      <c r="BE78" s="515"/>
      <c r="BF78" s="392"/>
      <c r="BG78" s="347"/>
      <c r="BH78" s="516"/>
      <c r="BI78" s="517"/>
      <c r="BJ78" s="513"/>
      <c r="BK78" s="518"/>
      <c r="BL78" s="2250"/>
      <c r="BM78" s="2251"/>
      <c r="BN78" s="514"/>
      <c r="BO78" s="342"/>
      <c r="BP78" s="6"/>
      <c r="BR78" s="678">
        <f>ROUND(3.56/BR73*100,3)</f>
        <v>5.923</v>
      </c>
      <c r="BS78" s="679">
        <f>ROUND(BR78*106/BT73,3)</f>
        <v>7.5640000000000001</v>
      </c>
      <c r="BT78" s="679">
        <f>ROUND(BR78*106/BU73,3)</f>
        <v>6.5330000000000004</v>
      </c>
      <c r="BU78" s="679">
        <f>ROUND(BS78-BT78+BV73/(98.5-BV73)*168/106,3)</f>
        <v>1.3640000000000001</v>
      </c>
      <c r="CN78" s="864">
        <f>MIN(H57:H58)</f>
        <v>0</v>
      </c>
      <c r="CO78" s="865">
        <f>MAX(H57:H58)</f>
        <v>0</v>
      </c>
      <c r="CP78" s="865" t="e">
        <f>AVERAGE(H57:H58)</f>
        <v>#DIV/0!</v>
      </c>
      <c r="CQ78" s="865">
        <f>COUNT(H57:H58)</f>
        <v>0</v>
      </c>
      <c r="CR78" s="866">
        <f>COUNTIF(H57:H58,"&gt;0,5")</f>
        <v>0</v>
      </c>
      <c r="CS78" s="864">
        <f>MIN(I57:I58)</f>
        <v>0</v>
      </c>
      <c r="CT78" s="865">
        <f>MAX(I57:I58)</f>
        <v>0</v>
      </c>
      <c r="CU78" s="865" t="e">
        <f>AVERAGE(I57:I58)</f>
        <v>#DIV/0!</v>
      </c>
      <c r="CV78" s="865">
        <f>COUNT(I57:I58)</f>
        <v>0</v>
      </c>
      <c r="CW78" s="867">
        <f>COUNTIF(I57:I58,"&gt;0,5")</f>
        <v>0</v>
      </c>
      <c r="CX78" s="999"/>
      <c r="CY78" s="963"/>
      <c r="CZ78" s="963"/>
      <c r="DA78" s="963"/>
    </row>
    <row r="79" spans="1:105" ht="21.95" customHeight="1" thickBot="1" x14ac:dyDescent="0.35">
      <c r="A79" s="1081" t="s">
        <v>1134</v>
      </c>
      <c r="B79" s="404"/>
      <c r="C79" s="408"/>
      <c r="D79" s="403"/>
      <c r="E79" s="404"/>
      <c r="F79" s="405" t="s">
        <v>960</v>
      </c>
      <c r="G79" s="403"/>
      <c r="H79" s="406">
        <v>266</v>
      </c>
      <c r="I79" s="1069">
        <v>2</v>
      </c>
      <c r="J79" s="1070">
        <v>1</v>
      </c>
      <c r="K79" s="407"/>
      <c r="L79" s="408"/>
      <c r="M79" s="407"/>
      <c r="N79" s="408"/>
      <c r="O79" s="408"/>
      <c r="P79" s="408"/>
      <c r="Q79" s="408"/>
      <c r="R79" s="408"/>
      <c r="S79" s="408"/>
      <c r="T79" s="734"/>
      <c r="U79" s="736"/>
      <c r="V79" s="413"/>
      <c r="W79" s="404"/>
      <c r="X79" s="405"/>
      <c r="Y79" s="405"/>
      <c r="Z79" s="1535">
        <v>7</v>
      </c>
      <c r="AA79" s="1536">
        <v>80</v>
      </c>
      <c r="AB79" s="1615">
        <v>82</v>
      </c>
      <c r="AC79" s="1613">
        <v>70</v>
      </c>
      <c r="AD79" s="2051">
        <v>67</v>
      </c>
      <c r="AE79" s="2052"/>
      <c r="AF79" s="407"/>
      <c r="AG79" s="1616">
        <v>37.4</v>
      </c>
      <c r="AH79" s="12"/>
      <c r="AI79" s="1080" t="s">
        <v>1147</v>
      </c>
      <c r="AJ79" s="339"/>
      <c r="AK79" s="439"/>
      <c r="AL79" s="341"/>
      <c r="AM79" s="339"/>
      <c r="AN79" s="340" t="s">
        <v>960</v>
      </c>
      <c r="AO79" s="341"/>
      <c r="AP79" s="519">
        <v>292</v>
      </c>
      <c r="AQ79" s="1506">
        <v>2</v>
      </c>
      <c r="AR79" s="1507">
        <v>2</v>
      </c>
      <c r="AS79" s="437"/>
      <c r="AT79" s="340" t="s">
        <v>960</v>
      </c>
      <c r="AU79" s="437"/>
      <c r="AV79" s="439"/>
      <c r="AW79" s="439"/>
      <c r="AX79" s="439"/>
      <c r="AY79" s="340" t="s">
        <v>960</v>
      </c>
      <c r="AZ79" s="439"/>
      <c r="BA79" s="439"/>
      <c r="BB79" s="1512"/>
      <c r="BC79" s="736"/>
      <c r="BD79" s="413"/>
      <c r="BE79" s="339"/>
      <c r="BF79" s="340"/>
      <c r="BG79" s="340"/>
      <c r="BH79" s="520">
        <v>18</v>
      </c>
      <c r="BI79" s="521">
        <v>80</v>
      </c>
      <c r="BJ79" s="1615">
        <v>81</v>
      </c>
      <c r="BK79" s="1613">
        <v>68</v>
      </c>
      <c r="BL79" s="2051">
        <v>55</v>
      </c>
      <c r="BM79" s="2052"/>
      <c r="BN79" s="437"/>
      <c r="BO79" s="1616">
        <v>37</v>
      </c>
      <c r="BP79" s="6"/>
      <c r="BR79" s="678">
        <f>ROUND(3.56/BR74*100,3)</f>
        <v>5.3449999999999998</v>
      </c>
      <c r="BS79" s="679">
        <f>ROUND(BR79*106/BT74,3)</f>
        <v>6.431</v>
      </c>
      <c r="BT79" s="679">
        <f>ROUND(BR79*106/BU74,3)</f>
        <v>5.8410000000000002</v>
      </c>
      <c r="BU79" s="679">
        <f>ROUND(BS79-BT79+BV74/(98.5-BV74)*168/106,3)</f>
        <v>0.89500000000000002</v>
      </c>
      <c r="CN79" s="868">
        <f>MIN(AP57:AP58)</f>
        <v>0</v>
      </c>
      <c r="CO79" s="869">
        <f>MAX(AP57:AP58)</f>
        <v>0</v>
      </c>
      <c r="CP79" s="869" t="e">
        <f>AVERAGE(AP57:AP58)</f>
        <v>#DIV/0!</v>
      </c>
      <c r="CQ79" s="870">
        <f>COUNT(AP57:AP58)</f>
        <v>0</v>
      </c>
      <c r="CR79" s="1453">
        <f>COUNTIF(AP57:AP58,"&gt;0,5")</f>
        <v>0</v>
      </c>
      <c r="CS79" s="868">
        <f>MIN(AQ57:AQ58)</f>
        <v>0.3</v>
      </c>
      <c r="CT79" s="869">
        <f>MAX(AQ57:AQ58)</f>
        <v>0.3</v>
      </c>
      <c r="CU79" s="869">
        <f>AVERAGE(AQ57:AQ58)</f>
        <v>0.3</v>
      </c>
      <c r="CV79" s="870">
        <f>COUNT(AQ57:AQ58)</f>
        <v>1</v>
      </c>
      <c r="CW79" s="1453">
        <f>COUNTIF(AQ57:AQ58,"&gt;0,5")</f>
        <v>0</v>
      </c>
      <c r="CX79" s="999"/>
      <c r="CY79" s="963"/>
      <c r="CZ79" s="963"/>
      <c r="DA79" s="963"/>
    </row>
    <row r="80" spans="1:105" ht="21.95" customHeight="1" x14ac:dyDescent="0.3">
      <c r="A80" s="1080" t="s">
        <v>1135</v>
      </c>
      <c r="B80" s="404"/>
      <c r="C80" s="396"/>
      <c r="D80" s="403"/>
      <c r="E80" s="404"/>
      <c r="F80" s="405" t="s">
        <v>960</v>
      </c>
      <c r="G80" s="403"/>
      <c r="H80" s="406">
        <v>333</v>
      </c>
      <c r="I80" s="1069">
        <v>2</v>
      </c>
      <c r="J80" s="1070">
        <v>1</v>
      </c>
      <c r="K80" s="407"/>
      <c r="L80" s="409"/>
      <c r="M80" s="407"/>
      <c r="N80" s="408"/>
      <c r="O80" s="408"/>
      <c r="P80" s="408"/>
      <c r="Q80" s="408"/>
      <c r="R80" s="408"/>
      <c r="S80" s="408"/>
      <c r="T80" s="734"/>
      <c r="U80" s="736"/>
      <c r="V80" s="413"/>
      <c r="W80" s="1538"/>
      <c r="X80" s="396"/>
      <c r="Y80" s="396"/>
      <c r="Z80" s="1535"/>
      <c r="AA80" s="1536"/>
      <c r="AB80" s="406"/>
      <c r="AC80" s="1537"/>
      <c r="AD80" s="1764"/>
      <c r="AE80" s="1765"/>
      <c r="AF80" s="407"/>
      <c r="AG80" s="403"/>
      <c r="AH80" s="12"/>
      <c r="AI80" s="1080" t="s">
        <v>1148</v>
      </c>
      <c r="AJ80" s="356"/>
      <c r="AK80" s="228"/>
      <c r="AL80" s="403"/>
      <c r="AM80" s="404"/>
      <c r="AN80" s="405"/>
      <c r="AO80" s="403"/>
      <c r="AP80" s="406">
        <v>306</v>
      </c>
      <c r="AQ80" s="1506">
        <v>2</v>
      </c>
      <c r="AR80" s="1507">
        <v>2</v>
      </c>
      <c r="AS80" s="407">
        <v>0.06</v>
      </c>
      <c r="AT80" s="409">
        <v>0.06</v>
      </c>
      <c r="AU80" s="407"/>
      <c r="AV80" s="408"/>
      <c r="AW80" s="408"/>
      <c r="AX80" s="408"/>
      <c r="AY80" s="1617">
        <v>0.1</v>
      </c>
      <c r="AZ80" s="408"/>
      <c r="BA80" s="408"/>
      <c r="BB80" s="734">
        <v>0.06</v>
      </c>
      <c r="BC80" s="736"/>
      <c r="BD80" s="413"/>
      <c r="BE80" s="523"/>
      <c r="BF80" s="395"/>
      <c r="BG80" s="395"/>
      <c r="BH80" s="520"/>
      <c r="BI80" s="521"/>
      <c r="BJ80" s="519"/>
      <c r="BK80" s="522"/>
      <c r="BL80" s="2031"/>
      <c r="BM80" s="2032"/>
      <c r="BN80" s="437"/>
      <c r="BO80" s="341"/>
      <c r="BP80" s="6"/>
      <c r="CN80" s="157"/>
      <c r="CO80" s="157"/>
      <c r="CP80" s="157"/>
      <c r="CQ80" s="974"/>
      <c r="CR80" s="974"/>
      <c r="CS80" s="157"/>
      <c r="CT80" s="157"/>
      <c r="CU80" s="157"/>
      <c r="CV80" s="974"/>
      <c r="CW80" s="974"/>
      <c r="CX80" s="999"/>
      <c r="CY80" s="963"/>
      <c r="CZ80" s="963"/>
      <c r="DA80" s="963"/>
    </row>
    <row r="81" spans="1:106" ht="21.95" customHeight="1" x14ac:dyDescent="0.3">
      <c r="A81" s="1080" t="s">
        <v>1136</v>
      </c>
      <c r="B81" s="404"/>
      <c r="C81" s="396"/>
      <c r="D81" s="403"/>
      <c r="E81" s="404"/>
      <c r="F81" s="405" t="s">
        <v>960</v>
      </c>
      <c r="G81" s="403"/>
      <c r="H81" s="406">
        <v>333</v>
      </c>
      <c r="I81" s="1069">
        <v>2</v>
      </c>
      <c r="J81" s="1070">
        <v>1</v>
      </c>
      <c r="K81" s="407"/>
      <c r="L81" s="408"/>
      <c r="M81" s="407"/>
      <c r="N81" s="408"/>
      <c r="O81" s="408"/>
      <c r="P81" s="408"/>
      <c r="Q81" s="408"/>
      <c r="R81" s="408"/>
      <c r="S81" s="408"/>
      <c r="T81" s="734"/>
      <c r="U81" s="736"/>
      <c r="V81" s="413"/>
      <c r="W81" s="404"/>
      <c r="X81" s="405"/>
      <c r="Y81" s="396"/>
      <c r="Z81" s="1535"/>
      <c r="AA81" s="1536"/>
      <c r="AB81" s="406"/>
      <c r="AC81" s="1537"/>
      <c r="AD81" s="1764"/>
      <c r="AE81" s="1765"/>
      <c r="AF81" s="407"/>
      <c r="AG81" s="403"/>
      <c r="AH81" s="12"/>
      <c r="AI81" s="1080" t="s">
        <v>1149</v>
      </c>
      <c r="AJ81" s="356"/>
      <c r="AK81" s="228"/>
      <c r="AL81" s="403"/>
      <c r="AM81" s="404"/>
      <c r="AN81" s="340" t="s">
        <v>960</v>
      </c>
      <c r="AO81" s="403"/>
      <c r="AP81" s="406">
        <v>306</v>
      </c>
      <c r="AQ81" s="1506">
        <v>2</v>
      </c>
      <c r="AR81" s="1507">
        <v>2</v>
      </c>
      <c r="AS81" s="407"/>
      <c r="AT81" s="340" t="s">
        <v>960</v>
      </c>
      <c r="AU81" s="407"/>
      <c r="AV81" s="408"/>
      <c r="AW81" s="408"/>
      <c r="AX81" s="408"/>
      <c r="AY81" s="340" t="s">
        <v>960</v>
      </c>
      <c r="AZ81" s="408"/>
      <c r="BA81" s="408"/>
      <c r="BB81" s="734"/>
      <c r="BC81" s="736"/>
      <c r="BD81" s="413"/>
      <c r="BE81" s="339"/>
      <c r="BF81" s="340"/>
      <c r="BG81" s="395"/>
      <c r="BH81" s="520"/>
      <c r="BI81" s="521"/>
      <c r="BJ81" s="519"/>
      <c r="BK81" s="522"/>
      <c r="BL81" s="2031"/>
      <c r="BM81" s="2032"/>
      <c r="BN81" s="437"/>
      <c r="BO81" s="341"/>
      <c r="BP81" s="6"/>
      <c r="BR81" s="1395" t="s">
        <v>91</v>
      </c>
      <c r="BS81" s="1397" t="s">
        <v>769</v>
      </c>
      <c r="CX81" s="999"/>
      <c r="CY81" s="963"/>
      <c r="CZ81" s="963"/>
      <c r="DA81" s="963"/>
    </row>
    <row r="82" spans="1:106" ht="21.95" customHeight="1" x14ac:dyDescent="0.3">
      <c r="A82" s="1080" t="s">
        <v>1145</v>
      </c>
      <c r="B82" s="404"/>
      <c r="C82" s="396"/>
      <c r="D82" s="403"/>
      <c r="E82" s="1620">
        <v>17.2</v>
      </c>
      <c r="F82" s="405" t="s">
        <v>1684</v>
      </c>
      <c r="G82" s="1616">
        <v>19.2</v>
      </c>
      <c r="H82" s="406">
        <v>333</v>
      </c>
      <c r="I82" s="1069">
        <v>1</v>
      </c>
      <c r="J82" s="1070">
        <v>1</v>
      </c>
      <c r="K82" s="407">
        <v>7.0000000000000007E-2</v>
      </c>
      <c r="L82" s="409" t="s">
        <v>1684</v>
      </c>
      <c r="M82" s="407"/>
      <c r="N82" s="408"/>
      <c r="O82" s="408"/>
      <c r="P82" s="408"/>
      <c r="Q82" s="408"/>
      <c r="R82" s="408"/>
      <c r="S82" s="408"/>
      <c r="T82" s="734">
        <v>0.06</v>
      </c>
      <c r="U82" s="736"/>
      <c r="V82" s="413"/>
      <c r="W82" s="404"/>
      <c r="X82" s="405"/>
      <c r="Y82" s="396"/>
      <c r="Z82" s="1535"/>
      <c r="AA82" s="1536"/>
      <c r="AB82" s="406"/>
      <c r="AC82" s="1537"/>
      <c r="AD82" s="1764"/>
      <c r="AE82" s="1765"/>
      <c r="AF82" s="407"/>
      <c r="AG82" s="403"/>
      <c r="AH82" s="12"/>
      <c r="AI82" s="1080" t="s">
        <v>1150</v>
      </c>
      <c r="AJ82" s="356"/>
      <c r="AK82" s="228"/>
      <c r="AL82" s="403"/>
      <c r="AM82" s="404">
        <v>15.5</v>
      </c>
      <c r="AN82" s="405">
        <v>16.100000000000001</v>
      </c>
      <c r="AO82" s="403">
        <v>18.8</v>
      </c>
      <c r="AP82" s="406">
        <v>306</v>
      </c>
      <c r="AQ82" s="1506">
        <v>2</v>
      </c>
      <c r="AR82" s="1507">
        <v>2</v>
      </c>
      <c r="AS82" s="407">
        <v>7.0000000000000007E-2</v>
      </c>
      <c r="AT82" s="409">
        <v>0.06</v>
      </c>
      <c r="AU82" s="407"/>
      <c r="AV82" s="408"/>
      <c r="AW82" s="408"/>
      <c r="AX82" s="408"/>
      <c r="AY82" s="408">
        <v>0.06</v>
      </c>
      <c r="AZ82" s="408"/>
      <c r="BA82" s="408"/>
      <c r="BB82" s="734">
        <v>7.0000000000000007E-2</v>
      </c>
      <c r="BC82" s="736"/>
      <c r="BD82" s="413"/>
      <c r="BE82" s="339"/>
      <c r="BF82" s="340"/>
      <c r="BG82" s="395"/>
      <c r="BH82" s="520"/>
      <c r="BI82" s="521"/>
      <c r="BJ82" s="519"/>
      <c r="BK82" s="522"/>
      <c r="BL82" s="2031"/>
      <c r="BM82" s="2032"/>
      <c r="BN82" s="437"/>
      <c r="BO82" s="341"/>
      <c r="BP82" s="6"/>
      <c r="BR82" s="1395">
        <v>1</v>
      </c>
      <c r="BS82" s="1396">
        <v>104.1</v>
      </c>
      <c r="BT82" s="7"/>
      <c r="BU82" s="7"/>
      <c r="BV82" s="7"/>
      <c r="CX82" s="999"/>
      <c r="CY82" s="963"/>
      <c r="CZ82" s="963"/>
      <c r="DA82" s="963"/>
    </row>
    <row r="83" spans="1:106" ht="21.95" customHeight="1" x14ac:dyDescent="0.3">
      <c r="A83" s="1080" t="s">
        <v>1138</v>
      </c>
      <c r="B83" s="404"/>
      <c r="C83" s="396"/>
      <c r="D83" s="403"/>
      <c r="E83" s="404"/>
      <c r="F83" s="405" t="s">
        <v>960</v>
      </c>
      <c r="G83" s="403"/>
      <c r="H83" s="1615">
        <v>209</v>
      </c>
      <c r="I83" s="1069">
        <v>1</v>
      </c>
      <c r="J83" s="1070">
        <v>1</v>
      </c>
      <c r="K83" s="407"/>
      <c r="L83" s="408"/>
      <c r="M83" s="407"/>
      <c r="N83" s="408"/>
      <c r="O83" s="408"/>
      <c r="P83" s="408"/>
      <c r="Q83" s="408"/>
      <c r="R83" s="408"/>
      <c r="S83" s="408"/>
      <c r="T83" s="734"/>
      <c r="U83" s="736"/>
      <c r="V83" s="413"/>
      <c r="W83" s="404"/>
      <c r="X83" s="405"/>
      <c r="Y83" s="396"/>
      <c r="Z83" s="1535"/>
      <c r="AA83" s="1536"/>
      <c r="AB83" s="406"/>
      <c r="AC83" s="1537"/>
      <c r="AD83" s="1764"/>
      <c r="AE83" s="1765"/>
      <c r="AF83" s="407"/>
      <c r="AG83" s="403"/>
      <c r="AH83" s="12"/>
      <c r="AI83" s="1080" t="s">
        <v>1151</v>
      </c>
      <c r="AJ83" s="356"/>
      <c r="AK83" s="228"/>
      <c r="AL83" s="403"/>
      <c r="AM83" s="404"/>
      <c r="AN83" s="340" t="s">
        <v>960</v>
      </c>
      <c r="AO83" s="403"/>
      <c r="AP83" s="406">
        <v>308</v>
      </c>
      <c r="AQ83" s="1506">
        <v>2</v>
      </c>
      <c r="AR83" s="1507">
        <v>2</v>
      </c>
      <c r="AS83" s="407"/>
      <c r="AT83" s="340" t="s">
        <v>960</v>
      </c>
      <c r="AU83" s="407"/>
      <c r="AV83" s="408"/>
      <c r="AW83" s="408"/>
      <c r="AX83" s="408"/>
      <c r="AY83" s="340" t="s">
        <v>960</v>
      </c>
      <c r="AZ83" s="408"/>
      <c r="BA83" s="408"/>
      <c r="BB83" s="734"/>
      <c r="BC83" s="736"/>
      <c r="BD83" s="413"/>
      <c r="BE83" s="339"/>
      <c r="BF83" s="340"/>
      <c r="BG83" s="395"/>
      <c r="BH83" s="520"/>
      <c r="BI83" s="521"/>
      <c r="BJ83" s="519"/>
      <c r="BK83" s="522"/>
      <c r="BL83" s="2031"/>
      <c r="BM83" s="2032"/>
      <c r="BN83" s="437"/>
      <c r="BO83" s="341"/>
      <c r="BP83" s="6"/>
      <c r="BR83" s="1395">
        <v>2</v>
      </c>
      <c r="BS83" s="1396">
        <v>104.5</v>
      </c>
      <c r="BT83" s="7"/>
      <c r="BU83" s="7"/>
      <c r="BV83" s="7"/>
      <c r="CX83" s="999"/>
      <c r="CY83" s="963"/>
      <c r="CZ83" s="963"/>
      <c r="DA83" s="963"/>
    </row>
    <row r="84" spans="1:106" ht="21.95" customHeight="1" x14ac:dyDescent="0.4">
      <c r="A84" s="1080" t="s">
        <v>1139</v>
      </c>
      <c r="B84" s="404">
        <v>7.3</v>
      </c>
      <c r="C84" s="396">
        <v>0.06</v>
      </c>
      <c r="D84" s="403"/>
      <c r="E84" s="404">
        <v>14.5</v>
      </c>
      <c r="F84" s="405">
        <v>14.3</v>
      </c>
      <c r="G84" s="403">
        <v>18.8</v>
      </c>
      <c r="H84" s="406">
        <v>310</v>
      </c>
      <c r="I84" s="1069">
        <v>2</v>
      </c>
      <c r="J84" s="1070">
        <v>1</v>
      </c>
      <c r="K84" s="407">
        <v>0.06</v>
      </c>
      <c r="L84" s="409">
        <v>0.06</v>
      </c>
      <c r="M84" s="407"/>
      <c r="N84" s="408"/>
      <c r="O84" s="408"/>
      <c r="P84" s="408"/>
      <c r="Q84" s="408"/>
      <c r="R84" s="408"/>
      <c r="S84" s="408"/>
      <c r="T84" s="734">
        <v>0.06</v>
      </c>
      <c r="U84" s="736">
        <v>1.1999999999999999E-3</v>
      </c>
      <c r="V84" s="413">
        <v>8.9999999999999998E-4</v>
      </c>
      <c r="W84" s="404"/>
      <c r="X84" s="405"/>
      <c r="Y84" s="396"/>
      <c r="Z84" s="1535"/>
      <c r="AA84" s="1536"/>
      <c r="AB84" s="406"/>
      <c r="AC84" s="1537"/>
      <c r="AD84" s="1764"/>
      <c r="AE84" s="1765"/>
      <c r="AF84" s="407"/>
      <c r="AG84" s="403"/>
      <c r="AH84" s="12"/>
      <c r="AI84" s="1080" t="s">
        <v>1152</v>
      </c>
      <c r="AJ84" s="356">
        <v>12.4</v>
      </c>
      <c r="AK84" s="228">
        <v>0.06</v>
      </c>
      <c r="AL84" s="403"/>
      <c r="AM84" s="404">
        <v>15.2</v>
      </c>
      <c r="AN84" s="405">
        <v>14.4</v>
      </c>
      <c r="AO84" s="403">
        <v>18.2</v>
      </c>
      <c r="AP84" s="406">
        <v>308</v>
      </c>
      <c r="AQ84" s="1506">
        <v>2</v>
      </c>
      <c r="AR84" s="1507">
        <v>2</v>
      </c>
      <c r="AS84" s="407">
        <v>0.06</v>
      </c>
      <c r="AT84" s="409">
        <v>0.06</v>
      </c>
      <c r="AU84" s="407">
        <v>0.06</v>
      </c>
      <c r="AV84" s="408"/>
      <c r="AW84" s="408"/>
      <c r="AX84" s="408"/>
      <c r="AY84" s="408"/>
      <c r="AZ84" s="408"/>
      <c r="BA84" s="408"/>
      <c r="BB84" s="734"/>
      <c r="BC84" s="736">
        <v>8.0000000000000004E-4</v>
      </c>
      <c r="BD84" s="413">
        <v>5.0000000000000001E-4</v>
      </c>
      <c r="BE84" s="339"/>
      <c r="BF84" s="340"/>
      <c r="BG84" s="395"/>
      <c r="BH84" s="520"/>
      <c r="BI84" s="521"/>
      <c r="BJ84" s="519"/>
      <c r="BK84" s="1613">
        <v>71</v>
      </c>
      <c r="BL84" s="2051">
        <v>57</v>
      </c>
      <c r="BM84" s="2052"/>
      <c r="BN84" s="437"/>
      <c r="BO84" s="341"/>
      <c r="BP84" s="6"/>
      <c r="BS84" s="265"/>
      <c r="BV84" s="7"/>
      <c r="CX84" s="999"/>
      <c r="CY84" s="963"/>
      <c r="CZ84" s="963"/>
      <c r="DA84" s="963"/>
    </row>
    <row r="85" spans="1:106" ht="21.95" customHeight="1" thickBot="1" x14ac:dyDescent="0.35">
      <c r="A85" s="1080" t="s">
        <v>1140</v>
      </c>
      <c r="B85" s="404"/>
      <c r="C85" s="396"/>
      <c r="D85" s="403"/>
      <c r="E85" s="404"/>
      <c r="F85" s="405" t="s">
        <v>960</v>
      </c>
      <c r="G85" s="403"/>
      <c r="H85" s="406">
        <v>314</v>
      </c>
      <c r="I85" s="1069">
        <v>2</v>
      </c>
      <c r="J85" s="1070">
        <v>1</v>
      </c>
      <c r="K85" s="407"/>
      <c r="L85" s="408"/>
      <c r="M85" s="407"/>
      <c r="N85" s="408"/>
      <c r="O85" s="408"/>
      <c r="P85" s="408"/>
      <c r="Q85" s="408"/>
      <c r="R85" s="408"/>
      <c r="S85" s="408"/>
      <c r="T85" s="734"/>
      <c r="U85" s="736"/>
      <c r="V85" s="413"/>
      <c r="W85" s="404"/>
      <c r="X85" s="405"/>
      <c r="Y85" s="396"/>
      <c r="Z85" s="1535"/>
      <c r="AA85" s="1536"/>
      <c r="AB85" s="406"/>
      <c r="AC85" s="1613">
        <v>67</v>
      </c>
      <c r="AD85" s="1764" t="s">
        <v>1691</v>
      </c>
      <c r="AE85" s="1765"/>
      <c r="AF85" s="407"/>
      <c r="AG85" s="403"/>
      <c r="AH85" s="12"/>
      <c r="AI85" s="1080" t="s">
        <v>1153</v>
      </c>
      <c r="AJ85" s="356"/>
      <c r="AK85" s="228"/>
      <c r="AL85" s="403"/>
      <c r="AM85" s="404"/>
      <c r="AN85" s="340" t="s">
        <v>960</v>
      </c>
      <c r="AO85" s="403"/>
      <c r="AP85" s="406">
        <v>242</v>
      </c>
      <c r="AQ85" s="1506">
        <v>2</v>
      </c>
      <c r="AR85" s="1507">
        <v>2</v>
      </c>
      <c r="AS85" s="407"/>
      <c r="AT85" s="340" t="s">
        <v>960</v>
      </c>
      <c r="AU85" s="407"/>
      <c r="AV85" s="408"/>
      <c r="AW85" s="408"/>
      <c r="AX85" s="408"/>
      <c r="AY85" s="340" t="s">
        <v>960</v>
      </c>
      <c r="AZ85" s="408"/>
      <c r="BA85" s="408"/>
      <c r="BB85" s="734"/>
      <c r="BC85" s="736"/>
      <c r="BD85" s="413"/>
      <c r="BE85" s="339"/>
      <c r="BF85" s="340"/>
      <c r="BG85" s="395"/>
      <c r="BH85" s="520"/>
      <c r="BI85" s="521"/>
      <c r="BJ85" s="519"/>
      <c r="BK85" s="522"/>
      <c r="BL85" s="2031"/>
      <c r="BM85" s="2032"/>
      <c r="BN85" s="437"/>
      <c r="BO85" s="341"/>
      <c r="BP85" s="6"/>
      <c r="BR85" s="1394" t="s">
        <v>463</v>
      </c>
      <c r="BS85" s="1398">
        <v>104.2</v>
      </c>
      <c r="BV85" s="7"/>
      <c r="CX85" s="999"/>
      <c r="CY85" s="963"/>
      <c r="CZ85" s="963"/>
      <c r="DA85" s="963"/>
    </row>
    <row r="86" spans="1:106" ht="21.95" customHeight="1" thickBot="1" x14ac:dyDescent="0.35">
      <c r="A86" s="1080" t="s">
        <v>1141</v>
      </c>
      <c r="B86" s="404"/>
      <c r="C86" s="396"/>
      <c r="D86" s="403"/>
      <c r="E86" s="404">
        <v>15.5</v>
      </c>
      <c r="F86" s="405">
        <v>16.3</v>
      </c>
      <c r="G86" s="1616">
        <v>19.600000000000001</v>
      </c>
      <c r="H86" s="406">
        <v>321</v>
      </c>
      <c r="I86" s="1069">
        <v>2</v>
      </c>
      <c r="J86" s="1070">
        <v>1</v>
      </c>
      <c r="K86" s="407">
        <v>0.06</v>
      </c>
      <c r="L86" s="409">
        <v>0.06</v>
      </c>
      <c r="M86" s="407"/>
      <c r="N86" s="408"/>
      <c r="O86" s="408"/>
      <c r="P86" s="408"/>
      <c r="Q86" s="408"/>
      <c r="R86" s="408"/>
      <c r="S86" s="408"/>
      <c r="T86" s="734">
        <v>0.06</v>
      </c>
      <c r="U86" s="736"/>
      <c r="V86" s="413"/>
      <c r="W86" s="404"/>
      <c r="X86" s="405"/>
      <c r="Y86" s="405"/>
      <c r="Z86" s="1535"/>
      <c r="AA86" s="1536"/>
      <c r="AB86" s="406"/>
      <c r="AC86" s="1537"/>
      <c r="AD86" s="1764"/>
      <c r="AE86" s="1765"/>
      <c r="AF86" s="407"/>
      <c r="AG86" s="403"/>
      <c r="AH86" s="12"/>
      <c r="AI86" s="1080" t="s">
        <v>1154</v>
      </c>
      <c r="AJ86" s="356"/>
      <c r="AK86" s="228"/>
      <c r="AL86" s="403"/>
      <c r="AM86" s="404"/>
      <c r="AN86" s="405"/>
      <c r="AO86" s="403"/>
      <c r="AP86" s="406">
        <v>325</v>
      </c>
      <c r="AQ86" s="1506">
        <v>2</v>
      </c>
      <c r="AR86" s="1507">
        <v>2</v>
      </c>
      <c r="AS86" s="407">
        <v>0.06</v>
      </c>
      <c r="AT86" s="409">
        <v>7.0000000000000007E-2</v>
      </c>
      <c r="AU86" s="407"/>
      <c r="AV86" s="408"/>
      <c r="AW86" s="408"/>
      <c r="AX86" s="408"/>
      <c r="AY86" s="408">
        <v>0.06</v>
      </c>
      <c r="AZ86" s="408"/>
      <c r="BA86" s="408"/>
      <c r="BB86" s="734">
        <v>0.06</v>
      </c>
      <c r="BC86" s="736"/>
      <c r="BD86" s="413"/>
      <c r="BE86" s="339"/>
      <c r="BF86" s="340"/>
      <c r="BG86" s="340"/>
      <c r="BH86" s="520"/>
      <c r="BI86" s="521"/>
      <c r="BJ86" s="519"/>
      <c r="BK86" s="522"/>
      <c r="BL86" s="2031"/>
      <c r="BM86" s="2032"/>
      <c r="BN86" s="437"/>
      <c r="BO86" s="341"/>
      <c r="BP86" s="6"/>
      <c r="BR86" s="1394" t="s">
        <v>393</v>
      </c>
      <c r="BS86" s="1398">
        <v>106</v>
      </c>
      <c r="CX86" s="871" t="s">
        <v>43</v>
      </c>
      <c r="CY86" s="983"/>
      <c r="CZ86" s="963"/>
      <c r="DA86" s="963"/>
    </row>
    <row r="87" spans="1:106" ht="21.95" customHeight="1" x14ac:dyDescent="0.3">
      <c r="A87" s="1080" t="s">
        <v>1142</v>
      </c>
      <c r="B87" s="404"/>
      <c r="C87" s="396"/>
      <c r="D87" s="403"/>
      <c r="E87" s="404"/>
      <c r="F87" s="405" t="s">
        <v>960</v>
      </c>
      <c r="G87" s="403"/>
      <c r="H87" s="406">
        <v>319</v>
      </c>
      <c r="I87" s="1069">
        <v>2</v>
      </c>
      <c r="J87" s="1070">
        <v>1</v>
      </c>
      <c r="K87" s="407"/>
      <c r="L87" s="408"/>
      <c r="M87" s="407"/>
      <c r="N87" s="408"/>
      <c r="O87" s="408"/>
      <c r="P87" s="408"/>
      <c r="Q87" s="408"/>
      <c r="R87" s="408"/>
      <c r="S87" s="408"/>
      <c r="T87" s="734"/>
      <c r="U87" s="736"/>
      <c r="V87" s="413"/>
      <c r="W87" s="1538"/>
      <c r="X87" s="405"/>
      <c r="Y87" s="405"/>
      <c r="Z87" s="1535"/>
      <c r="AA87" s="1536"/>
      <c r="AB87" s="406"/>
      <c r="AC87" s="1537"/>
      <c r="AD87" s="1764"/>
      <c r="AE87" s="1765"/>
      <c r="AF87" s="407"/>
      <c r="AG87" s="403"/>
      <c r="AH87" s="12"/>
      <c r="AI87" s="1080" t="s">
        <v>1155</v>
      </c>
      <c r="AJ87" s="356"/>
      <c r="AK87" s="228"/>
      <c r="AL87" s="403"/>
      <c r="AM87" s="404"/>
      <c r="AN87" s="340" t="s">
        <v>960</v>
      </c>
      <c r="AO87" s="403"/>
      <c r="AP87" s="406">
        <v>320</v>
      </c>
      <c r="AQ87" s="1506">
        <v>2</v>
      </c>
      <c r="AR87" s="1507">
        <v>2</v>
      </c>
      <c r="AS87" s="407"/>
      <c r="AT87" s="340" t="s">
        <v>960</v>
      </c>
      <c r="AU87" s="407"/>
      <c r="AV87" s="408"/>
      <c r="AW87" s="408"/>
      <c r="AX87" s="408"/>
      <c r="AY87" s="340" t="s">
        <v>960</v>
      </c>
      <c r="AZ87" s="408"/>
      <c r="BA87" s="408"/>
      <c r="BB87" s="734"/>
      <c r="BC87" s="736"/>
      <c r="BD87" s="413"/>
      <c r="BE87" s="523"/>
      <c r="BF87" s="340"/>
      <c r="BG87" s="340"/>
      <c r="BH87" s="520"/>
      <c r="BI87" s="521"/>
      <c r="BJ87" s="519"/>
      <c r="BK87" s="522"/>
      <c r="BL87" s="2031"/>
      <c r="BM87" s="2032"/>
      <c r="BN87" s="437"/>
      <c r="BO87" s="341"/>
      <c r="BP87" s="6"/>
      <c r="CX87" s="1000" t="s">
        <v>997</v>
      </c>
      <c r="CY87" s="984"/>
      <c r="CZ87" s="963"/>
      <c r="DA87" s="872">
        <f t="shared" ref="DA87:DA96" si="16">AVERAGE(AK111:AZ111)</f>
        <v>153.88888888888889</v>
      </c>
    </row>
    <row r="88" spans="1:106" ht="21.95" customHeight="1" x14ac:dyDescent="0.3">
      <c r="A88" s="1080" t="s">
        <v>1143</v>
      </c>
      <c r="B88" s="414"/>
      <c r="C88" s="415"/>
      <c r="D88" s="403"/>
      <c r="E88" s="1620">
        <v>19.2</v>
      </c>
      <c r="F88" s="1614">
        <v>19.8</v>
      </c>
      <c r="G88" s="1616">
        <v>20.2</v>
      </c>
      <c r="H88" s="406">
        <v>333</v>
      </c>
      <c r="I88" s="1069">
        <v>2</v>
      </c>
      <c r="J88" s="1070">
        <v>1</v>
      </c>
      <c r="K88" s="407">
        <v>0.06</v>
      </c>
      <c r="L88" s="409">
        <v>0.06</v>
      </c>
      <c r="M88" s="407"/>
      <c r="N88" s="408"/>
      <c r="O88" s="408"/>
      <c r="P88" s="408"/>
      <c r="Q88" s="408"/>
      <c r="R88" s="408"/>
      <c r="S88" s="408"/>
      <c r="T88" s="734">
        <v>0.06</v>
      </c>
      <c r="U88" s="736"/>
      <c r="V88" s="413"/>
      <c r="W88" s="1538"/>
      <c r="X88" s="396"/>
      <c r="Y88" s="396"/>
      <c r="Z88" s="1535"/>
      <c r="AA88" s="1536"/>
      <c r="AB88" s="406"/>
      <c r="AC88" s="1537"/>
      <c r="AD88" s="1764"/>
      <c r="AE88" s="1765"/>
      <c r="AF88" s="407"/>
      <c r="AG88" s="403"/>
      <c r="AH88" s="12"/>
      <c r="AI88" s="1080" t="s">
        <v>1156</v>
      </c>
      <c r="AJ88" s="414"/>
      <c r="AK88" s="415"/>
      <c r="AL88" s="403"/>
      <c r="AM88" s="404">
        <v>16.8</v>
      </c>
      <c r="AN88" s="405">
        <v>16.100000000000001</v>
      </c>
      <c r="AO88" s="403">
        <v>18.2</v>
      </c>
      <c r="AP88" s="406">
        <v>306</v>
      </c>
      <c r="AQ88" s="1506">
        <v>2</v>
      </c>
      <c r="AR88" s="1507">
        <v>2</v>
      </c>
      <c r="AS88" s="407">
        <v>7.0000000000000007E-2</v>
      </c>
      <c r="AT88" s="409">
        <v>7.0000000000000007E-2</v>
      </c>
      <c r="AU88" s="407">
        <v>7.0000000000000007E-2</v>
      </c>
      <c r="AV88" s="408"/>
      <c r="AW88" s="408"/>
      <c r="AX88" s="408"/>
      <c r="AY88" s="408"/>
      <c r="AZ88" s="408"/>
      <c r="BA88" s="408"/>
      <c r="BB88" s="734"/>
      <c r="BC88" s="736"/>
      <c r="BD88" s="413"/>
      <c r="BE88" s="523"/>
      <c r="BF88" s="395"/>
      <c r="BG88" s="395"/>
      <c r="BH88" s="520"/>
      <c r="BI88" s="521"/>
      <c r="BJ88" s="519"/>
      <c r="BK88" s="522"/>
      <c r="BL88" s="2031"/>
      <c r="BM88" s="2032"/>
      <c r="BN88" s="437"/>
      <c r="BO88" s="341"/>
      <c r="BP88" s="6"/>
      <c r="CX88" s="873" t="s">
        <v>272</v>
      </c>
      <c r="CY88" s="874"/>
      <c r="CZ88" s="963"/>
      <c r="DA88" s="872">
        <f t="shared" si="16"/>
        <v>94.777777777777771</v>
      </c>
    </row>
    <row r="89" spans="1:106" ht="21.95" customHeight="1" thickBot="1" x14ac:dyDescent="0.35">
      <c r="A89" s="1080" t="s">
        <v>1144</v>
      </c>
      <c r="B89" s="414"/>
      <c r="C89" s="415"/>
      <c r="D89" s="416"/>
      <c r="E89" s="850"/>
      <c r="F89" s="405" t="s">
        <v>960</v>
      </c>
      <c r="G89" s="1514"/>
      <c r="H89" s="417">
        <v>323</v>
      </c>
      <c r="I89" s="1069">
        <v>2</v>
      </c>
      <c r="J89" s="1070">
        <v>2</v>
      </c>
      <c r="K89" s="950"/>
      <c r="L89" s="951"/>
      <c r="M89" s="950"/>
      <c r="N89" s="951"/>
      <c r="O89" s="951"/>
      <c r="P89" s="951"/>
      <c r="Q89" s="951"/>
      <c r="R89" s="951"/>
      <c r="S89" s="951"/>
      <c r="T89" s="952"/>
      <c r="U89" s="727"/>
      <c r="V89" s="418"/>
      <c r="W89" s="1539"/>
      <c r="X89" s="1540"/>
      <c r="Y89" s="1540"/>
      <c r="Z89" s="1541"/>
      <c r="AA89" s="1542"/>
      <c r="AB89" s="1543"/>
      <c r="AC89" s="1543"/>
      <c r="AD89" s="1820"/>
      <c r="AE89" s="1821"/>
      <c r="AF89" s="1544"/>
      <c r="AG89" s="1514"/>
      <c r="AH89" s="12"/>
      <c r="AI89" s="1080" t="s">
        <v>1157</v>
      </c>
      <c r="AJ89" s="414"/>
      <c r="AK89" s="415"/>
      <c r="AL89" s="524"/>
      <c r="AM89" s="850"/>
      <c r="AN89" s="340" t="s">
        <v>960</v>
      </c>
      <c r="AO89" s="967"/>
      <c r="AP89" s="406">
        <v>307</v>
      </c>
      <c r="AQ89" s="1506">
        <v>2</v>
      </c>
      <c r="AR89" s="1507">
        <v>2</v>
      </c>
      <c r="AS89" s="950"/>
      <c r="AT89" s="340" t="s">
        <v>960</v>
      </c>
      <c r="AU89" s="950"/>
      <c r="AV89" s="951"/>
      <c r="AW89" s="951"/>
      <c r="AX89" s="951"/>
      <c r="AY89" s="340" t="s">
        <v>960</v>
      </c>
      <c r="AZ89" s="951"/>
      <c r="BA89" s="951"/>
      <c r="BB89" s="952"/>
      <c r="BC89" s="727"/>
      <c r="BD89" s="418"/>
      <c r="BE89" s="526"/>
      <c r="BF89" s="527"/>
      <c r="BG89" s="527"/>
      <c r="BH89" s="528"/>
      <c r="BI89" s="529"/>
      <c r="BJ89" s="530"/>
      <c r="BK89" s="530"/>
      <c r="BL89" s="2036"/>
      <c r="BM89" s="2037"/>
      <c r="BN89" s="445"/>
      <c r="BO89" s="525"/>
      <c r="BP89" s="6"/>
      <c r="BZ89" s="963"/>
      <c r="CX89" s="985" t="s">
        <v>8</v>
      </c>
      <c r="CY89" s="976"/>
      <c r="CZ89" s="963"/>
      <c r="DA89" s="872">
        <f t="shared" si="16"/>
        <v>-1</v>
      </c>
    </row>
    <row r="90" spans="1:106" ht="21.95" customHeight="1" thickBot="1" x14ac:dyDescent="0.35">
      <c r="A90" s="42" t="s">
        <v>28</v>
      </c>
      <c r="B90" s="420">
        <f>ROUND(AVERAGE(B78:B89),1)</f>
        <v>9.1</v>
      </c>
      <c r="C90" s="388">
        <f>ROUND(AVERAGE(C78:C89),2)</f>
        <v>0.06</v>
      </c>
      <c r="D90" s="421">
        <v>12</v>
      </c>
      <c r="E90" s="420">
        <f>ROUND(AVERAGE(E78:E89),1)</f>
        <v>17</v>
      </c>
      <c r="F90" s="420">
        <f>ROUND(AVERAGE(F78:F89),1)</f>
        <v>17.100000000000001</v>
      </c>
      <c r="G90" s="420">
        <f>ROUND(AVERAGE(G78:G89),1)</f>
        <v>19.100000000000001</v>
      </c>
      <c r="H90" s="309">
        <f>ROUND(AVERAGE(H78:H89),)</f>
        <v>303</v>
      </c>
      <c r="I90" s="420">
        <f>ROUND(AVERAGE(I78:I89),1)</f>
        <v>1.8</v>
      </c>
      <c r="J90" s="972">
        <f>ROUND(AVERAGE(J78:J89),1)</f>
        <v>1.1000000000000001</v>
      </c>
      <c r="K90" s="1576">
        <f>COUNT(K78:L89)</f>
        <v>9</v>
      </c>
      <c r="L90" s="944">
        <f>ROUND(AVERAGE(K78:L89),2)</f>
        <v>0.06</v>
      </c>
      <c r="M90" s="943">
        <f>COUNT(M78:T89)</f>
        <v>5</v>
      </c>
      <c r="N90" s="944">
        <f>ROUND(AVERAGE(M78:T89),2)</f>
        <v>0.06</v>
      </c>
      <c r="O90" s="379"/>
      <c r="P90" s="374"/>
      <c r="Q90" s="979" t="s">
        <v>80</v>
      </c>
      <c r="R90" s="945">
        <f>ROUND((((F91*6.5)/(I91/I90))+((G90*J90)/COUNT(H78:H89)))/(6.5/(I91/I90)+(J90/COUNT(H78:H89))),1)</f>
        <v>17.3</v>
      </c>
      <c r="S90" s="423"/>
      <c r="T90" s="946"/>
      <c r="U90" s="1837">
        <f>ROUND(AVERAGE(U78:V89),4)</f>
        <v>1E-3</v>
      </c>
      <c r="V90" s="1838"/>
      <c r="W90" s="978"/>
      <c r="X90" s="420" t="e">
        <f>ROUND(AVERAGE(W78:Y89),1)</f>
        <v>#DIV/0!</v>
      </c>
      <c r="Y90" s="858"/>
      <c r="Z90" s="420">
        <f>AVERAGE(Z78:Z89)</f>
        <v>7</v>
      </c>
      <c r="AA90" s="424">
        <f>ROUND(AVERAGE(AA78:AA89),1)</f>
        <v>80</v>
      </c>
      <c r="AB90" s="420">
        <f>ROUND(AVERAGE(AB78:AB89),1)</f>
        <v>82</v>
      </c>
      <c r="AC90" s="420">
        <f>ROUND(AVERAGE(AC78:AC89),1)</f>
        <v>68.5</v>
      </c>
      <c r="AD90" s="1681">
        <f>ROUND(AVERAGE(AD78:AE89),1)</f>
        <v>67</v>
      </c>
      <c r="AE90" s="1682"/>
      <c r="AF90" s="425" t="e">
        <f>ROUND(AVERAGE(AF78:AF89),2)</f>
        <v>#DIV/0!</v>
      </c>
      <c r="AG90" s="420">
        <f>ROUND(AVERAGE(AG78:AG89),1)</f>
        <v>37.4</v>
      </c>
      <c r="AH90" s="12"/>
      <c r="AI90" s="34" t="s">
        <v>28</v>
      </c>
      <c r="AJ90" s="420">
        <f>ROUND(AVERAGE(AJ78:AJ89),1)</f>
        <v>10.199999999999999</v>
      </c>
      <c r="AK90" s="388">
        <f>ROUND(AVERAGE(AK78:AK89),2)</f>
        <v>0.06</v>
      </c>
      <c r="AL90" s="381">
        <v>13.3</v>
      </c>
      <c r="AM90" s="420">
        <f>ROUND(AVERAGE(AM78:AM89),1)</f>
        <v>16</v>
      </c>
      <c r="AN90" s="420">
        <f>ROUND(AVERAGE(AN78:AN89),1)</f>
        <v>15.9</v>
      </c>
      <c r="AO90" s="420">
        <f>ROUND(AVERAGE(AO78:AO89),1)</f>
        <v>18.399999999999999</v>
      </c>
      <c r="AP90" s="309">
        <f>ROUND(AVERAGE(AP78:AP89),)</f>
        <v>301</v>
      </c>
      <c r="AQ90" s="420">
        <f>ROUND(AVERAGE(AQ78:AQ89),1)</f>
        <v>2</v>
      </c>
      <c r="AR90" s="972">
        <f>ROUND(AVERAGE(AR78:AR89),1)</f>
        <v>2</v>
      </c>
      <c r="AS90" s="730">
        <f>COUNT(AS78:AT89)</f>
        <v>12</v>
      </c>
      <c r="AT90" s="729">
        <f>ROUND(AVERAGE(AS78:AT89),2)</f>
        <v>0.06</v>
      </c>
      <c r="AU90" s="943">
        <f>COUNT(AU78:BB89)</f>
        <v>10</v>
      </c>
      <c r="AV90" s="944">
        <f>ROUND(AVERAGE(AU78:BB89),2)</f>
        <v>7.0000000000000007E-2</v>
      </c>
      <c r="AW90" s="379"/>
      <c r="AX90" s="374"/>
      <c r="AY90" s="979" t="s">
        <v>80</v>
      </c>
      <c r="AZ90" s="945">
        <f>ROUND((((AN91*6.5)/(AQ91/AQ90))+((AO90*AR90)/COUNT(AP78:AP89)))/(6.5/(AQ91/AQ90)+(AR90/COUNT(AP78:AP89))),1)</f>
        <v>16.2</v>
      </c>
      <c r="BA90" s="423"/>
      <c r="BB90" s="946"/>
      <c r="BC90" s="1837">
        <f>ROUND(AVERAGE(BC78:BD89),4)</f>
        <v>8.0000000000000004E-4</v>
      </c>
      <c r="BD90" s="1838"/>
      <c r="BE90" s="978"/>
      <c r="BF90" s="420" t="e">
        <f>ROUND(AVERAGE(BE78:BG89),1)</f>
        <v>#DIV/0!</v>
      </c>
      <c r="BG90" s="858"/>
      <c r="BH90" s="420">
        <f>AVERAGE(BH78:BH89)</f>
        <v>18</v>
      </c>
      <c r="BI90" s="424">
        <f>ROUND(AVERAGE(BI78:BI89),1)</f>
        <v>80</v>
      </c>
      <c r="BJ90" s="420">
        <f>ROUND(AVERAGE(BJ78:BJ89),1)</f>
        <v>81</v>
      </c>
      <c r="BK90" s="420">
        <f>ROUND(AVERAGE(BK78:BK89),1)</f>
        <v>69.5</v>
      </c>
      <c r="BL90" s="1681">
        <f>ROUND(AVERAGE(BL78:BM89),1)</f>
        <v>56</v>
      </c>
      <c r="BM90" s="1682"/>
      <c r="BN90" s="425" t="e">
        <f>ROUND(AVERAGE(BN78:BN89),2)</f>
        <v>#DIV/0!</v>
      </c>
      <c r="BO90" s="420">
        <f>ROUND(AVERAGE(BO78:BO89),1)</f>
        <v>37</v>
      </c>
      <c r="BP90" s="6"/>
      <c r="BZ90" s="2"/>
      <c r="CX90" s="985" t="s">
        <v>998</v>
      </c>
      <c r="CY90" s="976"/>
      <c r="CZ90" s="963"/>
      <c r="DA90" s="872" t="e">
        <f t="shared" si="16"/>
        <v>#DIV/0!</v>
      </c>
      <c r="DB90" s="875">
        <f>COUNT(#REF!)</f>
        <v>0</v>
      </c>
    </row>
    <row r="91" spans="1:106" ht="16.5" customHeight="1" x14ac:dyDescent="0.3">
      <c r="A91" s="122"/>
      <c r="B91" s="963"/>
      <c r="C91" s="963"/>
      <c r="D91" s="426"/>
      <c r="E91" s="427">
        <f>COUNT(E78:F89)</f>
        <v>9</v>
      </c>
      <c r="F91" s="1055">
        <f>ROUND(AVERAGE(E78:F89),1)</f>
        <v>17.100000000000001</v>
      </c>
      <c r="G91" s="428">
        <f>COUNT(G78:G89)</f>
        <v>5</v>
      </c>
      <c r="H91" s="963"/>
      <c r="I91" s="731">
        <f>COUNT(I78:I89)</f>
        <v>12</v>
      </c>
      <c r="J91" s="733"/>
      <c r="K91" s="733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3"/>
      <c r="AK91" s="963"/>
      <c r="AL91" s="426"/>
      <c r="AM91" s="427">
        <f>COUNT(AM78:AN89)</f>
        <v>8</v>
      </c>
      <c r="AN91" s="1055">
        <f>ROUND(AVERAGE(AM78:AN89),1)</f>
        <v>15.9</v>
      </c>
      <c r="AO91" s="428">
        <f>COUNT(AO78:AO89)</f>
        <v>4</v>
      </c>
      <c r="AP91" s="963"/>
      <c r="AQ91" s="731">
        <f>COUNT(AQ78:AQ89)</f>
        <v>12</v>
      </c>
      <c r="AR91" s="733"/>
      <c r="AS91" s="733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5"/>
      <c r="CY91" s="876" t="s">
        <v>783</v>
      </c>
      <c r="CZ91" s="963"/>
      <c r="DA91" s="872">
        <f t="shared" si="16"/>
        <v>386.22222222222223</v>
      </c>
      <c r="DB91" s="875">
        <f>COUNT(#REF!)</f>
        <v>0</v>
      </c>
    </row>
    <row r="92" spans="1:106" ht="21.95" customHeight="1" thickBot="1" x14ac:dyDescent="0.4">
      <c r="A92" s="1816" t="s">
        <v>418</v>
      </c>
      <c r="B92" s="1816"/>
      <c r="C92" s="1816"/>
      <c r="D92" s="1816"/>
      <c r="E92" s="1816"/>
      <c r="F92" s="1816"/>
      <c r="G92" s="1816"/>
      <c r="H92" s="1816"/>
      <c r="I92" s="1816"/>
      <c r="J92" s="1816"/>
      <c r="K92" s="1816"/>
      <c r="L92" s="1816"/>
      <c r="M92" s="1816"/>
      <c r="N92" s="1816"/>
      <c r="O92" s="1816"/>
      <c r="P92" s="1816"/>
      <c r="Q92" s="1816"/>
      <c r="R92" s="1816"/>
      <c r="S92" s="1816"/>
      <c r="T92" s="1759"/>
      <c r="U92" s="1759"/>
      <c r="V92" s="1759"/>
      <c r="W92" s="1759"/>
      <c r="X92" s="1759"/>
      <c r="Y92" s="1759"/>
      <c r="Z92" s="1759"/>
      <c r="AA92" s="1759"/>
      <c r="AB92" s="1759"/>
      <c r="AC92" s="1759"/>
      <c r="AD92" s="1759"/>
      <c r="AE92" s="98"/>
      <c r="AF92" s="98"/>
      <c r="AG92" s="122"/>
      <c r="AH92" s="12"/>
      <c r="AI92" s="2017" t="s">
        <v>418</v>
      </c>
      <c r="AJ92" s="2017"/>
      <c r="AK92" s="2017"/>
      <c r="AL92" s="2017"/>
      <c r="AM92" s="2017"/>
      <c r="AN92" s="2017"/>
      <c r="AO92" s="2017"/>
      <c r="AP92" s="2017"/>
      <c r="AQ92" s="2017"/>
      <c r="AR92" s="2017"/>
      <c r="AS92" s="2017"/>
      <c r="AT92" s="2017"/>
      <c r="AU92" s="2017"/>
      <c r="AV92" s="2017"/>
      <c r="AW92" s="2017"/>
      <c r="AX92" s="2017"/>
      <c r="AY92" s="2017"/>
      <c r="AZ92" s="2017"/>
      <c r="BA92" s="2017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5" t="s">
        <v>999</v>
      </c>
      <c r="CY92" s="976"/>
      <c r="CZ92" s="963"/>
      <c r="DA92" s="872" t="e">
        <f t="shared" si="16"/>
        <v>#DIV/0!</v>
      </c>
      <c r="DB92" s="875">
        <f>COUNT(#REF!,AJ114:AY114,BS114:CH114)</f>
        <v>0</v>
      </c>
    </row>
    <row r="93" spans="1:106" ht="26.25" customHeight="1" thickBot="1" x14ac:dyDescent="0.35">
      <c r="A93" s="760"/>
      <c r="B93" s="1700" t="s">
        <v>174</v>
      </c>
      <c r="C93" s="1701"/>
      <c r="D93" s="1701"/>
      <c r="E93" s="1701"/>
      <c r="F93" s="1700" t="s">
        <v>161</v>
      </c>
      <c r="G93" s="1701"/>
      <c r="H93" s="1701"/>
      <c r="I93" s="1702"/>
      <c r="J93" s="1700" t="s">
        <v>349</v>
      </c>
      <c r="K93" s="1701"/>
      <c r="L93" s="1701"/>
      <c r="M93" s="1702"/>
      <c r="N93" s="1700" t="s">
        <v>750</v>
      </c>
      <c r="O93" s="1701"/>
      <c r="P93" s="1701"/>
      <c r="Q93" s="1702"/>
      <c r="R93" s="1700" t="s">
        <v>162</v>
      </c>
      <c r="S93" s="1701"/>
      <c r="T93" s="1701"/>
      <c r="U93" s="1702"/>
      <c r="V93" s="1700" t="s">
        <v>407</v>
      </c>
      <c r="W93" s="1701"/>
      <c r="X93" s="1701"/>
      <c r="Y93" s="1702"/>
      <c r="Z93" s="1703" t="s">
        <v>57</v>
      </c>
      <c r="AA93" s="1704"/>
      <c r="AB93" s="1704"/>
      <c r="AC93" s="1705"/>
      <c r="AD93" s="1871" t="s">
        <v>39</v>
      </c>
      <c r="AE93" s="1872"/>
      <c r="AF93" s="1872"/>
      <c r="AG93" s="1873"/>
      <c r="AH93" s="16"/>
      <c r="AI93" s="760"/>
      <c r="AJ93" s="1700" t="s">
        <v>174</v>
      </c>
      <c r="AK93" s="1701"/>
      <c r="AL93" s="1701"/>
      <c r="AM93" s="1701"/>
      <c r="AN93" s="1700" t="s">
        <v>161</v>
      </c>
      <c r="AO93" s="1701"/>
      <c r="AP93" s="1701"/>
      <c r="AQ93" s="1702"/>
      <c r="AR93" s="1700" t="s">
        <v>349</v>
      </c>
      <c r="AS93" s="1701"/>
      <c r="AT93" s="1701"/>
      <c r="AU93" s="1702"/>
      <c r="AV93" s="1700" t="s">
        <v>750</v>
      </c>
      <c r="AW93" s="1701"/>
      <c r="AX93" s="1701"/>
      <c r="AY93" s="1702"/>
      <c r="AZ93" s="1700" t="s">
        <v>162</v>
      </c>
      <c r="BA93" s="1701"/>
      <c r="BB93" s="1701"/>
      <c r="BC93" s="1702"/>
      <c r="BD93" s="1700" t="s">
        <v>407</v>
      </c>
      <c r="BE93" s="1701"/>
      <c r="BF93" s="1701"/>
      <c r="BG93" s="1702"/>
      <c r="BH93" s="1703" t="s">
        <v>57</v>
      </c>
      <c r="BI93" s="1704"/>
      <c r="BJ93" s="1704"/>
      <c r="BK93" s="1705"/>
      <c r="BL93" s="1056" t="s">
        <v>1120</v>
      </c>
      <c r="BM93" s="1056" t="s">
        <v>1121</v>
      </c>
      <c r="BN93" s="585"/>
      <c r="BO93" s="586"/>
      <c r="BP93" s="6"/>
      <c r="CX93" s="985" t="s">
        <v>1000</v>
      </c>
      <c r="CY93" s="976"/>
      <c r="CZ93" s="963"/>
      <c r="DA93" s="872">
        <f t="shared" si="16"/>
        <v>157.44444444444446</v>
      </c>
      <c r="DB93" s="875">
        <f>COUNT(#REF!,AJ115:AY115,BS115:CH115)</f>
        <v>8</v>
      </c>
    </row>
    <row r="94" spans="1:106" s="68" customFormat="1" ht="42" customHeight="1" thickBot="1" x14ac:dyDescent="0.35">
      <c r="A94" s="834" t="s">
        <v>1059</v>
      </c>
      <c r="B94" s="97" t="s">
        <v>768</v>
      </c>
      <c r="C94" s="584" t="s">
        <v>626</v>
      </c>
      <c r="D94" s="584" t="s">
        <v>627</v>
      </c>
      <c r="E94" s="761" t="s">
        <v>625</v>
      </c>
      <c r="F94" s="97" t="s">
        <v>768</v>
      </c>
      <c r="G94" s="584" t="s">
        <v>626</v>
      </c>
      <c r="H94" s="584" t="s">
        <v>627</v>
      </c>
      <c r="I94" s="118" t="s">
        <v>625</v>
      </c>
      <c r="J94" s="97" t="s">
        <v>768</v>
      </c>
      <c r="K94" s="584" t="s">
        <v>626</v>
      </c>
      <c r="L94" s="584" t="s">
        <v>627</v>
      </c>
      <c r="M94" s="118" t="s">
        <v>625</v>
      </c>
      <c r="N94" s="97" t="s">
        <v>768</v>
      </c>
      <c r="O94" s="584" t="s">
        <v>626</v>
      </c>
      <c r="P94" s="584" t="s">
        <v>627</v>
      </c>
      <c r="Q94" s="118" t="s">
        <v>625</v>
      </c>
      <c r="R94" s="97" t="s">
        <v>768</v>
      </c>
      <c r="S94" s="584" t="s">
        <v>626</v>
      </c>
      <c r="T94" s="584" t="s">
        <v>627</v>
      </c>
      <c r="U94" s="118" t="s">
        <v>625</v>
      </c>
      <c r="V94" s="97" t="s">
        <v>768</v>
      </c>
      <c r="W94" s="584" t="s">
        <v>626</v>
      </c>
      <c r="X94" s="584" t="s">
        <v>627</v>
      </c>
      <c r="Y94" s="118" t="s">
        <v>625</v>
      </c>
      <c r="Z94" s="97" t="s">
        <v>768</v>
      </c>
      <c r="AA94" s="584" t="s">
        <v>626</v>
      </c>
      <c r="AB94" s="584" t="s">
        <v>627</v>
      </c>
      <c r="AC94" s="118" t="s">
        <v>625</v>
      </c>
      <c r="AD94" s="835"/>
      <c r="AE94" s="836"/>
      <c r="AF94" s="837"/>
      <c r="AG94" s="838"/>
      <c r="AH94" s="45"/>
      <c r="AI94" s="834" t="s">
        <v>1059</v>
      </c>
      <c r="AJ94" s="97" t="s">
        <v>768</v>
      </c>
      <c r="AK94" s="584" t="s">
        <v>626</v>
      </c>
      <c r="AL94" s="584" t="s">
        <v>627</v>
      </c>
      <c r="AM94" s="761" t="s">
        <v>625</v>
      </c>
      <c r="AN94" s="97" t="s">
        <v>768</v>
      </c>
      <c r="AO94" s="584" t="s">
        <v>626</v>
      </c>
      <c r="AP94" s="584" t="s">
        <v>627</v>
      </c>
      <c r="AQ94" s="118" t="s">
        <v>625</v>
      </c>
      <c r="AR94" s="97" t="s">
        <v>768</v>
      </c>
      <c r="AS94" s="584" t="s">
        <v>626</v>
      </c>
      <c r="AT94" s="584" t="s">
        <v>627</v>
      </c>
      <c r="AU94" s="340" t="s">
        <v>960</v>
      </c>
      <c r="AV94" s="97" t="s">
        <v>768</v>
      </c>
      <c r="AW94" s="584" t="s">
        <v>626</v>
      </c>
      <c r="AX94" s="584" t="s">
        <v>627</v>
      </c>
      <c r="AY94" s="118" t="s">
        <v>625</v>
      </c>
      <c r="AZ94" s="97" t="s">
        <v>768</v>
      </c>
      <c r="BA94" s="584" t="s">
        <v>626</v>
      </c>
      <c r="BB94" s="584" t="s">
        <v>627</v>
      </c>
      <c r="BC94" s="118" t="s">
        <v>625</v>
      </c>
      <c r="BD94" s="97" t="s">
        <v>768</v>
      </c>
      <c r="BE94" s="584" t="s">
        <v>626</v>
      </c>
      <c r="BF94" s="584" t="s">
        <v>627</v>
      </c>
      <c r="BG94" s="118" t="s">
        <v>625</v>
      </c>
      <c r="BH94" s="97" t="s">
        <v>768</v>
      </c>
      <c r="BI94" s="584" t="s">
        <v>626</v>
      </c>
      <c r="BJ94" s="584" t="s">
        <v>627</v>
      </c>
      <c r="BK94" s="118" t="s">
        <v>625</v>
      </c>
      <c r="BL94" s="1057" t="s">
        <v>803</v>
      </c>
      <c r="BM94" s="1057" t="s">
        <v>803</v>
      </c>
      <c r="BN94" s="837"/>
      <c r="BO94" s="838"/>
      <c r="BP94" s="839"/>
      <c r="BQ94" s="840"/>
      <c r="CX94" s="2225" t="s">
        <v>273</v>
      </c>
      <c r="CY94" s="2226"/>
      <c r="CZ94" s="877"/>
      <c r="DA94" s="878" t="e">
        <f t="shared" si="16"/>
        <v>#DIV/0!</v>
      </c>
      <c r="DB94" s="879"/>
    </row>
    <row r="95" spans="1:106" ht="21.95" customHeight="1" x14ac:dyDescent="0.3">
      <c r="A95" s="1080" t="s">
        <v>1133</v>
      </c>
      <c r="B95" s="402"/>
      <c r="C95" s="353"/>
      <c r="D95" s="1033"/>
      <c r="E95" s="436"/>
      <c r="F95" s="407"/>
      <c r="G95" s="1521"/>
      <c r="H95" s="1521"/>
      <c r="I95" s="1545"/>
      <c r="J95" s="407"/>
      <c r="K95" s="1521"/>
      <c r="L95" s="1521"/>
      <c r="M95" s="1545"/>
      <c r="N95" s="407"/>
      <c r="O95" s="1521"/>
      <c r="P95" s="1521"/>
      <c r="Q95" s="1545"/>
      <c r="R95" s="407" t="s">
        <v>1685</v>
      </c>
      <c r="S95" s="1521">
        <v>99.45</v>
      </c>
      <c r="T95" s="1601">
        <v>0.27</v>
      </c>
      <c r="U95" s="413">
        <v>2E-3</v>
      </c>
      <c r="V95" s="407" t="s">
        <v>1685</v>
      </c>
      <c r="W95" s="1521">
        <v>99.45</v>
      </c>
      <c r="X95" s="1601">
        <v>0.25</v>
      </c>
      <c r="Y95" s="413">
        <v>4.4999999999999997E-3</v>
      </c>
      <c r="Z95" s="437"/>
      <c r="AA95" s="353"/>
      <c r="AB95" s="353"/>
      <c r="AC95" s="436"/>
      <c r="AD95" s="402"/>
      <c r="AE95" s="349"/>
      <c r="AF95" s="353"/>
      <c r="AG95" s="401"/>
      <c r="AH95" s="12"/>
      <c r="AI95" s="1080" t="s">
        <v>1146</v>
      </c>
      <c r="AJ95" s="402"/>
      <c r="AK95" s="353"/>
      <c r="AL95" s="353"/>
      <c r="AM95" s="436"/>
      <c r="AN95" s="437" t="s">
        <v>1685</v>
      </c>
      <c r="AO95" s="1033">
        <v>99.45</v>
      </c>
      <c r="AP95" s="1033">
        <v>0.14000000000000001</v>
      </c>
      <c r="AQ95" s="1628">
        <v>3.2000000000000002E-3</v>
      </c>
      <c r="AR95" s="437" t="s">
        <v>1685</v>
      </c>
      <c r="AS95" s="1033">
        <v>99.45</v>
      </c>
      <c r="AT95" s="1033">
        <v>0.14000000000000001</v>
      </c>
      <c r="AU95" s="436">
        <v>2.8E-3</v>
      </c>
      <c r="AV95" s="437"/>
      <c r="AW95" s="1033"/>
      <c r="AX95" s="1033"/>
      <c r="AY95" s="436"/>
      <c r="AZ95" s="437" t="s">
        <v>1685</v>
      </c>
      <c r="BA95" s="1033">
        <v>99.45</v>
      </c>
      <c r="BB95" s="1033">
        <v>0.15</v>
      </c>
      <c r="BC95" s="436">
        <v>2E-3</v>
      </c>
      <c r="BD95" s="437" t="s">
        <v>1685</v>
      </c>
      <c r="BE95" s="1033">
        <v>99.45</v>
      </c>
      <c r="BF95" s="1627">
        <v>0.16</v>
      </c>
      <c r="BG95" s="436">
        <v>2E-3</v>
      </c>
      <c r="BH95" s="437"/>
      <c r="BI95" s="353"/>
      <c r="BJ95" s="353"/>
      <c r="BK95" s="507"/>
      <c r="BL95" s="348"/>
      <c r="BM95" s="401"/>
      <c r="BN95" s="229"/>
      <c r="BO95" s="227"/>
      <c r="BP95" s="6"/>
      <c r="CX95" s="880"/>
      <c r="CY95" s="881" t="s">
        <v>274</v>
      </c>
      <c r="CZ95" s="963"/>
      <c r="DA95" s="872">
        <f t="shared" si="16"/>
        <v>530</v>
      </c>
      <c r="DB95" s="875">
        <f>COUNT(#REF!,AJ117:AY117,BS117:CH117)</f>
        <v>8</v>
      </c>
    </row>
    <row r="96" spans="1:106" ht="21.95" customHeight="1" thickBot="1" x14ac:dyDescent="0.35">
      <c r="A96" s="1081" t="s">
        <v>1134</v>
      </c>
      <c r="B96" s="412" t="s">
        <v>1684</v>
      </c>
      <c r="C96" s="360"/>
      <c r="D96" s="360"/>
      <c r="E96" s="438"/>
      <c r="F96" s="407" t="s">
        <v>1685</v>
      </c>
      <c r="G96" s="1521">
        <v>99.45</v>
      </c>
      <c r="H96" s="1601">
        <v>0.33</v>
      </c>
      <c r="I96" s="1602">
        <v>3.8999999999999998E-3</v>
      </c>
      <c r="J96" s="407" t="s">
        <v>1685</v>
      </c>
      <c r="K96" s="1521">
        <v>99.45</v>
      </c>
      <c r="L96" s="1601">
        <v>0.39</v>
      </c>
      <c r="M96" s="1602">
        <v>3.3E-3</v>
      </c>
      <c r="N96" s="407"/>
      <c r="O96" s="408"/>
      <c r="P96" s="408"/>
      <c r="Q96" s="413"/>
      <c r="R96" s="407"/>
      <c r="S96" s="1521"/>
      <c r="T96" s="1521"/>
      <c r="U96" s="413"/>
      <c r="V96" s="407"/>
      <c r="W96" s="1521"/>
      <c r="X96" s="1521"/>
      <c r="Y96" s="413"/>
      <c r="Z96" s="437"/>
      <c r="AA96" s="439"/>
      <c r="AB96" s="439"/>
      <c r="AC96" s="438"/>
      <c r="AD96" s="412"/>
      <c r="AE96" s="362"/>
      <c r="AF96" s="360"/>
      <c r="AG96" s="411"/>
      <c r="AH96" s="11"/>
      <c r="AI96" s="1080" t="s">
        <v>1147</v>
      </c>
      <c r="AJ96" s="412"/>
      <c r="AK96" s="360"/>
      <c r="AL96" s="360"/>
      <c r="AM96" s="438"/>
      <c r="AN96" s="437" t="s">
        <v>1685</v>
      </c>
      <c r="AO96" s="1033">
        <v>99.45</v>
      </c>
      <c r="AP96" s="1033">
        <v>0.14000000000000001</v>
      </c>
      <c r="AQ96" s="440">
        <v>3.0000000000000001E-3</v>
      </c>
      <c r="AR96" s="437" t="s">
        <v>1685</v>
      </c>
      <c r="AS96" s="1033">
        <v>99.45</v>
      </c>
      <c r="AT96" s="1033">
        <v>0.14000000000000001</v>
      </c>
      <c r="AU96" s="436">
        <v>2.7000000000000001E-3</v>
      </c>
      <c r="AV96" s="437"/>
      <c r="AW96" s="439"/>
      <c r="AX96" s="439"/>
      <c r="AY96" s="440"/>
      <c r="AZ96" s="437" t="s">
        <v>1685</v>
      </c>
      <c r="BA96" s="1033">
        <v>99.45</v>
      </c>
      <c r="BB96" s="1033">
        <v>0.15</v>
      </c>
      <c r="BC96" s="440"/>
      <c r="BD96" s="437" t="s">
        <v>1685</v>
      </c>
      <c r="BE96" s="1033">
        <v>99.45</v>
      </c>
      <c r="BF96" s="1627">
        <v>0.16</v>
      </c>
      <c r="BG96" s="440">
        <v>2.2000000000000001E-3</v>
      </c>
      <c r="BH96" s="437"/>
      <c r="BI96" s="439"/>
      <c r="BJ96" s="439"/>
      <c r="BK96" s="440"/>
      <c r="BL96" s="348"/>
      <c r="BM96" s="401"/>
      <c r="BN96" s="229"/>
      <c r="BO96" s="227"/>
      <c r="BP96" s="6"/>
      <c r="BR96" s="2157"/>
      <c r="BS96" s="2158"/>
      <c r="BT96" s="2160"/>
      <c r="BU96" s="2160"/>
      <c r="BV96" s="2160"/>
      <c r="BW96" s="2160"/>
      <c r="BX96" s="2160"/>
      <c r="BY96" s="2160"/>
      <c r="CX96" s="1811" t="s">
        <v>275</v>
      </c>
      <c r="CY96" s="1812"/>
      <c r="CZ96" s="963"/>
      <c r="DA96" s="872">
        <f t="shared" si="16"/>
        <v>-3.7777777777777777</v>
      </c>
      <c r="DB96" s="875"/>
    </row>
    <row r="97" spans="1:106" ht="21.95" customHeight="1" x14ac:dyDescent="0.3">
      <c r="A97" s="1080" t="s">
        <v>1135</v>
      </c>
      <c r="B97" s="412"/>
      <c r="C97" s="360"/>
      <c r="D97" s="360"/>
      <c r="E97" s="438"/>
      <c r="F97" s="407"/>
      <c r="G97" s="1521"/>
      <c r="H97" s="408"/>
      <c r="I97" s="1546"/>
      <c r="J97" s="407"/>
      <c r="K97" s="1521"/>
      <c r="L97" s="1521"/>
      <c r="M97" s="1546"/>
      <c r="N97" s="407"/>
      <c r="O97" s="408"/>
      <c r="P97" s="408"/>
      <c r="Q97" s="413"/>
      <c r="R97" s="407" t="s">
        <v>1685</v>
      </c>
      <c r="S97" s="1521">
        <v>99.45</v>
      </c>
      <c r="T97" s="1601">
        <v>0.25</v>
      </c>
      <c r="U97" s="413">
        <v>2.0999999999999999E-3</v>
      </c>
      <c r="V97" s="407" t="s">
        <v>1685</v>
      </c>
      <c r="W97" s="1521">
        <v>99.45</v>
      </c>
      <c r="X97" s="1601">
        <v>0.28999999999999998</v>
      </c>
      <c r="Y97" s="413">
        <v>2E-3</v>
      </c>
      <c r="Z97" s="437"/>
      <c r="AA97" s="439"/>
      <c r="AB97" s="439"/>
      <c r="AC97" s="438"/>
      <c r="AD97" s="412"/>
      <c r="AE97" s="362"/>
      <c r="AF97" s="360"/>
      <c r="AG97" s="411"/>
      <c r="AH97" s="46"/>
      <c r="AI97" s="1080" t="s">
        <v>1148</v>
      </c>
      <c r="AJ97" s="412"/>
      <c r="AK97" s="360"/>
      <c r="AL97" s="360"/>
      <c r="AM97" s="438"/>
      <c r="AN97" s="437" t="s">
        <v>1685</v>
      </c>
      <c r="AO97" s="1033">
        <v>99.45</v>
      </c>
      <c r="AP97" s="1033">
        <v>0.14000000000000001</v>
      </c>
      <c r="AQ97" s="440">
        <v>2.8999999999999998E-3</v>
      </c>
      <c r="AR97" s="437" t="s">
        <v>1685</v>
      </c>
      <c r="AS97" s="1033">
        <v>99.45</v>
      </c>
      <c r="AT97" s="1033">
        <v>0.14000000000000001</v>
      </c>
      <c r="AU97" s="440">
        <v>2.5999999999999999E-3</v>
      </c>
      <c r="AV97" s="437"/>
      <c r="AW97" s="439"/>
      <c r="AX97" s="439"/>
      <c r="AY97" s="440"/>
      <c r="AZ97" s="437" t="s">
        <v>1685</v>
      </c>
      <c r="BA97" s="1033">
        <v>99.45</v>
      </c>
      <c r="BB97" s="1627">
        <v>0.16</v>
      </c>
      <c r="BC97" s="440"/>
      <c r="BD97" s="437" t="s">
        <v>1685</v>
      </c>
      <c r="BE97" s="1033">
        <v>99.45</v>
      </c>
      <c r="BF97" s="1033">
        <v>0.15</v>
      </c>
      <c r="BG97" s="440">
        <v>2.0999999999999999E-3</v>
      </c>
      <c r="BH97" s="437"/>
      <c r="BI97" s="439"/>
      <c r="BJ97" s="439"/>
      <c r="BK97" s="440"/>
      <c r="BL97" s="348"/>
      <c r="BM97" s="401"/>
      <c r="BN97" s="229"/>
      <c r="BO97" s="227"/>
      <c r="BP97" s="6"/>
      <c r="BR97" s="2158"/>
      <c r="BS97" s="2158"/>
      <c r="BT97" s="2160"/>
      <c r="BU97" s="2160"/>
      <c r="BV97" s="2160"/>
      <c r="BW97" s="2160"/>
      <c r="BX97" s="2160"/>
      <c r="BY97" s="2160"/>
      <c r="CX97" s="999"/>
      <c r="CY97" s="963"/>
      <c r="CZ97" s="963"/>
      <c r="DA97" s="248"/>
      <c r="DB97" s="875"/>
    </row>
    <row r="98" spans="1:106" ht="21.95" customHeight="1" x14ac:dyDescent="0.3">
      <c r="A98" s="1080" t="s">
        <v>1136</v>
      </c>
      <c r="B98" s="412"/>
      <c r="C98" s="360"/>
      <c r="D98" s="360"/>
      <c r="E98" s="438"/>
      <c r="F98" s="407" t="s">
        <v>1685</v>
      </c>
      <c r="G98" s="1521">
        <v>99.45</v>
      </c>
      <c r="H98" s="1617">
        <v>0.28999999999999998</v>
      </c>
      <c r="I98" s="1546">
        <v>2.0999999999999999E-3</v>
      </c>
      <c r="J98" s="407" t="s">
        <v>1685</v>
      </c>
      <c r="K98" s="1521">
        <v>99.45</v>
      </c>
      <c r="L98" s="1601">
        <v>0.28000000000000003</v>
      </c>
      <c r="M98" s="1546">
        <v>2.3E-3</v>
      </c>
      <c r="N98" s="407"/>
      <c r="O98" s="408"/>
      <c r="P98" s="408"/>
      <c r="Q98" s="413"/>
      <c r="R98" s="407"/>
      <c r="S98" s="1521"/>
      <c r="T98" s="1521"/>
      <c r="U98" s="413"/>
      <c r="V98" s="407"/>
      <c r="W98" s="1521"/>
      <c r="X98" s="1521"/>
      <c r="Y98" s="413"/>
      <c r="Z98" s="437"/>
      <c r="AA98" s="439"/>
      <c r="AB98" s="439"/>
      <c r="AC98" s="438"/>
      <c r="AD98" s="441"/>
      <c r="AE98" s="433"/>
      <c r="AF98" s="442"/>
      <c r="AG98" s="443"/>
      <c r="AH98" s="12"/>
      <c r="AI98" s="1080" t="s">
        <v>1149</v>
      </c>
      <c r="AJ98" s="412"/>
      <c r="AK98" s="360"/>
      <c r="AL98" s="360"/>
      <c r="AM98" s="438"/>
      <c r="AN98" s="437" t="s">
        <v>1685</v>
      </c>
      <c r="AO98" s="1033">
        <v>99.45</v>
      </c>
      <c r="AP98" s="1033">
        <v>0.14000000000000001</v>
      </c>
      <c r="AQ98" s="440">
        <v>2.5000000000000001E-3</v>
      </c>
      <c r="AR98" s="437" t="s">
        <v>1685</v>
      </c>
      <c r="AS98" s="1033">
        <v>99.45</v>
      </c>
      <c r="AT98" s="1033">
        <v>0.14000000000000001</v>
      </c>
      <c r="AU98" s="440">
        <v>2.5000000000000001E-3</v>
      </c>
      <c r="AV98" s="437"/>
      <c r="AW98" s="439"/>
      <c r="AX98" s="439"/>
      <c r="AY98" s="440"/>
      <c r="AZ98" s="437" t="s">
        <v>1685</v>
      </c>
      <c r="BA98" s="1033">
        <v>99.45</v>
      </c>
      <c r="BB98" s="1627">
        <v>0.16</v>
      </c>
      <c r="BC98" s="440"/>
      <c r="BD98" s="437" t="s">
        <v>1685</v>
      </c>
      <c r="BE98" s="1033">
        <v>99.45</v>
      </c>
      <c r="BF98" s="1033">
        <v>0.15</v>
      </c>
      <c r="BG98" s="440">
        <v>2.3E-3</v>
      </c>
      <c r="BH98" s="437"/>
      <c r="BI98" s="439"/>
      <c r="BJ98" s="439"/>
      <c r="BK98" s="440"/>
      <c r="BL98" s="356"/>
      <c r="BM98" s="411"/>
      <c r="BN98" s="229"/>
      <c r="BO98" s="227"/>
      <c r="BP98" s="6"/>
      <c r="BR98" s="2157"/>
      <c r="BS98" s="2158"/>
      <c r="BT98" s="2160"/>
      <c r="BU98" s="2160"/>
      <c r="BV98" s="2160"/>
      <c r="BW98" s="2160"/>
      <c r="BX98" s="2160"/>
      <c r="BY98" s="2160"/>
      <c r="CX98" s="999"/>
      <c r="CY98" s="963"/>
      <c r="CZ98" s="963"/>
      <c r="DA98" s="248"/>
      <c r="DB98" s="875">
        <f>COUNT(#REF!)</f>
        <v>0</v>
      </c>
    </row>
    <row r="99" spans="1:106" ht="21.95" customHeight="1" x14ac:dyDescent="0.3">
      <c r="A99" s="1080" t="s">
        <v>1145</v>
      </c>
      <c r="B99" s="412"/>
      <c r="C99" s="360"/>
      <c r="D99" s="360"/>
      <c r="E99" s="438"/>
      <c r="F99" s="407"/>
      <c r="G99" s="1521"/>
      <c r="H99" s="408"/>
      <c r="I99" s="1546"/>
      <c r="J99" s="407"/>
      <c r="K99" s="1521"/>
      <c r="L99" s="1521"/>
      <c r="M99" s="1546"/>
      <c r="N99" s="407"/>
      <c r="O99" s="408"/>
      <c r="P99" s="408"/>
      <c r="Q99" s="413"/>
      <c r="R99" s="407" t="s">
        <v>1685</v>
      </c>
      <c r="S99" s="1521">
        <v>99.45</v>
      </c>
      <c r="T99" s="1601">
        <v>0.21</v>
      </c>
      <c r="U99" s="413">
        <v>2E-3</v>
      </c>
      <c r="V99" s="407" t="s">
        <v>1685</v>
      </c>
      <c r="W99" s="1521">
        <v>99.45</v>
      </c>
      <c r="X99" s="1601">
        <v>0.26</v>
      </c>
      <c r="Y99" s="413">
        <v>1.6000000000000001E-3</v>
      </c>
      <c r="Z99" s="437"/>
      <c r="AA99" s="439"/>
      <c r="AB99" s="439"/>
      <c r="AC99" s="438"/>
      <c r="AD99" s="441"/>
      <c r="AE99" s="433"/>
      <c r="AF99" s="442"/>
      <c r="AG99" s="443"/>
      <c r="AH99" s="12"/>
      <c r="AI99" s="1080" t="s">
        <v>1150</v>
      </c>
      <c r="AJ99" s="412"/>
      <c r="AK99" s="360"/>
      <c r="AL99" s="360"/>
      <c r="AM99" s="438"/>
      <c r="AN99" s="437" t="s">
        <v>1685</v>
      </c>
      <c r="AO99" s="1033">
        <v>99.45</v>
      </c>
      <c r="AP99" s="1033">
        <v>0.14000000000000001</v>
      </c>
      <c r="AQ99" s="440">
        <v>2.3E-3</v>
      </c>
      <c r="AR99" s="437" t="s">
        <v>1685</v>
      </c>
      <c r="AS99" s="1033">
        <v>99.45</v>
      </c>
      <c r="AT99" s="1033">
        <v>0.14000000000000001</v>
      </c>
      <c r="AU99" s="440">
        <v>1.6000000000000001E-3</v>
      </c>
      <c r="AV99" s="437"/>
      <c r="AW99" s="439"/>
      <c r="AX99" s="439"/>
      <c r="AY99" s="440"/>
      <c r="AZ99" s="437" t="s">
        <v>1685</v>
      </c>
      <c r="BA99" s="1033">
        <v>99.45</v>
      </c>
      <c r="BB99" s="1033">
        <v>0.15</v>
      </c>
      <c r="BC99" s="440">
        <v>1.5E-3</v>
      </c>
      <c r="BD99" s="437" t="s">
        <v>1685</v>
      </c>
      <c r="BE99" s="1033">
        <v>99.45</v>
      </c>
      <c r="BF99" s="1033">
        <v>0.15</v>
      </c>
      <c r="BG99" s="440">
        <v>1.5E-3</v>
      </c>
      <c r="BH99" s="437"/>
      <c r="BI99" s="439"/>
      <c r="BJ99" s="439"/>
      <c r="BK99" s="440"/>
      <c r="BL99" s="356"/>
      <c r="BM99" s="411"/>
      <c r="BN99" s="229"/>
      <c r="BO99" s="227"/>
      <c r="BP99" s="6"/>
      <c r="BR99" s="961"/>
      <c r="BS99" s="1003"/>
      <c r="BT99" s="996"/>
      <c r="BU99" s="996"/>
      <c r="BV99" s="996"/>
      <c r="BW99" s="996"/>
      <c r="BX99" s="996"/>
      <c r="BY99" s="996"/>
      <c r="CX99" s="999"/>
      <c r="CY99" s="963"/>
      <c r="CZ99" s="963"/>
      <c r="DA99" s="248"/>
      <c r="DB99" s="875"/>
    </row>
    <row r="100" spans="1:106" ht="21.95" customHeight="1" x14ac:dyDescent="0.3">
      <c r="A100" s="1080" t="s">
        <v>1138</v>
      </c>
      <c r="B100" s="412"/>
      <c r="C100" s="360"/>
      <c r="D100" s="360"/>
      <c r="E100" s="438"/>
      <c r="F100" s="407" t="s">
        <v>1685</v>
      </c>
      <c r="G100" s="1521">
        <v>99.45</v>
      </c>
      <c r="H100" s="1617">
        <v>0.2</v>
      </c>
      <c r="I100" s="1546">
        <v>1.8E-3</v>
      </c>
      <c r="J100" s="407" t="s">
        <v>1685</v>
      </c>
      <c r="K100" s="1521">
        <v>99.45</v>
      </c>
      <c r="L100" s="1601">
        <v>0.18</v>
      </c>
      <c r="M100" s="1546">
        <v>3.0000000000000001E-3</v>
      </c>
      <c r="N100" s="407"/>
      <c r="O100" s="408"/>
      <c r="P100" s="408"/>
      <c r="Q100" s="413"/>
      <c r="R100" s="407"/>
      <c r="S100" s="1521"/>
      <c r="T100" s="1521"/>
      <c r="U100" s="413"/>
      <c r="V100" s="407"/>
      <c r="W100" s="1521"/>
      <c r="X100" s="1521"/>
      <c r="Y100" s="413"/>
      <c r="Z100" s="437"/>
      <c r="AA100" s="439"/>
      <c r="AB100" s="439"/>
      <c r="AC100" s="438"/>
      <c r="AD100" s="441"/>
      <c r="AE100" s="433"/>
      <c r="AF100" s="442"/>
      <c r="AG100" s="443"/>
      <c r="AH100" s="12"/>
      <c r="AI100" s="1080" t="s">
        <v>1151</v>
      </c>
      <c r="AJ100" s="412"/>
      <c r="AK100" s="360"/>
      <c r="AL100" s="360"/>
      <c r="AM100" s="438"/>
      <c r="AN100" s="437" t="s">
        <v>1685</v>
      </c>
      <c r="AO100" s="1033">
        <v>99.45</v>
      </c>
      <c r="AP100" s="1033">
        <v>0.14000000000000001</v>
      </c>
      <c r="AQ100" s="440"/>
      <c r="AR100" s="437" t="s">
        <v>1685</v>
      </c>
      <c r="AS100" s="1033">
        <v>99.45</v>
      </c>
      <c r="AT100" s="1033">
        <v>0.14000000000000001</v>
      </c>
      <c r="AU100" s="440"/>
      <c r="AV100" s="437"/>
      <c r="AW100" s="439"/>
      <c r="AX100" s="439"/>
      <c r="AY100" s="440"/>
      <c r="AZ100" s="437" t="s">
        <v>1685</v>
      </c>
      <c r="BA100" s="1033">
        <v>99.45</v>
      </c>
      <c r="BB100" s="1033">
        <v>0.15</v>
      </c>
      <c r="BC100" s="440"/>
      <c r="BD100" s="437" t="s">
        <v>1685</v>
      </c>
      <c r="BE100" s="1033">
        <v>99.45</v>
      </c>
      <c r="BF100" s="1033">
        <v>0.15</v>
      </c>
      <c r="BG100" s="440">
        <v>1.6999999999999999E-3</v>
      </c>
      <c r="BH100" s="437"/>
      <c r="BI100" s="439"/>
      <c r="BJ100" s="439"/>
      <c r="BK100" s="440"/>
      <c r="BL100" s="356"/>
      <c r="BM100" s="411"/>
      <c r="BN100" s="229"/>
      <c r="BO100" s="227"/>
      <c r="BP100" s="6"/>
      <c r="BR100" s="961"/>
      <c r="BS100" s="1003"/>
      <c r="BT100" s="996"/>
      <c r="BU100" s="996"/>
      <c r="BV100" s="996"/>
      <c r="BW100" s="996"/>
      <c r="BX100" s="996"/>
      <c r="BY100" s="996"/>
      <c r="CX100" s="999"/>
      <c r="CY100" s="963"/>
      <c r="CZ100" s="963"/>
      <c r="DA100" s="248"/>
      <c r="DB100" s="875"/>
    </row>
    <row r="101" spans="1:106" ht="21.95" customHeight="1" thickBot="1" x14ac:dyDescent="0.35">
      <c r="A101" s="1080" t="s">
        <v>1139</v>
      </c>
      <c r="B101" s="412"/>
      <c r="C101" s="360"/>
      <c r="D101" s="360"/>
      <c r="E101" s="438"/>
      <c r="F101" s="407"/>
      <c r="G101" s="1521"/>
      <c r="H101" s="408"/>
      <c r="I101" s="1546"/>
      <c r="J101" s="407"/>
      <c r="K101" s="1521"/>
      <c r="L101" s="1521"/>
      <c r="M101" s="1546"/>
      <c r="N101" s="407"/>
      <c r="O101" s="408"/>
      <c r="P101" s="408"/>
      <c r="Q101" s="413"/>
      <c r="R101" s="407" t="s">
        <v>1685</v>
      </c>
      <c r="S101" s="1521">
        <v>99.45</v>
      </c>
      <c r="T101" s="1601">
        <v>0.19</v>
      </c>
      <c r="U101" s="413">
        <v>2.3E-3</v>
      </c>
      <c r="V101" s="407" t="s">
        <v>1685</v>
      </c>
      <c r="W101" s="1521">
        <v>99.45</v>
      </c>
      <c r="X101" s="1601">
        <v>0.21</v>
      </c>
      <c r="Y101" s="413">
        <v>2.5000000000000001E-3</v>
      </c>
      <c r="Z101" s="437"/>
      <c r="AA101" s="439"/>
      <c r="AB101" s="439"/>
      <c r="AC101" s="438"/>
      <c r="AD101" s="441"/>
      <c r="AE101" s="433"/>
      <c r="AF101" s="442"/>
      <c r="AG101" s="443"/>
      <c r="AH101" s="12"/>
      <c r="AI101" s="1080" t="s">
        <v>1152</v>
      </c>
      <c r="AJ101" s="412"/>
      <c r="AK101" s="360"/>
      <c r="AL101" s="360"/>
      <c r="AM101" s="438"/>
      <c r="AN101" s="437" t="s">
        <v>1685</v>
      </c>
      <c r="AO101" s="1033">
        <v>99.45</v>
      </c>
      <c r="AP101" s="1033">
        <v>0.14000000000000001</v>
      </c>
      <c r="AQ101" s="440"/>
      <c r="AR101" s="437" t="s">
        <v>1685</v>
      </c>
      <c r="AS101" s="1033">
        <v>99.45</v>
      </c>
      <c r="AT101" s="1033">
        <v>0.14000000000000001</v>
      </c>
      <c r="AU101" s="440"/>
      <c r="AV101" s="437"/>
      <c r="AW101" s="439"/>
      <c r="AX101" s="439"/>
      <c r="AY101" s="440"/>
      <c r="AZ101" s="437" t="s">
        <v>1685</v>
      </c>
      <c r="BA101" s="1033">
        <v>99.45</v>
      </c>
      <c r="BB101" s="1033">
        <v>0.14000000000000001</v>
      </c>
      <c r="BC101" s="440"/>
      <c r="BD101" s="437" t="s">
        <v>1685</v>
      </c>
      <c r="BE101" s="1033">
        <v>99.45</v>
      </c>
      <c r="BF101" s="1033">
        <v>0.14000000000000001</v>
      </c>
      <c r="BG101" s="440">
        <v>1.6000000000000001E-3</v>
      </c>
      <c r="BH101" s="437"/>
      <c r="BI101" s="439"/>
      <c r="BJ101" s="439"/>
      <c r="BK101" s="440"/>
      <c r="BL101" s="356"/>
      <c r="BM101" s="411"/>
      <c r="BN101" s="229"/>
      <c r="BO101" s="227"/>
      <c r="BP101" s="6"/>
      <c r="BR101" s="961"/>
      <c r="BS101" s="1003"/>
      <c r="BT101" s="996"/>
      <c r="BU101" s="996"/>
      <c r="BV101" s="996"/>
      <c r="BW101" s="996"/>
      <c r="BX101" s="996"/>
      <c r="BY101" s="996"/>
      <c r="CX101" s="999"/>
      <c r="CY101" s="963"/>
      <c r="CZ101" s="963"/>
      <c r="DA101" s="248"/>
      <c r="DB101" s="875"/>
    </row>
    <row r="102" spans="1:106" ht="21.95" customHeight="1" thickBot="1" x14ac:dyDescent="0.35">
      <c r="A102" s="1080" t="s">
        <v>1140</v>
      </c>
      <c r="B102" s="412"/>
      <c r="C102" s="360"/>
      <c r="D102" s="360"/>
      <c r="E102" s="438"/>
      <c r="F102" s="407" t="s">
        <v>1685</v>
      </c>
      <c r="G102" s="1521">
        <v>99.45</v>
      </c>
      <c r="H102" s="439">
        <v>0.15</v>
      </c>
      <c r="I102" s="1546">
        <v>2.3999999999999998E-3</v>
      </c>
      <c r="J102" s="407" t="s">
        <v>1685</v>
      </c>
      <c r="K102" s="1521">
        <v>99.45</v>
      </c>
      <c r="L102" s="1033">
        <v>0.14000000000000001</v>
      </c>
      <c r="M102" s="1625">
        <v>3.3E-3</v>
      </c>
      <c r="N102" s="407"/>
      <c r="O102" s="408"/>
      <c r="P102" s="408"/>
      <c r="Q102" s="413"/>
      <c r="R102" s="407"/>
      <c r="S102" s="1521"/>
      <c r="T102" s="1521"/>
      <c r="U102" s="413"/>
      <c r="V102" s="407"/>
      <c r="W102" s="1521"/>
      <c r="X102" s="1521"/>
      <c r="Y102" s="413"/>
      <c r="Z102" s="437"/>
      <c r="AA102" s="439"/>
      <c r="AB102" s="439"/>
      <c r="AC102" s="438"/>
      <c r="AD102" s="441"/>
      <c r="AE102" s="433"/>
      <c r="AF102" s="442"/>
      <c r="AG102" s="443"/>
      <c r="AH102" s="12"/>
      <c r="AI102" s="1080" t="s">
        <v>1153</v>
      </c>
      <c r="AJ102" s="412"/>
      <c r="AK102" s="360"/>
      <c r="AL102" s="360"/>
      <c r="AM102" s="438"/>
      <c r="AN102" s="437" t="s">
        <v>1685</v>
      </c>
      <c r="AO102" s="1033">
        <v>99.45</v>
      </c>
      <c r="AP102" s="1033">
        <v>0.14000000000000001</v>
      </c>
      <c r="AQ102" s="440"/>
      <c r="AR102" s="437" t="s">
        <v>1685</v>
      </c>
      <c r="AS102" s="1033">
        <v>99.45</v>
      </c>
      <c r="AT102" s="1033">
        <v>0.14000000000000001</v>
      </c>
      <c r="AU102" s="440"/>
      <c r="AV102" s="437"/>
      <c r="AW102" s="439"/>
      <c r="AX102" s="439"/>
      <c r="AY102" s="440"/>
      <c r="AZ102" s="437" t="s">
        <v>1685</v>
      </c>
      <c r="BA102" s="1033">
        <v>99.45</v>
      </c>
      <c r="BB102" s="1033">
        <v>0.14000000000000001</v>
      </c>
      <c r="BC102" s="440"/>
      <c r="BD102" s="437" t="s">
        <v>1685</v>
      </c>
      <c r="BE102" s="1033">
        <v>99.45</v>
      </c>
      <c r="BF102" s="1033">
        <v>0.14000000000000001</v>
      </c>
      <c r="BG102" s="440">
        <v>1.4E-3</v>
      </c>
      <c r="BH102" s="437"/>
      <c r="BI102" s="439"/>
      <c r="BJ102" s="439"/>
      <c r="BK102" s="440"/>
      <c r="BL102" s="509" t="e">
        <f>AVERAGE(BL95:BL101)</f>
        <v>#DIV/0!</v>
      </c>
      <c r="BM102" s="510" t="e">
        <f>AVERAGE(BM95:BM101)</f>
        <v>#DIV/0!</v>
      </c>
      <c r="BN102" s="229"/>
      <c r="BO102" s="227"/>
      <c r="BP102" s="6"/>
      <c r="BR102" s="961"/>
      <c r="BS102" s="1003"/>
      <c r="BT102" s="996"/>
      <c r="BU102" s="996"/>
      <c r="BV102" s="996"/>
      <c r="BW102" s="996"/>
      <c r="BX102" s="996"/>
      <c r="BY102" s="996"/>
      <c r="CX102" s="999"/>
      <c r="CY102" s="963"/>
      <c r="CZ102" s="963"/>
      <c r="DA102" s="248"/>
      <c r="DB102" s="875"/>
    </row>
    <row r="103" spans="1:106" ht="21.95" customHeight="1" thickBot="1" x14ac:dyDescent="0.35">
      <c r="A103" s="1080" t="s">
        <v>1141</v>
      </c>
      <c r="B103" s="412"/>
      <c r="C103" s="360"/>
      <c r="D103" s="408"/>
      <c r="E103" s="438"/>
      <c r="F103" s="407"/>
      <c r="G103" s="1521"/>
      <c r="H103" s="408"/>
      <c r="I103" s="1546"/>
      <c r="J103" s="407"/>
      <c r="K103" s="1521"/>
      <c r="L103" s="1521"/>
      <c r="M103" s="1546"/>
      <c r="N103" s="407"/>
      <c r="O103" s="408"/>
      <c r="P103" s="408"/>
      <c r="Q103" s="413"/>
      <c r="R103" s="407" t="s">
        <v>1685</v>
      </c>
      <c r="S103" s="1521">
        <v>99.45</v>
      </c>
      <c r="T103" s="1601">
        <v>0.16</v>
      </c>
      <c r="U103" s="413">
        <v>2.2000000000000001E-3</v>
      </c>
      <c r="V103" s="407" t="s">
        <v>1685</v>
      </c>
      <c r="W103" s="1521">
        <v>99.45</v>
      </c>
      <c r="X103" s="1601">
        <v>0.19</v>
      </c>
      <c r="Y103" s="413">
        <v>2.0999999999999999E-3</v>
      </c>
      <c r="Z103" s="437"/>
      <c r="AA103" s="439"/>
      <c r="AB103" s="439"/>
      <c r="AC103" s="438"/>
      <c r="AD103" s="441"/>
      <c r="AE103" s="433"/>
      <c r="AF103" s="442"/>
      <c r="AG103" s="443"/>
      <c r="AH103" s="12"/>
      <c r="AI103" s="1080" t="s">
        <v>1154</v>
      </c>
      <c r="AJ103" s="412"/>
      <c r="AK103" s="360"/>
      <c r="AL103" s="408"/>
      <c r="AM103" s="438"/>
      <c r="AN103" s="437" t="s">
        <v>1685</v>
      </c>
      <c r="AO103" s="1033">
        <v>99.45</v>
      </c>
      <c r="AP103" s="1033">
        <v>0.14000000000000001</v>
      </c>
      <c r="AQ103" s="440">
        <v>1.4E-3</v>
      </c>
      <c r="AR103" s="437" t="s">
        <v>1685</v>
      </c>
      <c r="AS103" s="1033">
        <v>99.45</v>
      </c>
      <c r="AT103" s="1033">
        <v>0.14000000000000001</v>
      </c>
      <c r="AU103" s="440">
        <v>1.2999999999999999E-3</v>
      </c>
      <c r="AV103" s="437"/>
      <c r="AW103" s="439"/>
      <c r="AX103" s="439"/>
      <c r="AY103" s="440"/>
      <c r="AZ103" s="437" t="s">
        <v>1685</v>
      </c>
      <c r="BA103" s="1033">
        <v>99.45</v>
      </c>
      <c r="BB103" s="1033">
        <v>0.14000000000000001</v>
      </c>
      <c r="BC103" s="440">
        <v>1.1000000000000001E-3</v>
      </c>
      <c r="BD103" s="437" t="s">
        <v>1685</v>
      </c>
      <c r="BE103" s="1033">
        <v>99.45</v>
      </c>
      <c r="BF103" s="1033">
        <v>0.14000000000000001</v>
      </c>
      <c r="BG103" s="440">
        <v>1.1000000000000001E-3</v>
      </c>
      <c r="BH103" s="437"/>
      <c r="BI103" s="439"/>
      <c r="BJ103" s="439"/>
      <c r="BK103" s="440"/>
      <c r="BL103" s="508"/>
      <c r="BM103" s="511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999"/>
      <c r="CY103" s="963"/>
      <c r="CZ103" s="963"/>
      <c r="DA103" s="248"/>
    </row>
    <row r="104" spans="1:106" ht="21.95" customHeight="1" x14ac:dyDescent="0.3">
      <c r="A104" s="1080" t="s">
        <v>1142</v>
      </c>
      <c r="B104" s="412"/>
      <c r="C104" s="360"/>
      <c r="D104" s="360"/>
      <c r="E104" s="438"/>
      <c r="F104" s="407" t="s">
        <v>1685</v>
      </c>
      <c r="G104" s="1521">
        <v>99.45</v>
      </c>
      <c r="H104" s="439">
        <v>0.15</v>
      </c>
      <c r="I104" s="1546">
        <v>2.2000000000000001E-3</v>
      </c>
      <c r="J104" s="407" t="s">
        <v>1685</v>
      </c>
      <c r="K104" s="1521">
        <v>99.45</v>
      </c>
      <c r="L104" s="1521">
        <v>0.15</v>
      </c>
      <c r="M104" s="1546">
        <v>2.3999999999999998E-3</v>
      </c>
      <c r="N104" s="407"/>
      <c r="O104" s="408"/>
      <c r="P104" s="408"/>
      <c r="Q104" s="413"/>
      <c r="R104" s="407"/>
      <c r="S104" s="1521"/>
      <c r="T104" s="1521"/>
      <c r="U104" s="413"/>
      <c r="V104" s="407"/>
      <c r="W104" s="1521"/>
      <c r="X104" s="1521"/>
      <c r="Y104" s="413"/>
      <c r="Z104" s="437"/>
      <c r="AA104" s="439"/>
      <c r="AB104" s="439"/>
      <c r="AC104" s="438"/>
      <c r="AD104" s="441"/>
      <c r="AE104" s="433"/>
      <c r="AF104" s="442"/>
      <c r="AG104" s="443"/>
      <c r="AH104" s="12"/>
      <c r="AI104" s="1080" t="s">
        <v>1155</v>
      </c>
      <c r="AJ104" s="412"/>
      <c r="AK104" s="360"/>
      <c r="AL104" s="360"/>
      <c r="AM104" s="438"/>
      <c r="AN104" s="437" t="s">
        <v>1685</v>
      </c>
      <c r="AO104" s="1033">
        <v>99.45</v>
      </c>
      <c r="AP104" s="1033">
        <v>0.14000000000000001</v>
      </c>
      <c r="AQ104" s="440"/>
      <c r="AR104" s="437" t="s">
        <v>1685</v>
      </c>
      <c r="AS104" s="1033">
        <v>99.45</v>
      </c>
      <c r="AT104" s="1033">
        <v>0.14000000000000001</v>
      </c>
      <c r="AU104" s="440"/>
      <c r="AV104" s="437"/>
      <c r="AW104" s="439"/>
      <c r="AX104" s="439"/>
      <c r="AY104" s="440"/>
      <c r="AZ104" s="437" t="s">
        <v>1685</v>
      </c>
      <c r="BA104" s="1033">
        <v>99.45</v>
      </c>
      <c r="BB104" s="1033">
        <v>0.14000000000000001</v>
      </c>
      <c r="BC104" s="440"/>
      <c r="BD104" s="437" t="s">
        <v>1685</v>
      </c>
      <c r="BE104" s="1033">
        <v>99.45</v>
      </c>
      <c r="BF104" s="1033">
        <v>0.14000000000000001</v>
      </c>
      <c r="BG104" s="440">
        <v>1.5E-3</v>
      </c>
      <c r="BH104" s="437"/>
      <c r="BI104" s="439"/>
      <c r="BJ104" s="439"/>
      <c r="BK104" s="440"/>
      <c r="BL104" s="508"/>
      <c r="BM104" s="433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2230" t="s">
        <v>42</v>
      </c>
      <c r="CY104" s="2231"/>
      <c r="CZ104" s="963"/>
      <c r="DA104" s="248"/>
    </row>
    <row r="105" spans="1:106" ht="21.95" customHeight="1" x14ac:dyDescent="0.3">
      <c r="A105" s="1080" t="s">
        <v>1143</v>
      </c>
      <c r="B105" s="412"/>
      <c r="C105" s="360"/>
      <c r="D105" s="360"/>
      <c r="E105" s="438"/>
      <c r="F105" s="407"/>
      <c r="G105" s="1521"/>
      <c r="H105" s="408"/>
      <c r="I105" s="1546"/>
      <c r="J105" s="407"/>
      <c r="K105" s="1521"/>
      <c r="L105" s="1521"/>
      <c r="M105" s="1546"/>
      <c r="N105" s="407"/>
      <c r="O105" s="408"/>
      <c r="P105" s="408"/>
      <c r="Q105" s="413"/>
      <c r="R105" s="407" t="s">
        <v>1685</v>
      </c>
      <c r="S105" s="1521">
        <v>99.45</v>
      </c>
      <c r="T105" s="1601">
        <v>0.16</v>
      </c>
      <c r="U105" s="413">
        <v>2.0999999999999999E-3</v>
      </c>
      <c r="V105" s="407" t="s">
        <v>1685</v>
      </c>
      <c r="W105" s="1521">
        <v>99.45</v>
      </c>
      <c r="X105" s="1521">
        <v>0.15</v>
      </c>
      <c r="Y105" s="413">
        <v>2.3E-3</v>
      </c>
      <c r="Z105" s="437"/>
      <c r="AA105" s="439"/>
      <c r="AB105" s="439"/>
      <c r="AC105" s="438"/>
      <c r="AD105" s="441"/>
      <c r="AE105" s="433"/>
      <c r="AF105" s="442"/>
      <c r="AG105" s="443"/>
      <c r="AH105" s="12"/>
      <c r="AI105" s="1080" t="s">
        <v>1156</v>
      </c>
      <c r="AJ105" s="412"/>
      <c r="AK105" s="360"/>
      <c r="AL105" s="360"/>
      <c r="AM105" s="438"/>
      <c r="AN105" s="437" t="s">
        <v>1685</v>
      </c>
      <c r="AO105" s="1033">
        <v>99.45</v>
      </c>
      <c r="AP105" s="1033">
        <v>0.14000000000000001</v>
      </c>
      <c r="AQ105" s="440"/>
      <c r="AR105" s="437" t="s">
        <v>1685</v>
      </c>
      <c r="AS105" s="1033">
        <v>99.45</v>
      </c>
      <c r="AT105" s="1033">
        <v>0.14000000000000001</v>
      </c>
      <c r="AU105" s="440"/>
      <c r="AV105" s="437"/>
      <c r="AW105" s="439"/>
      <c r="AX105" s="439"/>
      <c r="AY105" s="440"/>
      <c r="AZ105" s="437" t="s">
        <v>1685</v>
      </c>
      <c r="BA105" s="1033">
        <v>99.45</v>
      </c>
      <c r="BB105" s="1033">
        <v>0.14000000000000001</v>
      </c>
      <c r="BC105" s="440"/>
      <c r="BD105" s="437" t="s">
        <v>1685</v>
      </c>
      <c r="BE105" s="1033">
        <v>99.45</v>
      </c>
      <c r="BF105" s="1033">
        <v>0.14000000000000001</v>
      </c>
      <c r="BG105" s="440">
        <v>1.2999999999999999E-3</v>
      </c>
      <c r="BH105" s="437"/>
      <c r="BI105" s="439"/>
      <c r="BJ105" s="439"/>
      <c r="BK105" s="440"/>
      <c r="BL105" s="508"/>
      <c r="BM105" s="433"/>
      <c r="BN105" s="229"/>
      <c r="BO105" s="227"/>
      <c r="BP105" s="6"/>
      <c r="BR105" s="2157"/>
      <c r="BS105" s="2157"/>
      <c r="BT105" s="2157"/>
      <c r="BU105" s="2157"/>
      <c r="BV105" s="2157"/>
      <c r="BW105" s="2157"/>
      <c r="BX105" s="2157"/>
      <c r="BY105" s="2157"/>
      <c r="CX105" s="1001" t="s">
        <v>47</v>
      </c>
      <c r="CY105" s="813" t="s">
        <v>54</v>
      </c>
      <c r="CZ105" s="248"/>
      <c r="DA105" s="963"/>
    </row>
    <row r="106" spans="1:106" ht="21.95" customHeight="1" thickBot="1" x14ac:dyDescent="0.35">
      <c r="A106" s="1080" t="s">
        <v>1144</v>
      </c>
      <c r="B106" s="390"/>
      <c r="C106" s="386"/>
      <c r="D106" s="386"/>
      <c r="E106" s="444"/>
      <c r="F106" s="407" t="s">
        <v>1685</v>
      </c>
      <c r="G106" s="1521">
        <v>99.45</v>
      </c>
      <c r="H106" s="439">
        <v>0.15</v>
      </c>
      <c r="I106" s="1547"/>
      <c r="J106" s="407" t="s">
        <v>1685</v>
      </c>
      <c r="K106" s="1521">
        <v>99.45</v>
      </c>
      <c r="L106" s="439">
        <v>0.15</v>
      </c>
      <c r="M106" s="1547"/>
      <c r="N106" s="1544"/>
      <c r="O106" s="1548"/>
      <c r="P106" s="1548"/>
      <c r="Q106" s="1549"/>
      <c r="R106" s="407"/>
      <c r="S106" s="1521"/>
      <c r="T106" s="1521"/>
      <c r="U106" s="1549"/>
      <c r="V106" s="407"/>
      <c r="W106" s="1521"/>
      <c r="X106" s="1521"/>
      <c r="Y106" s="1549"/>
      <c r="Z106" s="445"/>
      <c r="AA106" s="446"/>
      <c r="AB106" s="446"/>
      <c r="AC106" s="444"/>
      <c r="AD106" s="441"/>
      <c r="AE106" s="433"/>
      <c r="AF106" s="442"/>
      <c r="AG106" s="443"/>
      <c r="AH106" s="12"/>
      <c r="AI106" s="1080" t="s">
        <v>1157</v>
      </c>
      <c r="AJ106" s="390"/>
      <c r="AK106" s="386"/>
      <c r="AL106" s="386"/>
      <c r="AM106" s="444"/>
      <c r="AN106" s="437" t="s">
        <v>1685</v>
      </c>
      <c r="AO106" s="1033">
        <v>99.45</v>
      </c>
      <c r="AP106" s="1033">
        <v>0.14000000000000001</v>
      </c>
      <c r="AQ106" s="440"/>
      <c r="AR106" s="437" t="s">
        <v>1685</v>
      </c>
      <c r="AS106" s="1033">
        <v>99.45</v>
      </c>
      <c r="AT106" s="1033">
        <v>0.14000000000000001</v>
      </c>
      <c r="AU106" s="440"/>
      <c r="AV106" s="437"/>
      <c r="AW106" s="439"/>
      <c r="AX106" s="439"/>
      <c r="AY106" s="440"/>
      <c r="AZ106" s="437" t="s">
        <v>1685</v>
      </c>
      <c r="BA106" s="1033">
        <v>99.45</v>
      </c>
      <c r="BB106" s="1033">
        <v>0.14000000000000001</v>
      </c>
      <c r="BC106" s="440"/>
      <c r="BD106" s="437" t="s">
        <v>1685</v>
      </c>
      <c r="BE106" s="1033">
        <v>99.45</v>
      </c>
      <c r="BF106" s="1033">
        <v>0.14000000000000001</v>
      </c>
      <c r="BG106" s="447"/>
      <c r="BH106" s="445"/>
      <c r="BI106" s="446"/>
      <c r="BJ106" s="446"/>
      <c r="BK106" s="447"/>
      <c r="BL106" s="508"/>
      <c r="BM106" s="433"/>
      <c r="BN106" s="229"/>
      <c r="BO106" s="227"/>
      <c r="BP106" s="6"/>
      <c r="CX106" s="1001" t="s">
        <v>48</v>
      </c>
      <c r="CY106" s="813" t="s">
        <v>55</v>
      </c>
      <c r="CZ106" s="248"/>
      <c r="DA106" s="248">
        <f>AVERAGE(AS126)</f>
        <v>54.8</v>
      </c>
    </row>
    <row r="107" spans="1:106" ht="21.95" customHeight="1" thickBot="1" x14ac:dyDescent="0.35">
      <c r="A107" s="203" t="s">
        <v>28</v>
      </c>
      <c r="B107" s="448"/>
      <c r="C107" s="449">
        <f>ROUND((AVERAGE(S95:S106,C95:C106,G95:G106,K95:K106,O95:O106)),2)</f>
        <v>99.45</v>
      </c>
      <c r="D107" s="449">
        <f>ROUND((AVERAGE(D95:D106,H95:H106,L95:L106,P95:P106,T95:T106)),2)</f>
        <v>0.21</v>
      </c>
      <c r="E107" s="450">
        <f>ROUND((AVERAGE(E95:E106,I95:I106,M95:M106,Q95:Q106,U95:U106)),4)</f>
        <v>2.5000000000000001E-3</v>
      </c>
      <c r="F107" s="451"/>
      <c r="G107" s="452"/>
      <c r="H107" s="453"/>
      <c r="I107" s="454"/>
      <c r="J107" s="451"/>
      <c r="K107" s="452"/>
      <c r="L107" s="453"/>
      <c r="M107" s="454"/>
      <c r="N107" s="451"/>
      <c r="O107" s="452"/>
      <c r="P107" s="453"/>
      <c r="Q107" s="454"/>
      <c r="R107" s="451"/>
      <c r="S107" s="452"/>
      <c r="T107" s="453"/>
      <c r="U107" s="454"/>
      <c r="V107" s="451"/>
      <c r="W107" s="452"/>
      <c r="X107" s="453"/>
      <c r="Y107" s="454"/>
      <c r="Z107" s="451"/>
      <c r="AA107" s="452"/>
      <c r="AB107" s="453"/>
      <c r="AC107" s="455"/>
      <c r="AD107" s="456"/>
      <c r="AE107" s="435"/>
      <c r="AF107" s="435"/>
      <c r="AG107" s="457"/>
      <c r="AH107" s="12"/>
      <c r="AI107" s="206" t="s">
        <v>28</v>
      </c>
      <c r="AJ107" s="448"/>
      <c r="AK107" s="449">
        <f>ROUND((AVERAGE(BA95:BA106,AK95:AK106,AO95:AO106,AS95:AS106,AW95:AW106)),2)</f>
        <v>99.45</v>
      </c>
      <c r="AL107" s="449">
        <f>ROUND((AVERAGE(AL95:AL106,AP95:AP106,AT95:AT106,AX95:AX106,BB95:BB106)),2)</f>
        <v>0.14000000000000001</v>
      </c>
      <c r="AM107" s="450">
        <f>ROUND((AVERAGE(AM95:AM106,AQ95:AQ106,AU95:AU106,AY95:AY106,BC95:BC106)),4)</f>
        <v>2.2000000000000001E-3</v>
      </c>
      <c r="AN107" s="451"/>
      <c r="AO107" s="452"/>
      <c r="AP107" s="453"/>
      <c r="AQ107" s="454"/>
      <c r="AR107" s="451"/>
      <c r="AS107" s="452"/>
      <c r="AT107" s="453"/>
      <c r="AU107" s="454"/>
      <c r="AV107" s="451"/>
      <c r="AW107" s="452"/>
      <c r="AX107" s="453"/>
      <c r="AY107" s="454"/>
      <c r="AZ107" s="451"/>
      <c r="BA107" s="452"/>
      <c r="BB107" s="453"/>
      <c r="BC107" s="454"/>
      <c r="BD107" s="451"/>
      <c r="BE107" s="452"/>
      <c r="BF107" s="453"/>
      <c r="BG107" s="454"/>
      <c r="BH107" s="451"/>
      <c r="BI107" s="452"/>
      <c r="BJ107" s="453"/>
      <c r="BK107" s="454"/>
      <c r="BL107" s="508"/>
      <c r="BM107" s="433"/>
      <c r="BN107" s="229"/>
      <c r="BO107" s="227"/>
      <c r="BP107" s="6"/>
      <c r="CX107" s="1001" t="s">
        <v>50</v>
      </c>
      <c r="CY107" s="813"/>
      <c r="CZ107" s="963"/>
      <c r="DA107" s="248">
        <f>AVERAGE(AS127)</f>
        <v>29.4</v>
      </c>
    </row>
    <row r="108" spans="1:106" ht="21.95" customHeight="1" x14ac:dyDescent="0.3">
      <c r="A108" s="1003"/>
      <c r="B108" s="1003"/>
      <c r="C108" s="1003"/>
      <c r="D108" s="1003"/>
      <c r="E108" s="1003"/>
      <c r="F108" s="1003"/>
      <c r="G108" s="1003"/>
      <c r="H108" s="1003"/>
      <c r="I108" s="47"/>
      <c r="J108" s="1003"/>
      <c r="K108" s="1003"/>
      <c r="L108" s="1003"/>
      <c r="M108" s="1003"/>
      <c r="N108" s="1003"/>
      <c r="O108" s="1003"/>
      <c r="P108" s="1003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3"/>
      <c r="AC108" s="1003"/>
      <c r="AD108" s="1003"/>
      <c r="AE108" s="1003"/>
      <c r="AF108" s="1003"/>
      <c r="AG108" s="1003"/>
      <c r="AH108" s="12"/>
      <c r="AI108" s="100"/>
      <c r="AJ108" s="961"/>
      <c r="AK108" s="961"/>
      <c r="AL108" s="961"/>
      <c r="AM108" s="961"/>
      <c r="AN108" s="961"/>
      <c r="AO108" s="961"/>
      <c r="AP108" s="961"/>
      <c r="AQ108" s="512"/>
      <c r="AR108" s="961"/>
      <c r="AS108" s="961"/>
      <c r="AT108" s="961"/>
      <c r="AU108" s="961"/>
      <c r="AV108" s="961"/>
      <c r="AW108" s="961"/>
      <c r="AX108" s="961"/>
      <c r="AY108" s="961"/>
      <c r="AZ108" s="961"/>
      <c r="BA108" s="961"/>
      <c r="BB108" s="961"/>
      <c r="BC108" s="961"/>
      <c r="BD108" s="961"/>
      <c r="BE108" s="961"/>
      <c r="BF108" s="961"/>
      <c r="BG108" s="961"/>
      <c r="BH108" s="961"/>
      <c r="BI108" s="961"/>
      <c r="BJ108" s="961"/>
      <c r="BK108" s="961"/>
      <c r="BL108" s="961"/>
      <c r="BM108" s="961"/>
      <c r="BN108" s="961"/>
      <c r="BO108" s="961"/>
      <c r="BP108" s="6"/>
      <c r="CX108" s="2236" t="s">
        <v>49</v>
      </c>
      <c r="CY108" s="2237"/>
      <c r="CZ108" s="963"/>
      <c r="DA108" s="248" t="e">
        <f>AVERAGE(AS128)</f>
        <v>#DIV/0!</v>
      </c>
    </row>
    <row r="109" spans="1:106" s="88" customFormat="1" ht="21.95" customHeight="1" thickBot="1" x14ac:dyDescent="0.35">
      <c r="A109" s="1822" t="s">
        <v>1006</v>
      </c>
      <c r="B109" s="1822"/>
      <c r="C109" s="1822"/>
      <c r="D109" s="1822"/>
      <c r="E109" s="1822"/>
      <c r="F109" s="1822"/>
      <c r="G109" s="1822"/>
      <c r="H109" s="1822"/>
      <c r="I109" s="1822"/>
      <c r="J109" s="1822"/>
      <c r="K109" s="1822"/>
      <c r="L109" s="1822"/>
      <c r="M109" s="1822"/>
      <c r="N109" s="1822"/>
      <c r="O109" s="1822"/>
      <c r="P109" s="1822"/>
      <c r="Q109" s="1822"/>
      <c r="R109" s="1822"/>
      <c r="S109" s="1822"/>
      <c r="T109" s="1822"/>
      <c r="U109" s="1823" t="s">
        <v>65</v>
      </c>
      <c r="V109" s="1823"/>
      <c r="W109" s="1823"/>
      <c r="X109" s="1823"/>
      <c r="Y109" s="1823"/>
      <c r="Z109" s="1823"/>
      <c r="AA109" s="1823"/>
      <c r="AB109" s="1823"/>
      <c r="AC109" s="1823"/>
      <c r="AD109" s="1823"/>
      <c r="AE109" s="1823"/>
      <c r="AF109" s="1823"/>
      <c r="AG109" s="1823"/>
      <c r="AH109" s="84"/>
      <c r="AI109" s="2012" t="s">
        <v>1065</v>
      </c>
      <c r="AJ109" s="2012"/>
      <c r="AK109" s="2012"/>
      <c r="AL109" s="2012"/>
      <c r="AM109" s="2012"/>
      <c r="AN109" s="2012"/>
      <c r="AO109" s="2012"/>
      <c r="AP109" s="2012"/>
      <c r="AQ109" s="2012"/>
      <c r="AR109" s="2012"/>
      <c r="AS109" s="2012"/>
      <c r="AT109" s="2012"/>
      <c r="AU109" s="2012"/>
      <c r="AV109" s="2012"/>
      <c r="AW109" s="2012"/>
      <c r="AX109" s="2012"/>
      <c r="AY109" s="2012"/>
      <c r="AZ109" s="2012"/>
      <c r="BA109" s="2012"/>
      <c r="BB109" s="2012"/>
      <c r="BC109" s="2030" t="s">
        <v>65</v>
      </c>
      <c r="BD109" s="2030"/>
      <c r="BE109" s="2030"/>
      <c r="BF109" s="2030"/>
      <c r="BG109" s="2030"/>
      <c r="BH109" s="2030"/>
      <c r="BI109" s="2030"/>
      <c r="BJ109" s="2030"/>
      <c r="BK109" s="2030"/>
      <c r="BL109" s="2030"/>
      <c r="BM109" s="2030"/>
      <c r="BN109" s="2030"/>
      <c r="BO109" s="2030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2219" t="s">
        <v>56</v>
      </c>
      <c r="CY109" s="2220"/>
      <c r="CZ109" s="243"/>
      <c r="DA109" s="882">
        <f>AVERAGE(AS129)</f>
        <v>18</v>
      </c>
    </row>
    <row r="110" spans="1:106" ht="21.95" customHeight="1" thickBot="1" x14ac:dyDescent="0.35">
      <c r="A110" s="1665" t="s">
        <v>84</v>
      </c>
      <c r="B110" s="1666"/>
      <c r="C110" s="805">
        <v>1</v>
      </c>
      <c r="D110" s="806">
        <v>2</v>
      </c>
      <c r="E110" s="806">
        <v>3</v>
      </c>
      <c r="F110" s="806">
        <v>4</v>
      </c>
      <c r="G110" s="806">
        <v>5</v>
      </c>
      <c r="H110" s="806">
        <v>6</v>
      </c>
      <c r="I110" s="806">
        <v>7</v>
      </c>
      <c r="J110" s="806">
        <v>8</v>
      </c>
      <c r="K110" s="806">
        <v>9</v>
      </c>
      <c r="L110" s="806">
        <v>10</v>
      </c>
      <c r="M110" s="806">
        <v>11</v>
      </c>
      <c r="N110" s="806">
        <v>12</v>
      </c>
      <c r="O110" s="806">
        <v>13</v>
      </c>
      <c r="P110" s="806">
        <v>14</v>
      </c>
      <c r="Q110" s="806">
        <v>15</v>
      </c>
      <c r="R110" s="807">
        <v>16</v>
      </c>
      <c r="S110" s="808" t="s">
        <v>28</v>
      </c>
      <c r="T110" s="809" t="s">
        <v>188</v>
      </c>
      <c r="U110" s="49"/>
      <c r="V110" s="120"/>
      <c r="W110" s="1760" t="s">
        <v>43</v>
      </c>
      <c r="X110" s="1761"/>
      <c r="Y110" s="797">
        <v>1</v>
      </c>
      <c r="Z110" s="798">
        <v>2</v>
      </c>
      <c r="AA110" s="798">
        <v>3</v>
      </c>
      <c r="AB110" s="798">
        <v>4</v>
      </c>
      <c r="AC110" s="798">
        <v>7</v>
      </c>
      <c r="AD110" s="798">
        <v>8</v>
      </c>
      <c r="AE110" s="798">
        <v>9</v>
      </c>
      <c r="AF110" s="798">
        <v>10</v>
      </c>
      <c r="AG110" s="724" t="s">
        <v>28</v>
      </c>
      <c r="AH110" s="50"/>
      <c r="AI110" s="1665" t="s">
        <v>84</v>
      </c>
      <c r="AJ110" s="1666"/>
      <c r="AK110" s="805">
        <v>1</v>
      </c>
      <c r="AL110" s="806">
        <v>2</v>
      </c>
      <c r="AM110" s="806">
        <v>3</v>
      </c>
      <c r="AN110" s="806">
        <v>4</v>
      </c>
      <c r="AO110" s="806">
        <v>5</v>
      </c>
      <c r="AP110" s="806">
        <v>6</v>
      </c>
      <c r="AQ110" s="806">
        <v>7</v>
      </c>
      <c r="AR110" s="806">
        <v>8</v>
      </c>
      <c r="AS110" s="806">
        <v>9</v>
      </c>
      <c r="AT110" s="806">
        <v>10</v>
      </c>
      <c r="AU110" s="806">
        <v>11</v>
      </c>
      <c r="AV110" s="806">
        <v>12</v>
      </c>
      <c r="AW110" s="806">
        <v>13</v>
      </c>
      <c r="AX110" s="806">
        <v>14</v>
      </c>
      <c r="AY110" s="806">
        <v>15</v>
      </c>
      <c r="AZ110" s="807">
        <v>16</v>
      </c>
      <c r="BA110" s="1726" t="s">
        <v>28</v>
      </c>
      <c r="BB110" s="1727"/>
      <c r="BC110" s="824"/>
      <c r="BD110" s="503"/>
      <c r="BE110" s="1789" t="s">
        <v>43</v>
      </c>
      <c r="BF110" s="1790"/>
      <c r="BG110" s="797">
        <v>1</v>
      </c>
      <c r="BH110" s="798">
        <v>2</v>
      </c>
      <c r="BI110" s="798">
        <v>3</v>
      </c>
      <c r="BJ110" s="798">
        <v>4</v>
      </c>
      <c r="BK110" s="798">
        <v>7</v>
      </c>
      <c r="BL110" s="798">
        <v>8</v>
      </c>
      <c r="BM110" s="798">
        <v>9</v>
      </c>
      <c r="BN110" s="798">
        <v>10</v>
      </c>
      <c r="BO110" s="724" t="s">
        <v>28</v>
      </c>
      <c r="BP110" s="6"/>
      <c r="CX110" s="999" t="s">
        <v>276</v>
      </c>
      <c r="CY110" s="963"/>
      <c r="CZ110" s="963"/>
      <c r="DA110" s="963">
        <f>AVERAGE(C72,AK72)</f>
        <v>1.2</v>
      </c>
    </row>
    <row r="111" spans="1:106" ht="21.95" customHeight="1" x14ac:dyDescent="0.3">
      <c r="A111" s="1724" t="s">
        <v>987</v>
      </c>
      <c r="B111" s="1725"/>
      <c r="C111" s="458">
        <v>149</v>
      </c>
      <c r="D111" s="228" t="s">
        <v>1689</v>
      </c>
      <c r="E111" s="398">
        <v>164</v>
      </c>
      <c r="F111" s="228">
        <v>146</v>
      </c>
      <c r="G111" s="398" t="s">
        <v>1683</v>
      </c>
      <c r="H111" s="228">
        <v>151</v>
      </c>
      <c r="I111" s="398" t="s">
        <v>1689</v>
      </c>
      <c r="J111" s="228" t="s">
        <v>1683</v>
      </c>
      <c r="K111" s="228" t="s">
        <v>1683</v>
      </c>
      <c r="L111" s="398">
        <v>147</v>
      </c>
      <c r="M111" s="398">
        <v>164</v>
      </c>
      <c r="N111" s="398">
        <v>161</v>
      </c>
      <c r="O111" s="228" t="s">
        <v>1683</v>
      </c>
      <c r="P111" s="359">
        <v>150</v>
      </c>
      <c r="Q111" s="228">
        <v>163</v>
      </c>
      <c r="R111" s="355">
        <v>164</v>
      </c>
      <c r="S111" s="810">
        <f t="shared" ref="S111:S117" si="17">ROUND(AVERAGE(C111:R111),1)</f>
        <v>155.9</v>
      </c>
      <c r="T111" s="1552">
        <f>COUNT(C111:R111)</f>
        <v>10</v>
      </c>
      <c r="U111" s="52" t="s">
        <v>985</v>
      </c>
      <c r="V111" s="503">
        <v>30</v>
      </c>
      <c r="W111" s="1706" t="s">
        <v>240</v>
      </c>
      <c r="X111" s="1707"/>
      <c r="Y111" s="398">
        <v>26</v>
      </c>
      <c r="Z111" s="398" t="s">
        <v>1683</v>
      </c>
      <c r="AA111" s="398">
        <v>25</v>
      </c>
      <c r="AB111" s="398">
        <v>26</v>
      </c>
      <c r="AC111" s="398">
        <v>26</v>
      </c>
      <c r="AD111" s="398">
        <v>25</v>
      </c>
      <c r="AE111" s="398">
        <v>24</v>
      </c>
      <c r="AF111" s="466" t="s">
        <v>1689</v>
      </c>
      <c r="AG111" s="828">
        <f>ROUND(AVERAGE(Y111:AF111),1)</f>
        <v>25.3</v>
      </c>
      <c r="AH111" s="51"/>
      <c r="AI111" s="1724" t="s">
        <v>987</v>
      </c>
      <c r="AJ111" s="1725"/>
      <c r="AK111" s="458">
        <v>163</v>
      </c>
      <c r="AL111" s="228" t="s">
        <v>1705</v>
      </c>
      <c r="AM111" s="398">
        <v>157</v>
      </c>
      <c r="AN111" s="228">
        <v>149</v>
      </c>
      <c r="AO111" s="398" t="s">
        <v>1704</v>
      </c>
      <c r="AP111" s="228">
        <v>149</v>
      </c>
      <c r="AQ111" s="398" t="s">
        <v>1705</v>
      </c>
      <c r="AR111" s="228" t="s">
        <v>1704</v>
      </c>
      <c r="AS111" s="228" t="s">
        <v>1704</v>
      </c>
      <c r="AT111" s="398" t="s">
        <v>1705</v>
      </c>
      <c r="AU111" s="398">
        <v>150</v>
      </c>
      <c r="AV111" s="398">
        <v>151</v>
      </c>
      <c r="AW111" s="228">
        <v>153</v>
      </c>
      <c r="AX111" s="359" t="s">
        <v>1704</v>
      </c>
      <c r="AY111" s="228">
        <v>152</v>
      </c>
      <c r="AZ111" s="355">
        <v>161</v>
      </c>
      <c r="BA111" s="492">
        <f t="shared" ref="BA111:BA117" si="18">ROUND(AVERAGE(AK111:AZ111),1)</f>
        <v>153.9</v>
      </c>
      <c r="BB111" s="847">
        <f>COUNT(AK111:AZ111)</f>
        <v>9</v>
      </c>
      <c r="BC111" s="52" t="s">
        <v>985</v>
      </c>
      <c r="BD111" s="497">
        <v>30</v>
      </c>
      <c r="BE111" s="1706" t="s">
        <v>240</v>
      </c>
      <c r="BF111" s="1707"/>
      <c r="BG111" s="398">
        <v>23</v>
      </c>
      <c r="BH111" s="398" t="s">
        <v>1704</v>
      </c>
      <c r="BI111" s="398">
        <v>22</v>
      </c>
      <c r="BJ111" s="398">
        <v>23</v>
      </c>
      <c r="BK111" s="398">
        <v>24</v>
      </c>
      <c r="BL111" s="398">
        <v>25</v>
      </c>
      <c r="BM111" s="398">
        <v>22</v>
      </c>
      <c r="BN111" s="466" t="s">
        <v>1705</v>
      </c>
      <c r="BO111" s="828">
        <f>ROUND(AVERAGE(BG111:BN111),1)</f>
        <v>23.2</v>
      </c>
      <c r="BP111" s="6"/>
      <c r="CX111" s="999" t="s">
        <v>277</v>
      </c>
      <c r="CY111" s="963"/>
      <c r="CZ111" s="963"/>
      <c r="DA111" s="963">
        <f>AVERAGE(C73,AK73)</f>
        <v>16.5</v>
      </c>
    </row>
    <row r="112" spans="1:106" ht="21.95" customHeight="1" x14ac:dyDescent="0.3">
      <c r="A112" s="1848" t="s">
        <v>440</v>
      </c>
      <c r="B112" s="1849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0" t="e">
        <f t="shared" si="17"/>
        <v>#DIV/0!</v>
      </c>
      <c r="T112" s="1552">
        <f t="shared" ref="T112" si="19">COUNT(C112:R112)</f>
        <v>0</v>
      </c>
      <c r="U112" s="804" t="s">
        <v>986</v>
      </c>
      <c r="V112" s="497">
        <v>252</v>
      </c>
      <c r="W112" s="1708" t="s">
        <v>442</v>
      </c>
      <c r="X112" s="1709"/>
      <c r="Y112" s="228">
        <v>-0.5</v>
      </c>
      <c r="Z112" s="228"/>
      <c r="AA112" s="228">
        <v>-0.5</v>
      </c>
      <c r="AB112" s="228">
        <v>-0.5</v>
      </c>
      <c r="AC112" s="228">
        <v>-0.5</v>
      </c>
      <c r="AD112" s="228">
        <v>-0.5</v>
      </c>
      <c r="AE112" s="228">
        <v>-0.5</v>
      </c>
      <c r="AF112" s="228"/>
      <c r="AG112" s="828">
        <f>ROUND(AVERAGE(Y112:AF112),1)</f>
        <v>-0.5</v>
      </c>
      <c r="AH112" s="51"/>
      <c r="AI112" s="1848" t="s">
        <v>440</v>
      </c>
      <c r="AJ112" s="1849"/>
      <c r="AK112" s="372">
        <v>98</v>
      </c>
      <c r="AL112" s="228"/>
      <c r="AM112" s="398">
        <v>106</v>
      </c>
      <c r="AN112" s="228">
        <v>91</v>
      </c>
      <c r="AO112" s="398"/>
      <c r="AP112" s="228">
        <v>92</v>
      </c>
      <c r="AQ112" s="398"/>
      <c r="AR112" s="228"/>
      <c r="AS112" s="228"/>
      <c r="AT112" s="398"/>
      <c r="AU112" s="398">
        <v>96</v>
      </c>
      <c r="AV112" s="398">
        <v>91</v>
      </c>
      <c r="AW112" s="228">
        <v>91</v>
      </c>
      <c r="AX112" s="228"/>
      <c r="AY112" s="228">
        <v>96</v>
      </c>
      <c r="AZ112" s="355">
        <v>92</v>
      </c>
      <c r="BA112" s="492">
        <f t="shared" si="18"/>
        <v>94.8</v>
      </c>
      <c r="BB112" s="847">
        <f t="shared" ref="BB112:BB113" si="20">COUNT(AK112:AZ112)</f>
        <v>9</v>
      </c>
      <c r="BC112" s="804" t="s">
        <v>986</v>
      </c>
      <c r="BD112" s="498">
        <v>250</v>
      </c>
      <c r="BE112" s="1766" t="s">
        <v>442</v>
      </c>
      <c r="BF112" s="1767"/>
      <c r="BG112" s="228">
        <v>-1</v>
      </c>
      <c r="BH112" s="228"/>
      <c r="BI112" s="398">
        <v>-1</v>
      </c>
      <c r="BJ112" s="398">
        <v>-1</v>
      </c>
      <c r="BK112" s="398">
        <v>-1</v>
      </c>
      <c r="BL112" s="398">
        <v>-1</v>
      </c>
      <c r="BM112" s="398">
        <v>-1</v>
      </c>
      <c r="BN112" s="466"/>
      <c r="BO112" s="828">
        <f>ROUND(AVERAGE(BG112:BN112),1)</f>
        <v>-1</v>
      </c>
      <c r="BP112" s="6"/>
      <c r="CX112" s="999" t="s">
        <v>278</v>
      </c>
      <c r="CY112" s="963"/>
      <c r="CZ112" s="963"/>
      <c r="DA112" s="963">
        <f>AVERAGE(C71,AK71)</f>
        <v>-14.5</v>
      </c>
    </row>
    <row r="113" spans="1:105" ht="21.95" customHeight="1" x14ac:dyDescent="0.3">
      <c r="A113" s="1648" t="s">
        <v>132</v>
      </c>
      <c r="B113" s="1649"/>
      <c r="C113" s="372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5"/>
      <c r="S113" s="810" t="e">
        <f t="shared" si="17"/>
        <v>#DIV/0!</v>
      </c>
      <c r="T113" s="1552">
        <f>COUNT(C113:R113)</f>
        <v>0</v>
      </c>
      <c r="U113" s="982" t="s">
        <v>444</v>
      </c>
      <c r="V113" s="504">
        <v>3.4</v>
      </c>
      <c r="W113" s="1706" t="s">
        <v>984</v>
      </c>
      <c r="X113" s="1707"/>
      <c r="Y113" s="228">
        <v>180</v>
      </c>
      <c r="Z113" s="228"/>
      <c r="AA113" s="228">
        <v>178</v>
      </c>
      <c r="AB113" s="228">
        <v>180</v>
      </c>
      <c r="AC113" s="228">
        <v>179</v>
      </c>
      <c r="AD113" s="398">
        <v>180</v>
      </c>
      <c r="AE113" s="228">
        <v>171</v>
      </c>
      <c r="AF113" s="466"/>
      <c r="AG113" s="828">
        <f>ROUND(AVERAGE(Y113:AF113),1)</f>
        <v>178</v>
      </c>
      <c r="AH113" s="51"/>
      <c r="AI113" s="1648" t="s">
        <v>132</v>
      </c>
      <c r="AJ113" s="1649"/>
      <c r="AK113" s="372">
        <v>-1</v>
      </c>
      <c r="AL113" s="228"/>
      <c r="AM113" s="398">
        <v>-1</v>
      </c>
      <c r="AN113" s="228">
        <v>-1</v>
      </c>
      <c r="AO113" s="398"/>
      <c r="AP113" s="228">
        <v>-1</v>
      </c>
      <c r="AQ113" s="398"/>
      <c r="AR113" s="228"/>
      <c r="AS113" s="228"/>
      <c r="AT113" s="398"/>
      <c r="AU113" s="398">
        <v>-1</v>
      </c>
      <c r="AV113" s="398">
        <v>-1</v>
      </c>
      <c r="AW113" s="398">
        <v>-1</v>
      </c>
      <c r="AX113" s="398"/>
      <c r="AY113" s="398">
        <v>-1</v>
      </c>
      <c r="AZ113" s="398">
        <v>-1</v>
      </c>
      <c r="BA113" s="492">
        <f t="shared" si="18"/>
        <v>-1</v>
      </c>
      <c r="BB113" s="847">
        <f t="shared" si="20"/>
        <v>9</v>
      </c>
      <c r="BC113" s="982" t="s">
        <v>444</v>
      </c>
      <c r="BD113" s="499">
        <v>3.2</v>
      </c>
      <c r="BE113" s="1706" t="s">
        <v>984</v>
      </c>
      <c r="BF113" s="1707"/>
      <c r="BG113" s="228">
        <v>177</v>
      </c>
      <c r="BH113" s="228"/>
      <c r="BI113" s="398">
        <v>179</v>
      </c>
      <c r="BJ113" s="228">
        <v>173</v>
      </c>
      <c r="BK113" s="398">
        <v>172</v>
      </c>
      <c r="BL113" s="398">
        <v>178</v>
      </c>
      <c r="BM113" s="398">
        <v>175</v>
      </c>
      <c r="BN113" s="466"/>
      <c r="BO113" s="828">
        <f>ROUND(AVERAGE(BG113:BN113),1)</f>
        <v>175.7</v>
      </c>
      <c r="BP113" s="6"/>
      <c r="CX113" s="999" t="s">
        <v>279</v>
      </c>
      <c r="CY113" s="963"/>
      <c r="CZ113" s="963"/>
      <c r="DA113" s="963">
        <f>AVERAGE(C70,AK70)</f>
        <v>754.55</v>
      </c>
    </row>
    <row r="114" spans="1:105" ht="21.95" customHeight="1" x14ac:dyDescent="0.3">
      <c r="A114" s="1648" t="s">
        <v>988</v>
      </c>
      <c r="B114" s="1649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0" t="e">
        <f t="shared" si="17"/>
        <v>#DIV/0!</v>
      </c>
      <c r="T114" s="1553">
        <f>COUNT(C114:R114)</f>
        <v>0</v>
      </c>
      <c r="U114" s="1730" t="s">
        <v>443</v>
      </c>
      <c r="V114" s="497">
        <v>36</v>
      </c>
      <c r="W114" s="1796"/>
      <c r="X114" s="1797"/>
      <c r="Y114" s="467"/>
      <c r="Z114" s="365"/>
      <c r="AA114" s="468"/>
      <c r="AB114" s="365"/>
      <c r="AC114" s="365"/>
      <c r="AD114" s="365"/>
      <c r="AE114" s="365"/>
      <c r="AF114" s="469"/>
      <c r="AG114" s="829">
        <f>COUNT(Y113:AF113)</f>
        <v>6</v>
      </c>
      <c r="AH114" s="53"/>
      <c r="AI114" s="1648" t="s">
        <v>988</v>
      </c>
      <c r="AJ114" s="1649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2" t="e">
        <f t="shared" si="18"/>
        <v>#DIV/0!</v>
      </c>
      <c r="BB114" s="493">
        <f>COUNT(AK114:AZ114)</f>
        <v>0</v>
      </c>
      <c r="BC114" s="1730" t="s">
        <v>443</v>
      </c>
      <c r="BD114" s="498">
        <v>34</v>
      </c>
      <c r="BE114" s="1690"/>
      <c r="BF114" s="1691"/>
      <c r="BG114" s="467"/>
      <c r="BH114" s="365"/>
      <c r="BI114" s="468"/>
      <c r="BJ114" s="365"/>
      <c r="BK114" s="365"/>
      <c r="BL114" s="365"/>
      <c r="BM114" s="365"/>
      <c r="BN114" s="469"/>
      <c r="BO114" s="829">
        <f>COUNT(BG113:BN113)</f>
        <v>6</v>
      </c>
      <c r="BP114" s="6"/>
      <c r="CX114" s="999" t="s">
        <v>309</v>
      </c>
      <c r="CY114" s="963"/>
      <c r="CZ114" s="963"/>
      <c r="DA114" s="248">
        <f>BA113</f>
        <v>-1</v>
      </c>
    </row>
    <row r="115" spans="1:105" ht="21.95" customHeight="1" x14ac:dyDescent="0.3">
      <c r="A115" s="1648" t="s">
        <v>989</v>
      </c>
      <c r="B115" s="1649"/>
      <c r="C115" s="372">
        <v>380</v>
      </c>
      <c r="D115" s="398"/>
      <c r="E115" s="398">
        <v>381</v>
      </c>
      <c r="F115" s="398">
        <v>398</v>
      </c>
      <c r="G115" s="398"/>
      <c r="H115" s="398">
        <v>479</v>
      </c>
      <c r="I115" s="398"/>
      <c r="J115" s="398"/>
      <c r="K115" s="398"/>
      <c r="L115" s="398">
        <v>426</v>
      </c>
      <c r="M115" s="398">
        <v>366</v>
      </c>
      <c r="N115" s="398">
        <v>412</v>
      </c>
      <c r="O115" s="398"/>
      <c r="P115" s="398">
        <v>411</v>
      </c>
      <c r="Q115" s="398">
        <v>433</v>
      </c>
      <c r="R115" s="355">
        <v>474</v>
      </c>
      <c r="S115" s="810">
        <f t="shared" si="17"/>
        <v>416</v>
      </c>
      <c r="T115" s="1553">
        <f>COUNT(C115:R115)</f>
        <v>10</v>
      </c>
      <c r="U115" s="1731"/>
      <c r="V115" s="505"/>
      <c r="W115" s="1796"/>
      <c r="X115" s="1797"/>
      <c r="Y115" s="960"/>
      <c r="Z115" s="228"/>
      <c r="AA115" s="470"/>
      <c r="AB115" s="228"/>
      <c r="AC115" s="228"/>
      <c r="AD115" s="228"/>
      <c r="AE115" s="228"/>
      <c r="AF115" s="471"/>
      <c r="AG115" s="501"/>
      <c r="AH115" s="53"/>
      <c r="AI115" s="1648" t="s">
        <v>989</v>
      </c>
      <c r="AJ115" s="1649"/>
      <c r="AK115" s="372">
        <v>390</v>
      </c>
      <c r="AL115" s="398"/>
      <c r="AM115" s="398">
        <v>331</v>
      </c>
      <c r="AN115" s="398">
        <v>402</v>
      </c>
      <c r="AO115" s="398"/>
      <c r="AP115" s="398">
        <v>320</v>
      </c>
      <c r="AQ115" s="398"/>
      <c r="AR115" s="398"/>
      <c r="AS115" s="398"/>
      <c r="AT115" s="398"/>
      <c r="AU115" s="398">
        <v>358</v>
      </c>
      <c r="AV115" s="398">
        <v>417</v>
      </c>
      <c r="AW115" s="398">
        <v>330</v>
      </c>
      <c r="AX115" s="398"/>
      <c r="AY115" s="398">
        <v>432</v>
      </c>
      <c r="AZ115" s="355">
        <v>496</v>
      </c>
      <c r="BA115" s="492">
        <f t="shared" si="18"/>
        <v>386.2</v>
      </c>
      <c r="BB115" s="493">
        <f>COUNT(AK115:AZ115)</f>
        <v>9</v>
      </c>
      <c r="BC115" s="1731"/>
      <c r="BD115" s="500"/>
      <c r="BE115" s="1690"/>
      <c r="BF115" s="1691"/>
      <c r="BG115" s="960"/>
      <c r="BH115" s="228"/>
      <c r="BI115" s="470"/>
      <c r="BJ115" s="228"/>
      <c r="BK115" s="228"/>
      <c r="BL115" s="228"/>
      <c r="BM115" s="228"/>
      <c r="BN115" s="471"/>
      <c r="BO115" s="829"/>
      <c r="BP115" s="6"/>
      <c r="CX115" s="999"/>
      <c r="CY115" s="963"/>
      <c r="CZ115" s="963"/>
      <c r="DA115" s="963"/>
    </row>
    <row r="116" spans="1:105" ht="21.95" customHeight="1" thickBot="1" x14ac:dyDescent="0.35">
      <c r="A116" s="1648" t="s">
        <v>990</v>
      </c>
      <c r="B116" s="1649"/>
      <c r="C116" s="356">
        <v>9.1999999999999993</v>
      </c>
      <c r="D116" s="362"/>
      <c r="E116" s="349">
        <v>9</v>
      </c>
      <c r="F116" s="362">
        <v>9.1999999999999993</v>
      </c>
      <c r="G116" s="349"/>
      <c r="H116" s="362">
        <v>9</v>
      </c>
      <c r="I116" s="349"/>
      <c r="J116" s="362"/>
      <c r="K116" s="362"/>
      <c r="L116" s="349">
        <v>9.6</v>
      </c>
      <c r="M116" s="349">
        <v>9</v>
      </c>
      <c r="N116" s="349">
        <v>9.1999999999999993</v>
      </c>
      <c r="O116" s="362"/>
      <c r="P116" s="362">
        <v>9</v>
      </c>
      <c r="Q116" s="362">
        <v>9.1999999999999993</v>
      </c>
      <c r="R116" s="401">
        <v>9.4</v>
      </c>
      <c r="S116" s="810">
        <f t="shared" si="17"/>
        <v>9.1999999999999993</v>
      </c>
      <c r="T116" s="1553">
        <f>COUNT(C116:R116)</f>
        <v>10</v>
      </c>
      <c r="U116" s="52"/>
      <c r="V116" s="506"/>
      <c r="W116" s="1787"/>
      <c r="X116" s="1788"/>
      <c r="Y116" s="472"/>
      <c r="Z116" s="228"/>
      <c r="AA116" s="228"/>
      <c r="AB116" s="228"/>
      <c r="AC116" s="228"/>
      <c r="AD116" s="228"/>
      <c r="AE116" s="228"/>
      <c r="AF116" s="471"/>
      <c r="AG116" s="501"/>
      <c r="AH116" s="51"/>
      <c r="AI116" s="1648" t="s">
        <v>990</v>
      </c>
      <c r="AJ116" s="1649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1"/>
      <c r="BA116" s="492" t="e">
        <f t="shared" si="18"/>
        <v>#DIV/0!</v>
      </c>
      <c r="BB116" s="493">
        <f>COUNT(AK116:AZ116)</f>
        <v>0</v>
      </c>
      <c r="BC116" s="803"/>
      <c r="BD116" s="975"/>
      <c r="BE116" s="1753"/>
      <c r="BF116" s="1754"/>
      <c r="BG116" s="472"/>
      <c r="BH116" s="228"/>
      <c r="BI116" s="228"/>
      <c r="BJ116" s="228"/>
      <c r="BK116" s="228"/>
      <c r="BL116" s="228"/>
      <c r="BM116" s="228"/>
      <c r="BN116" s="471"/>
      <c r="BO116" s="829"/>
      <c r="BP116" s="6"/>
      <c r="BZ116" s="4"/>
      <c r="CX116" s="999"/>
      <c r="CY116" s="963"/>
      <c r="CZ116" s="963"/>
      <c r="DA116" s="963"/>
    </row>
    <row r="117" spans="1:105" ht="21.95" customHeight="1" thickBot="1" x14ac:dyDescent="0.35">
      <c r="A117" s="1648" t="s">
        <v>991</v>
      </c>
      <c r="B117" s="1649"/>
      <c r="C117" s="1409">
        <v>159</v>
      </c>
      <c r="D117" s="359"/>
      <c r="E117" s="359">
        <v>153</v>
      </c>
      <c r="F117" s="359">
        <v>156</v>
      </c>
      <c r="G117" s="359"/>
      <c r="H117" s="359">
        <v>164</v>
      </c>
      <c r="I117" s="359"/>
      <c r="J117" s="359"/>
      <c r="K117" s="359"/>
      <c r="L117" s="359">
        <v>171</v>
      </c>
      <c r="M117" s="359">
        <v>141</v>
      </c>
      <c r="N117" s="359">
        <v>180</v>
      </c>
      <c r="O117" s="359"/>
      <c r="P117" s="359">
        <v>142</v>
      </c>
      <c r="Q117" s="359">
        <v>170</v>
      </c>
      <c r="R117" s="1410">
        <v>178</v>
      </c>
      <c r="S117" s="811">
        <f t="shared" si="17"/>
        <v>161.4</v>
      </c>
      <c r="T117" s="495"/>
      <c r="U117" s="54"/>
      <c r="V117" s="132"/>
      <c r="W117" s="1796"/>
      <c r="X117" s="1797"/>
      <c r="Y117" s="960"/>
      <c r="Z117" s="470"/>
      <c r="AA117" s="470"/>
      <c r="AB117" s="470"/>
      <c r="AC117" s="470"/>
      <c r="AD117" s="228"/>
      <c r="AE117" s="228"/>
      <c r="AF117" s="471"/>
      <c r="AG117" s="502"/>
      <c r="AH117" s="51"/>
      <c r="AI117" s="1648" t="s">
        <v>991</v>
      </c>
      <c r="AJ117" s="1649"/>
      <c r="AK117" s="419">
        <v>173</v>
      </c>
      <c r="AL117" s="362"/>
      <c r="AM117" s="362">
        <v>144</v>
      </c>
      <c r="AN117" s="362">
        <v>162</v>
      </c>
      <c r="AO117" s="362"/>
      <c r="AP117" s="362">
        <v>141</v>
      </c>
      <c r="AQ117" s="362"/>
      <c r="AR117" s="362"/>
      <c r="AS117" s="362"/>
      <c r="AT117" s="362"/>
      <c r="AU117" s="362">
        <v>141</v>
      </c>
      <c r="AV117" s="362">
        <v>176</v>
      </c>
      <c r="AW117" s="362">
        <v>140</v>
      </c>
      <c r="AX117" s="362"/>
      <c r="AY117" s="362">
        <v>166</v>
      </c>
      <c r="AZ117" s="459">
        <v>174</v>
      </c>
      <c r="BA117" s="494">
        <f t="shared" si="18"/>
        <v>157.4</v>
      </c>
      <c r="BB117" s="495"/>
      <c r="BC117" s="825"/>
      <c r="BD117" s="826"/>
      <c r="BE117" s="1690"/>
      <c r="BF117" s="1691"/>
      <c r="BG117" s="960"/>
      <c r="BH117" s="470"/>
      <c r="BI117" s="470"/>
      <c r="BJ117" s="470"/>
      <c r="BK117" s="470"/>
      <c r="BL117" s="228"/>
      <c r="BM117" s="228"/>
      <c r="BN117" s="471"/>
      <c r="BO117" s="830"/>
      <c r="BP117" s="6"/>
      <c r="BZ117" s="4"/>
      <c r="CX117" s="999"/>
      <c r="CY117" s="963"/>
      <c r="CZ117" s="963"/>
      <c r="DA117" s="963"/>
    </row>
    <row r="118" spans="1:105" ht="21.95" customHeight="1" thickBot="1" x14ac:dyDescent="0.35">
      <c r="A118" s="1648" t="s">
        <v>439</v>
      </c>
      <c r="B118" s="1649"/>
      <c r="C118" s="372"/>
      <c r="D118" s="228"/>
      <c r="E118" s="228"/>
      <c r="F118" s="460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59"/>
      <c r="S118" s="811" t="e">
        <f>ROUND(AVERAGE(D118:R118),1)</f>
        <v>#DIV/0!</v>
      </c>
      <c r="T118" s="1553">
        <f>COUNT(C118:R118)</f>
        <v>0</v>
      </c>
      <c r="U118" s="54"/>
      <c r="V118" s="132"/>
      <c r="W118" s="55"/>
      <c r="X118" s="56"/>
      <c r="Y118" s="473"/>
      <c r="Z118" s="375"/>
      <c r="AA118" s="375"/>
      <c r="AB118" s="375"/>
      <c r="AC118" s="375"/>
      <c r="AD118" s="374"/>
      <c r="AE118" s="374"/>
      <c r="AF118" s="474"/>
      <c r="AG118" s="502"/>
      <c r="AH118" s="51"/>
      <c r="AI118" s="1648" t="s">
        <v>439</v>
      </c>
      <c r="AJ118" s="1649"/>
      <c r="AK118" s="372"/>
      <c r="AL118" s="228"/>
      <c r="AM118" s="228"/>
      <c r="AN118" s="460"/>
      <c r="AO118" s="362"/>
      <c r="AP118" s="362"/>
      <c r="AQ118" s="362"/>
      <c r="AR118" s="362"/>
      <c r="AS118" s="362"/>
      <c r="AT118" s="362"/>
      <c r="AU118" s="362"/>
      <c r="AV118" s="362"/>
      <c r="AW118" s="362"/>
      <c r="AX118" s="362"/>
      <c r="AY118" s="362"/>
      <c r="AZ118" s="459"/>
      <c r="BA118" s="494" t="e">
        <f>ROUND(AVERAGE(AL118:AZ118),1)</f>
        <v>#DIV/0!</v>
      </c>
      <c r="BB118" s="486">
        <f>COUNT(AL118:AZ118)</f>
        <v>0</v>
      </c>
      <c r="BC118" s="825"/>
      <c r="BD118" s="826"/>
      <c r="BE118" s="980"/>
      <c r="BF118" s="981"/>
      <c r="BG118" s="473"/>
      <c r="BH118" s="375"/>
      <c r="BI118" s="375"/>
      <c r="BJ118" s="375"/>
      <c r="BK118" s="375"/>
      <c r="BL118" s="374"/>
      <c r="BM118" s="374"/>
      <c r="BN118" s="474"/>
      <c r="BO118" s="830"/>
      <c r="BP118" s="6"/>
      <c r="BZ118" s="4"/>
      <c r="CX118" s="999"/>
      <c r="CY118" s="963"/>
      <c r="CZ118" s="963"/>
      <c r="DA118" s="963"/>
    </row>
    <row r="119" spans="1:105" ht="21.95" customHeight="1" thickBot="1" x14ac:dyDescent="0.35">
      <c r="A119" s="1648" t="s">
        <v>992</v>
      </c>
      <c r="B119" s="1649"/>
      <c r="C119" s="1409">
        <v>540</v>
      </c>
      <c r="D119" s="359"/>
      <c r="E119" s="359">
        <v>540</v>
      </c>
      <c r="F119" s="359">
        <v>504</v>
      </c>
      <c r="G119" s="359"/>
      <c r="H119" s="359">
        <v>540</v>
      </c>
      <c r="I119" s="359"/>
      <c r="J119" s="359"/>
      <c r="K119" s="359"/>
      <c r="L119" s="359">
        <v>540</v>
      </c>
      <c r="M119" s="359">
        <v>450</v>
      </c>
      <c r="N119" s="359">
        <v>540</v>
      </c>
      <c r="O119" s="359"/>
      <c r="P119" s="359">
        <v>540</v>
      </c>
      <c r="Q119" s="359">
        <v>540</v>
      </c>
      <c r="R119" s="359">
        <v>540</v>
      </c>
      <c r="S119" s="811">
        <f>ROUND(AVERAGE(C119:R119),1)</f>
        <v>527.4</v>
      </c>
      <c r="T119" s="1553">
        <f>COUNT(C119:R119)</f>
        <v>10</v>
      </c>
      <c r="U119" s="54"/>
      <c r="V119" s="132"/>
      <c r="W119" s="1775" t="s">
        <v>1651</v>
      </c>
      <c r="X119" s="1776"/>
      <c r="Y119" s="799">
        <v>1</v>
      </c>
      <c r="Z119" s="800">
        <v>2</v>
      </c>
      <c r="AA119" s="800">
        <v>3</v>
      </c>
      <c r="AB119" s="800">
        <v>4</v>
      </c>
      <c r="AC119" s="800">
        <v>5</v>
      </c>
      <c r="AD119" s="453" t="s">
        <v>784</v>
      </c>
      <c r="AE119" s="27"/>
      <c r="AF119" s="57"/>
      <c r="AG119" s="502"/>
      <c r="AH119" s="51"/>
      <c r="AI119" s="1648" t="s">
        <v>992</v>
      </c>
      <c r="AJ119" s="1649"/>
      <c r="AK119" s="419">
        <v>540</v>
      </c>
      <c r="AL119" s="362"/>
      <c r="AM119" s="362">
        <v>540</v>
      </c>
      <c r="AN119" s="362">
        <v>540</v>
      </c>
      <c r="AO119" s="362"/>
      <c r="AP119" s="362">
        <v>540</v>
      </c>
      <c r="AQ119" s="362"/>
      <c r="AR119" s="362"/>
      <c r="AS119" s="362"/>
      <c r="AT119" s="362"/>
      <c r="AU119" s="362">
        <v>450</v>
      </c>
      <c r="AV119" s="362">
        <v>540</v>
      </c>
      <c r="AW119" s="362">
        <v>540</v>
      </c>
      <c r="AX119" s="362"/>
      <c r="AY119" s="362">
        <v>540</v>
      </c>
      <c r="AZ119" s="362">
        <v>540</v>
      </c>
      <c r="BA119" s="494">
        <f>ROUND(AVERAGE(AK119:AZ119),1)</f>
        <v>530</v>
      </c>
      <c r="BB119" s="486">
        <f>COUNT(AK119:AZ119)</f>
        <v>9</v>
      </c>
      <c r="BC119" s="825"/>
      <c r="BD119" s="826"/>
      <c r="BE119" s="1775" t="s">
        <v>1651</v>
      </c>
      <c r="BF119" s="1776"/>
      <c r="BG119" s="799">
        <v>1</v>
      </c>
      <c r="BH119" s="800">
        <v>2</v>
      </c>
      <c r="BI119" s="800">
        <v>3</v>
      </c>
      <c r="BJ119" s="800">
        <v>4</v>
      </c>
      <c r="BK119" s="800">
        <v>5</v>
      </c>
      <c r="BL119" s="453" t="s">
        <v>784</v>
      </c>
      <c r="BM119" s="453"/>
      <c r="BN119" s="455"/>
      <c r="BO119" s="502"/>
      <c r="BP119" s="6"/>
      <c r="BZ119" s="4"/>
      <c r="CX119" s="999"/>
      <c r="CY119" s="963"/>
      <c r="CZ119" s="963"/>
      <c r="DA119" s="963"/>
    </row>
    <row r="120" spans="1:105" ht="21.95" customHeight="1" thickBot="1" x14ac:dyDescent="0.35">
      <c r="A120" s="1794" t="s">
        <v>1412</v>
      </c>
      <c r="B120" s="1795"/>
      <c r="C120" s="461"/>
      <c r="D120" s="462"/>
      <c r="E120" s="374"/>
      <c r="F120" s="462"/>
      <c r="G120" s="463"/>
      <c r="H120" s="365"/>
      <c r="I120" s="463"/>
      <c r="J120" s="462"/>
      <c r="K120" s="462"/>
      <c r="L120" s="374"/>
      <c r="M120" s="374"/>
      <c r="N120" s="374"/>
      <c r="O120" s="462"/>
      <c r="P120" s="462"/>
      <c r="Q120" s="462"/>
      <c r="R120" s="464"/>
      <c r="S120" s="811" t="e">
        <f>ROUND(AVERAGE(C120:R120),1)</f>
        <v>#DIV/0!</v>
      </c>
      <c r="T120" s="465"/>
      <c r="U120" s="59"/>
      <c r="V120" s="60"/>
      <c r="W120" s="1777"/>
      <c r="X120" s="1778"/>
      <c r="Y120" s="1550">
        <v>39</v>
      </c>
      <c r="Z120" s="1551">
        <v>40</v>
      </c>
      <c r="AA120" s="1551">
        <v>44</v>
      </c>
      <c r="AB120" s="1551">
        <v>38</v>
      </c>
      <c r="AC120" s="1551">
        <v>43</v>
      </c>
      <c r="AD120" s="801">
        <v>0.875</v>
      </c>
      <c r="AE120" s="58"/>
      <c r="AF120" s="61"/>
      <c r="AG120" s="802">
        <f>ROUND(AVERAGE(Y120:AC121),1)</f>
        <v>39.700000000000003</v>
      </c>
      <c r="AH120" s="12"/>
      <c r="AI120" s="1794" t="s">
        <v>1413</v>
      </c>
      <c r="AJ120" s="1795"/>
      <c r="AK120" s="461">
        <v>-2</v>
      </c>
      <c r="AL120" s="462"/>
      <c r="AM120" s="374">
        <v>-5</v>
      </c>
      <c r="AN120" s="462">
        <v>-5</v>
      </c>
      <c r="AO120" s="463"/>
      <c r="AP120" s="365">
        <v>-6</v>
      </c>
      <c r="AQ120" s="463"/>
      <c r="AR120" s="462"/>
      <c r="AS120" s="462"/>
      <c r="AT120" s="374"/>
      <c r="AU120" s="374">
        <v>-5</v>
      </c>
      <c r="AV120" s="374">
        <v>-5</v>
      </c>
      <c r="AW120" s="462">
        <v>-2</v>
      </c>
      <c r="AX120" s="462"/>
      <c r="AY120" s="462">
        <v>-2</v>
      </c>
      <c r="AZ120" s="464">
        <v>-2</v>
      </c>
      <c r="BA120" s="494">
        <f>ROUND(AVERAGE(AK120:AZ120),1)</f>
        <v>-3.8</v>
      </c>
      <c r="BB120" s="496"/>
      <c r="BC120" s="827"/>
      <c r="BD120" s="980"/>
      <c r="BE120" s="1777"/>
      <c r="BF120" s="1778"/>
      <c r="BG120" s="422">
        <v>32</v>
      </c>
      <c r="BH120" s="374">
        <v>42</v>
      </c>
      <c r="BI120" s="374">
        <v>44</v>
      </c>
      <c r="BJ120" s="374">
        <v>35</v>
      </c>
      <c r="BK120" s="1631">
        <v>58</v>
      </c>
      <c r="BL120" s="801">
        <v>0.375</v>
      </c>
      <c r="BM120" s="831"/>
      <c r="BN120" s="832"/>
      <c r="BO120" s="802">
        <f>ROUND(AVERAGE(BG120:BK121),1)</f>
        <v>45.6</v>
      </c>
      <c r="BP120" s="6"/>
      <c r="CX120" s="999"/>
      <c r="CY120" s="963"/>
      <c r="CZ120" s="963"/>
      <c r="DA120" s="963"/>
    </row>
    <row r="121" spans="1:105" ht="21.95" customHeight="1" thickBot="1" x14ac:dyDescent="0.35">
      <c r="A121" s="62"/>
      <c r="B121" s="1003"/>
      <c r="C121" s="1003"/>
      <c r="D121" s="821">
        <f>AVERAGE(D115,G115,H115,J115,M115,N115)</f>
        <v>419</v>
      </c>
      <c r="E121" s="822">
        <f>AVERAGE(E115)</f>
        <v>381</v>
      </c>
      <c r="F121" s="821">
        <f>AVERAGE(C115,F115,I115,K115,L115,O115,P115,Q115,R115)</f>
        <v>420.33333333333331</v>
      </c>
      <c r="G121" s="823">
        <f>COUNT(D115,G115,H115,J115,M115:N115)</f>
        <v>3</v>
      </c>
      <c r="H121" s="823">
        <f>COUNT(E115)</f>
        <v>1</v>
      </c>
      <c r="I121" s="823">
        <f>COUNT(C115,F115,I115,K115:L115,O115:R115)</f>
        <v>6</v>
      </c>
      <c r="J121" s="1003"/>
      <c r="K121" s="1003"/>
      <c r="L121" s="1003"/>
      <c r="M121" s="1003"/>
      <c r="N121" s="1003"/>
      <c r="O121" s="1003"/>
      <c r="P121" s="1003"/>
      <c r="Q121" s="1003"/>
      <c r="R121" s="63"/>
      <c r="S121" s="135"/>
      <c r="T121" s="64"/>
      <c r="U121" s="1839"/>
      <c r="V121" s="1839"/>
      <c r="W121" s="1779"/>
      <c r="X121" s="1780"/>
      <c r="Y121" s="1550">
        <v>32</v>
      </c>
      <c r="Z121" s="1551">
        <v>44</v>
      </c>
      <c r="AA121" s="1551">
        <v>43</v>
      </c>
      <c r="AB121" s="1551">
        <v>34</v>
      </c>
      <c r="AC121" s="1551">
        <v>40</v>
      </c>
      <c r="AD121" s="801">
        <v>0.20833333333333334</v>
      </c>
      <c r="AE121" s="1003"/>
      <c r="AF121" s="1003"/>
      <c r="AG121" s="64"/>
      <c r="AH121" s="16"/>
      <c r="AI121" s="971"/>
      <c r="AJ121" s="100"/>
      <c r="AK121" s="961"/>
      <c r="AL121" s="489">
        <f>AVERAGE(AL115,AO115,AP115,AR115,AU115,AV115)</f>
        <v>365</v>
      </c>
      <c r="AM121" s="490">
        <f>AVERAGE(AM115)</f>
        <v>331</v>
      </c>
      <c r="AN121" s="489">
        <f>AVERAGE(AK115,AN115,AQ115,AS115,AT115,AW115,AX115,AY115,AZ115)</f>
        <v>410</v>
      </c>
      <c r="AO121" s="430">
        <f>COUNT(AL115,AO115,AP115,AR115,AU115:AV115)</f>
        <v>3</v>
      </c>
      <c r="AP121" s="430">
        <f>COUNT(AM115)</f>
        <v>1</v>
      </c>
      <c r="AQ121" s="430">
        <f>COUNT(AK115,AN115,AQ115,AS115:AT115,AW115:AZ115)</f>
        <v>5</v>
      </c>
      <c r="AR121" s="961"/>
      <c r="AS121" s="961"/>
      <c r="AT121" s="961"/>
      <c r="AU121" s="961"/>
      <c r="AV121" s="961"/>
      <c r="AW121" s="961"/>
      <c r="AX121" s="961"/>
      <c r="AY121" s="961"/>
      <c r="AZ121" s="491"/>
      <c r="BA121" s="971"/>
      <c r="BB121" s="202"/>
      <c r="BC121" s="1701"/>
      <c r="BD121" s="1701"/>
      <c r="BE121" s="1779"/>
      <c r="BF121" s="1780"/>
      <c r="BG121" s="422">
        <v>44</v>
      </c>
      <c r="BH121" s="1631">
        <v>55</v>
      </c>
      <c r="BI121" s="374">
        <v>44</v>
      </c>
      <c r="BJ121" s="374">
        <v>40</v>
      </c>
      <c r="BK121" s="1631">
        <v>62</v>
      </c>
      <c r="BL121" s="801">
        <v>0.70833333333333337</v>
      </c>
      <c r="BM121" s="22"/>
      <c r="BN121" s="22"/>
      <c r="BO121" s="833"/>
      <c r="BP121" s="6"/>
      <c r="CX121" s="999"/>
      <c r="CY121" s="963"/>
      <c r="CZ121" s="963"/>
      <c r="DA121" s="963"/>
    </row>
    <row r="122" spans="1:105" ht="21.95" customHeight="1" thickBot="1" x14ac:dyDescent="0.35">
      <c r="A122" s="1714" t="s">
        <v>170</v>
      </c>
      <c r="B122" s="1714"/>
      <c r="C122" s="1714"/>
      <c r="D122" s="1714"/>
      <c r="E122" s="1714"/>
      <c r="F122" s="1714"/>
      <c r="G122" s="1714"/>
      <c r="H122" s="1714"/>
      <c r="I122" s="1714"/>
      <c r="J122" s="1714"/>
      <c r="K122" s="1714"/>
      <c r="L122" s="1714"/>
      <c r="M122" s="1714"/>
      <c r="N122" s="1714"/>
      <c r="O122" s="1714"/>
      <c r="P122" s="1714"/>
      <c r="Q122" s="1714"/>
      <c r="R122" s="1714"/>
      <c r="S122" s="1714"/>
      <c r="AH122" s="12"/>
      <c r="AI122" s="1714" t="s">
        <v>170</v>
      </c>
      <c r="AJ122" s="1714"/>
      <c r="AK122" s="1714"/>
      <c r="AL122" s="1714"/>
      <c r="AM122" s="1714"/>
      <c r="AN122" s="1714"/>
      <c r="AO122" s="1714"/>
      <c r="AP122" s="1714"/>
      <c r="AQ122" s="1714"/>
      <c r="AR122" s="1714"/>
      <c r="AS122" s="1714"/>
      <c r="AT122" s="1714"/>
      <c r="AU122" s="1714"/>
      <c r="AV122" s="1714"/>
      <c r="AW122" s="1714"/>
      <c r="AX122" s="1714"/>
      <c r="AY122" s="1714"/>
      <c r="AZ122" s="1714"/>
      <c r="BA122" s="1714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999"/>
      <c r="CY122" s="963"/>
      <c r="CZ122" s="963"/>
      <c r="DA122" s="963"/>
    </row>
    <row r="123" spans="1:105" ht="21.95" customHeight="1" thickBot="1" x14ac:dyDescent="0.4">
      <c r="A123" s="1677" t="s">
        <v>63</v>
      </c>
      <c r="B123" s="1678"/>
      <c r="C123" s="1678"/>
      <c r="D123" s="1678"/>
      <c r="E123" s="1678"/>
      <c r="F123" s="1678"/>
      <c r="G123" s="1678"/>
      <c r="H123" s="1678"/>
      <c r="I123" s="1678"/>
      <c r="J123" s="1678"/>
      <c r="K123" s="1679"/>
      <c r="L123" s="1677" t="s">
        <v>434</v>
      </c>
      <c r="M123" s="1678"/>
      <c r="N123" s="1679"/>
      <c r="O123" s="1677" t="s">
        <v>993</v>
      </c>
      <c r="P123" s="1678"/>
      <c r="Q123" s="1679"/>
      <c r="R123" s="1712" t="s">
        <v>417</v>
      </c>
      <c r="S123" s="1713"/>
      <c r="T123" s="432"/>
      <c r="U123" s="1728" t="s">
        <v>39</v>
      </c>
      <c r="V123" s="1728"/>
      <c r="W123" s="1728"/>
      <c r="X123" s="1728"/>
      <c r="Y123" s="1728"/>
      <c r="Z123" s="1728"/>
      <c r="AA123" s="1728"/>
      <c r="AB123" s="1728"/>
      <c r="AC123" s="1728"/>
      <c r="AD123" s="1728"/>
      <c r="AE123" s="1728"/>
      <c r="AF123" s="1728"/>
      <c r="AG123" s="1729"/>
      <c r="AH123" s="12"/>
      <c r="AI123" s="1677" t="s">
        <v>63</v>
      </c>
      <c r="AJ123" s="1678"/>
      <c r="AK123" s="1678"/>
      <c r="AL123" s="1678"/>
      <c r="AM123" s="1678"/>
      <c r="AN123" s="1678"/>
      <c r="AO123" s="1678"/>
      <c r="AP123" s="1678"/>
      <c r="AQ123" s="1678"/>
      <c r="AR123" s="1678"/>
      <c r="AS123" s="1679"/>
      <c r="AT123" s="1677" t="s">
        <v>434</v>
      </c>
      <c r="AU123" s="1678"/>
      <c r="AV123" s="1679"/>
      <c r="AW123" s="1677" t="s">
        <v>993</v>
      </c>
      <c r="AX123" s="1678"/>
      <c r="AY123" s="1679"/>
      <c r="AZ123" s="1712" t="s">
        <v>417</v>
      </c>
      <c r="BA123" s="1713"/>
      <c r="BB123" s="201"/>
      <c r="BC123" s="1728" t="s">
        <v>39</v>
      </c>
      <c r="BD123" s="1728"/>
      <c r="BE123" s="1728"/>
      <c r="BF123" s="1728"/>
      <c r="BG123" s="1728"/>
      <c r="BH123" s="1728"/>
      <c r="BI123" s="1728"/>
      <c r="BJ123" s="1728"/>
      <c r="BK123" s="1728"/>
      <c r="BL123" s="1728"/>
      <c r="BM123" s="1728"/>
      <c r="BN123" s="1728"/>
      <c r="BO123" s="1729"/>
      <c r="BP123" s="6"/>
      <c r="CX123" s="999"/>
      <c r="CY123" s="963"/>
      <c r="CZ123" s="963"/>
      <c r="DA123" s="963"/>
    </row>
    <row r="124" spans="1:105" ht="21.95" customHeight="1" thickBot="1" x14ac:dyDescent="0.35">
      <c r="A124" s="1789" t="s">
        <v>42</v>
      </c>
      <c r="B124" s="1790"/>
      <c r="C124" s="973" t="s">
        <v>1021</v>
      </c>
      <c r="D124" s="973" t="s">
        <v>1022</v>
      </c>
      <c r="E124" s="973" t="s">
        <v>16</v>
      </c>
      <c r="F124" s="973" t="s">
        <v>44</v>
      </c>
      <c r="G124" s="973" t="s">
        <v>45</v>
      </c>
      <c r="H124" s="973" t="s">
        <v>955</v>
      </c>
      <c r="I124" s="973" t="s">
        <v>46</v>
      </c>
      <c r="J124" s="65"/>
      <c r="K124" s="66" t="s">
        <v>28</v>
      </c>
      <c r="L124" s="805" t="s">
        <v>51</v>
      </c>
      <c r="M124" s="806" t="s">
        <v>52</v>
      </c>
      <c r="N124" s="807" t="s">
        <v>53</v>
      </c>
      <c r="O124" s="805" t="s">
        <v>51</v>
      </c>
      <c r="P124" s="806" t="s">
        <v>52</v>
      </c>
      <c r="Q124" s="815" t="s">
        <v>53</v>
      </c>
      <c r="R124" s="1673"/>
      <c r="S124" s="1674"/>
      <c r="T124" s="1597" t="s">
        <v>1118</v>
      </c>
      <c r="U124" s="1583"/>
      <c r="V124" s="1583"/>
      <c r="W124" s="1583"/>
      <c r="X124" s="1583"/>
      <c r="Y124" s="1583"/>
      <c r="Z124" s="1583"/>
      <c r="AA124" s="1583"/>
      <c r="AB124" s="1583"/>
      <c r="AC124" s="1583"/>
      <c r="AD124" s="1583"/>
      <c r="AE124" s="1583"/>
      <c r="AF124" s="1583"/>
      <c r="AG124" s="1584"/>
      <c r="AH124" s="12"/>
      <c r="AI124" s="1789" t="s">
        <v>42</v>
      </c>
      <c r="AJ124" s="1790"/>
      <c r="AK124" s="818" t="s">
        <v>1021</v>
      </c>
      <c r="AL124" s="818" t="s">
        <v>1022</v>
      </c>
      <c r="AM124" s="818" t="s">
        <v>16</v>
      </c>
      <c r="AN124" s="818" t="s">
        <v>44</v>
      </c>
      <c r="AO124" s="818" t="s">
        <v>45</v>
      </c>
      <c r="AP124" s="818" t="s">
        <v>955</v>
      </c>
      <c r="AQ124" s="818" t="s">
        <v>46</v>
      </c>
      <c r="AR124" s="800"/>
      <c r="AS124" s="819" t="s">
        <v>28</v>
      </c>
      <c r="AT124" s="805" t="s">
        <v>51</v>
      </c>
      <c r="AU124" s="806" t="s">
        <v>52</v>
      </c>
      <c r="AV124" s="807" t="s">
        <v>53</v>
      </c>
      <c r="AW124" s="805" t="s">
        <v>51</v>
      </c>
      <c r="AX124" s="806" t="s">
        <v>52</v>
      </c>
      <c r="AY124" s="815" t="s">
        <v>53</v>
      </c>
      <c r="AZ124" s="1673"/>
      <c r="BA124" s="1674"/>
      <c r="BB124" s="1577"/>
      <c r="BC124" s="1577"/>
      <c r="BD124" s="1577"/>
      <c r="BE124" s="1577"/>
      <c r="BF124" s="1577"/>
      <c r="BG124" s="1577"/>
      <c r="BH124" s="1577"/>
      <c r="BI124" s="1577"/>
      <c r="BJ124" s="1577"/>
      <c r="BK124" s="1577"/>
      <c r="BL124" s="1577"/>
      <c r="BM124" s="1577"/>
      <c r="BN124" s="1577"/>
      <c r="BO124" s="1578"/>
      <c r="BP124" s="6"/>
      <c r="CX124" s="999"/>
      <c r="CY124" s="963"/>
      <c r="CZ124" s="963"/>
      <c r="DA124" s="963"/>
    </row>
    <row r="125" spans="1:105" ht="21.95" customHeight="1" thickBot="1" x14ac:dyDescent="0.35">
      <c r="A125" s="812" t="s">
        <v>47</v>
      </c>
      <c r="B125" s="813" t="s">
        <v>54</v>
      </c>
      <c r="C125" s="460"/>
      <c r="D125" s="398"/>
      <c r="E125" s="398"/>
      <c r="F125" s="398"/>
      <c r="G125" s="398"/>
      <c r="H125" s="398"/>
      <c r="I125" s="398"/>
      <c r="J125" s="398"/>
      <c r="K125" s="816"/>
      <c r="L125" s="477">
        <v>3.7</v>
      </c>
      <c r="M125" s="478">
        <v>3.1</v>
      </c>
      <c r="N125" s="401">
        <v>3.9</v>
      </c>
      <c r="O125" s="1011">
        <v>58</v>
      </c>
      <c r="P125" s="389">
        <v>56</v>
      </c>
      <c r="Q125" s="466">
        <v>54</v>
      </c>
      <c r="R125" s="1675">
        <v>320</v>
      </c>
      <c r="S125" s="1676"/>
      <c r="T125" s="1585"/>
      <c r="U125" s="1513">
        <v>0.84722222222222221</v>
      </c>
      <c r="V125" s="1513">
        <v>0.92708333333333337</v>
      </c>
      <c r="W125" s="1623">
        <v>5.5555555555555552E-2</v>
      </c>
      <c r="X125" s="1586"/>
      <c r="Y125" s="1586"/>
      <c r="Z125" s="1586"/>
      <c r="AA125" s="1586"/>
      <c r="AB125" s="1586"/>
      <c r="AC125" s="1586" t="s">
        <v>1682</v>
      </c>
      <c r="AD125" s="1513">
        <v>0.85416666666666663</v>
      </c>
      <c r="AE125" s="1586"/>
      <c r="AF125" s="1586"/>
      <c r="AG125" s="1587"/>
      <c r="AH125" s="12"/>
      <c r="AI125" s="820" t="s">
        <v>47</v>
      </c>
      <c r="AJ125" s="813" t="s">
        <v>54</v>
      </c>
      <c r="AK125" s="460">
        <v>27</v>
      </c>
      <c r="AL125" s="398" t="s">
        <v>1705</v>
      </c>
      <c r="AM125" s="398">
        <v>55</v>
      </c>
      <c r="AN125" s="398">
        <v>60</v>
      </c>
      <c r="AO125" s="398">
        <v>61</v>
      </c>
      <c r="AP125" s="398"/>
      <c r="AQ125" s="398">
        <v>58</v>
      </c>
      <c r="AR125" s="398"/>
      <c r="AS125" s="482"/>
      <c r="AT125" s="483">
        <v>3.6</v>
      </c>
      <c r="AU125" s="337">
        <v>3</v>
      </c>
      <c r="AV125" s="342">
        <v>3.8</v>
      </c>
      <c r="AW125" s="1012">
        <v>61</v>
      </c>
      <c r="AX125" s="484">
        <v>54</v>
      </c>
      <c r="AY125" s="485">
        <v>57</v>
      </c>
      <c r="AZ125" s="1773">
        <v>380</v>
      </c>
      <c r="BA125" s="1774"/>
      <c r="BB125" s="1579"/>
      <c r="BC125" s="1579"/>
      <c r="BD125" s="1579"/>
      <c r="BE125" s="1579"/>
      <c r="BF125" s="1579"/>
      <c r="BG125" s="1579"/>
      <c r="BH125" s="1579"/>
      <c r="BI125" s="1579"/>
      <c r="BJ125" s="1579"/>
      <c r="BK125" s="1579"/>
      <c r="BL125" s="1579"/>
      <c r="BM125" s="1579"/>
      <c r="BN125" s="1579"/>
      <c r="BO125" s="1580"/>
      <c r="BP125" s="6"/>
      <c r="CX125" s="999"/>
      <c r="CY125" s="963"/>
      <c r="CZ125" s="963"/>
      <c r="DA125" s="963"/>
    </row>
    <row r="126" spans="1:105" ht="21.95" customHeight="1" thickBot="1" x14ac:dyDescent="0.35">
      <c r="A126" s="814" t="s">
        <v>48</v>
      </c>
      <c r="B126" s="813" t="s">
        <v>55</v>
      </c>
      <c r="C126" s="472"/>
      <c r="D126" s="398"/>
      <c r="E126" s="398"/>
      <c r="F126" s="228"/>
      <c r="G126" s="228"/>
      <c r="H126" s="398"/>
      <c r="I126" s="398"/>
      <c r="J126" s="228"/>
      <c r="K126" s="817" t="e">
        <f>ROUND(AVERAGE(C125:J126),1)</f>
        <v>#DIV/0!</v>
      </c>
      <c r="L126" s="479"/>
      <c r="M126" s="227"/>
      <c r="N126" s="434"/>
      <c r="O126" s="479"/>
      <c r="P126" s="227"/>
      <c r="Q126" s="230"/>
      <c r="R126" s="1677" t="s">
        <v>69</v>
      </c>
      <c r="S126" s="1679"/>
      <c r="T126" s="1588" t="s">
        <v>1710</v>
      </c>
      <c r="U126" s="1588">
        <v>7.0000000000000007E-2</v>
      </c>
      <c r="V126" s="1586">
        <v>0.06</v>
      </c>
      <c r="W126" s="1586">
        <v>7.0000000000000007E-2</v>
      </c>
      <c r="X126" s="1586"/>
      <c r="Y126" s="1586"/>
      <c r="Z126" s="1586"/>
      <c r="AA126" s="1586"/>
      <c r="AB126" s="1586"/>
      <c r="AC126" s="1586" t="s">
        <v>646</v>
      </c>
      <c r="AD126" s="1586">
        <v>0.06</v>
      </c>
      <c r="AE126" s="1586"/>
      <c r="AF126" s="1586"/>
      <c r="AG126" s="1587"/>
      <c r="AH126" s="12"/>
      <c r="AI126" s="820" t="s">
        <v>48</v>
      </c>
      <c r="AJ126" s="813" t="s">
        <v>55</v>
      </c>
      <c r="AK126" s="472"/>
      <c r="AL126" s="398"/>
      <c r="AM126" s="398">
        <v>54</v>
      </c>
      <c r="AN126" s="228">
        <v>64</v>
      </c>
      <c r="AO126" s="228">
        <v>59</v>
      </c>
      <c r="AP126" s="398"/>
      <c r="AQ126" s="398" t="s">
        <v>1706</v>
      </c>
      <c r="AR126" s="228"/>
      <c r="AS126" s="486">
        <f>ROUND(AVERAGE(AK125:AR126),1)</f>
        <v>54.8</v>
      </c>
      <c r="AT126" s="970"/>
      <c r="AU126" s="228"/>
      <c r="AV126" s="331"/>
      <c r="AW126" s="970"/>
      <c r="AX126" s="228"/>
      <c r="AY126" s="471"/>
      <c r="AZ126" s="1677" t="s">
        <v>69</v>
      </c>
      <c r="BA126" s="1679"/>
      <c r="BB126" s="1579"/>
      <c r="BC126" s="1579"/>
      <c r="BD126" s="1579"/>
      <c r="BE126" s="1579"/>
      <c r="BF126" s="1579"/>
      <c r="BG126" s="1579"/>
      <c r="BH126" s="1579"/>
      <c r="BI126" s="1579"/>
      <c r="BJ126" s="1579"/>
      <c r="BK126" s="1579"/>
      <c r="BL126" s="1579"/>
      <c r="BM126" s="1579"/>
      <c r="BN126" s="1579"/>
      <c r="BO126" s="1580"/>
      <c r="BP126" s="6"/>
      <c r="CX126" s="999"/>
      <c r="CY126" s="963"/>
      <c r="CZ126" s="963"/>
      <c r="DA126" s="963"/>
    </row>
    <row r="127" spans="1:105" ht="21.95" customHeight="1" x14ac:dyDescent="0.3">
      <c r="A127" s="1001" t="s">
        <v>50</v>
      </c>
      <c r="B127" s="1002"/>
      <c r="C127" s="472"/>
      <c r="D127" s="228"/>
      <c r="E127" s="228"/>
      <c r="F127" s="228"/>
      <c r="G127" s="228"/>
      <c r="H127" s="228"/>
      <c r="I127" s="228"/>
      <c r="J127" s="228"/>
      <c r="K127" s="817" t="e">
        <f>ROUND(AVERAGE(C127:J127),1)</f>
        <v>#DIV/0!</v>
      </c>
      <c r="L127" s="479"/>
      <c r="M127" s="227"/>
      <c r="N127" s="434"/>
      <c r="O127" s="479"/>
      <c r="P127" s="227"/>
      <c r="Q127" s="230"/>
      <c r="R127" s="1720"/>
      <c r="S127" s="1721"/>
      <c r="T127" s="1588" t="s">
        <v>1711</v>
      </c>
      <c r="U127" s="1588">
        <v>0.08</v>
      </c>
      <c r="V127" s="1586">
        <v>0.06</v>
      </c>
      <c r="W127" s="1586">
        <v>0.06</v>
      </c>
      <c r="X127" s="1586"/>
      <c r="Y127" s="1586"/>
      <c r="Z127" s="1586"/>
      <c r="AA127" s="1586"/>
      <c r="AB127" s="1586"/>
      <c r="AC127" s="1586" t="s">
        <v>652</v>
      </c>
      <c r="AD127" s="1586">
        <v>0.06</v>
      </c>
      <c r="AE127" s="1586"/>
      <c r="AF127" s="1586"/>
      <c r="AG127" s="1587"/>
      <c r="AH127" s="12"/>
      <c r="AI127" s="1690" t="s">
        <v>50</v>
      </c>
      <c r="AJ127" s="1691"/>
      <c r="AK127" s="472">
        <v>29.4</v>
      </c>
      <c r="AL127" s="228"/>
      <c r="AM127" s="228">
        <v>29.3</v>
      </c>
      <c r="AN127" s="228">
        <v>29.6</v>
      </c>
      <c r="AO127" s="228">
        <v>29.4</v>
      </c>
      <c r="AP127" s="228"/>
      <c r="AQ127" s="228">
        <v>29.5</v>
      </c>
      <c r="AR127" s="228"/>
      <c r="AS127" s="486">
        <f>ROUND(AVERAGE(AK127:AR127),1)</f>
        <v>29.4</v>
      </c>
      <c r="AT127" s="970"/>
      <c r="AU127" s="228"/>
      <c r="AV127" s="331"/>
      <c r="AW127" s="970"/>
      <c r="AX127" s="228"/>
      <c r="AY127" s="471"/>
      <c r="AZ127" s="1720"/>
      <c r="BA127" s="1721"/>
      <c r="BB127" s="1579"/>
      <c r="BC127" s="1579"/>
      <c r="BD127" s="1579"/>
      <c r="BE127" s="1579"/>
      <c r="BF127" s="1579"/>
      <c r="BG127" s="1579"/>
      <c r="BH127" s="1579"/>
      <c r="BI127" s="1579"/>
      <c r="BJ127" s="1579"/>
      <c r="BK127" s="1579"/>
      <c r="BL127" s="1579"/>
      <c r="BM127" s="1579"/>
      <c r="BN127" s="1579"/>
      <c r="BO127" s="1580"/>
      <c r="BP127" s="6"/>
      <c r="CX127" s="999"/>
      <c r="CY127" s="963"/>
      <c r="CZ127" s="963"/>
      <c r="DA127" s="963"/>
    </row>
    <row r="128" spans="1:105" ht="21.95" customHeight="1" thickBot="1" x14ac:dyDescent="0.35">
      <c r="A128" s="1813" t="s">
        <v>49</v>
      </c>
      <c r="B128" s="1814"/>
      <c r="C128" s="472"/>
      <c r="D128" s="228"/>
      <c r="E128" s="228"/>
      <c r="F128" s="228"/>
      <c r="G128" s="228"/>
      <c r="H128" s="228"/>
      <c r="I128" s="228"/>
      <c r="J128" s="228"/>
      <c r="K128" s="817" t="e">
        <f>ROUND(AVERAGE(C128:J128),1)</f>
        <v>#DIV/0!</v>
      </c>
      <c r="L128" s="479"/>
      <c r="M128" s="435"/>
      <c r="N128" s="434"/>
      <c r="O128" s="479"/>
      <c r="P128" s="435"/>
      <c r="Q128" s="230"/>
      <c r="R128" s="480"/>
      <c r="S128" s="481"/>
      <c r="T128" s="1588" t="s">
        <v>1712</v>
      </c>
      <c r="U128" s="1588">
        <v>0.06</v>
      </c>
      <c r="V128" s="1586">
        <v>0.06</v>
      </c>
      <c r="W128" s="1586">
        <v>0.06</v>
      </c>
      <c r="X128" s="1586"/>
      <c r="Y128" s="1586"/>
      <c r="Z128" s="1586"/>
      <c r="AA128" s="1586"/>
      <c r="AB128" s="1586"/>
      <c r="AC128" s="1586" t="s">
        <v>645</v>
      </c>
      <c r="AD128" s="1586">
        <v>0.06</v>
      </c>
      <c r="AE128" s="1586"/>
      <c r="AF128" s="1586"/>
      <c r="AG128" s="1587"/>
      <c r="AH128" s="12"/>
      <c r="AI128" s="1690" t="s">
        <v>49</v>
      </c>
      <c r="AJ128" s="1691"/>
      <c r="AK128" s="472"/>
      <c r="AL128" s="228"/>
      <c r="AM128" s="228"/>
      <c r="AN128" s="228"/>
      <c r="AO128" s="228"/>
      <c r="AP128" s="228"/>
      <c r="AQ128" s="228"/>
      <c r="AR128" s="228"/>
      <c r="AS128" s="486" t="e">
        <f>ROUND(AVERAGE(AK128:AR128),1)</f>
        <v>#DIV/0!</v>
      </c>
      <c r="AT128" s="970"/>
      <c r="AU128" s="462"/>
      <c r="AV128" s="331"/>
      <c r="AW128" s="970"/>
      <c r="AX128" s="462"/>
      <c r="AY128" s="471"/>
      <c r="AZ128" s="390"/>
      <c r="BA128" s="391"/>
      <c r="BB128" s="1579"/>
      <c r="BC128" s="1579"/>
      <c r="BD128" s="1579"/>
      <c r="BE128" s="1579"/>
      <c r="BF128" s="1579"/>
      <c r="BG128" s="1579"/>
      <c r="BH128" s="1579"/>
      <c r="BI128" s="1579"/>
      <c r="BJ128" s="1579"/>
      <c r="BK128" s="1579"/>
      <c r="BL128" s="1579"/>
      <c r="BM128" s="1579"/>
      <c r="BN128" s="1579"/>
      <c r="BO128" s="1580"/>
      <c r="BP128" s="6"/>
      <c r="CX128" s="999"/>
      <c r="CY128" s="963"/>
      <c r="CZ128" s="963"/>
      <c r="DA128" s="963"/>
    </row>
    <row r="129" spans="1:105" ht="21.95" customHeight="1" thickBot="1" x14ac:dyDescent="0.35">
      <c r="A129" s="1811" t="s">
        <v>56</v>
      </c>
      <c r="B129" s="1812"/>
      <c r="C129" s="475">
        <v>7</v>
      </c>
      <c r="D129" s="476"/>
      <c r="E129" s="462"/>
      <c r="F129" s="462"/>
      <c r="G129" s="462"/>
      <c r="H129" s="462"/>
      <c r="I129" s="462"/>
      <c r="J129" s="462"/>
      <c r="K129" s="817">
        <f>ROUND(AVERAGE(C129:J129),1)</f>
        <v>7</v>
      </c>
      <c r="L129" s="488">
        <f t="shared" ref="L129:Q129" si="21">ROUND(AVERAGE(L125:L128),1)</f>
        <v>3.7</v>
      </c>
      <c r="M129" s="488">
        <f t="shared" si="21"/>
        <v>3.1</v>
      </c>
      <c r="N129" s="488">
        <f t="shared" si="21"/>
        <v>3.9</v>
      </c>
      <c r="O129" s="488">
        <f t="shared" si="21"/>
        <v>58</v>
      </c>
      <c r="P129" s="488">
        <f t="shared" si="21"/>
        <v>56</v>
      </c>
      <c r="Q129" s="488">
        <f t="shared" si="21"/>
        <v>54</v>
      </c>
      <c r="R129" s="1681">
        <f>R127</f>
        <v>0</v>
      </c>
      <c r="S129" s="1682"/>
      <c r="T129" s="1589"/>
      <c r="U129" s="1590"/>
      <c r="V129" s="1591"/>
      <c r="W129" s="1591"/>
      <c r="X129" s="1586"/>
      <c r="Y129" s="1586"/>
      <c r="Z129" s="1591"/>
      <c r="AA129" s="1591"/>
      <c r="AB129" s="1591"/>
      <c r="AC129" s="1591"/>
      <c r="AD129" s="1591"/>
      <c r="AE129" s="1591"/>
      <c r="AF129" s="1586"/>
      <c r="AG129" s="1592"/>
      <c r="AI129" s="1798" t="s">
        <v>56</v>
      </c>
      <c r="AJ129" s="1799"/>
      <c r="AK129" s="475">
        <v>18</v>
      </c>
      <c r="AL129" s="476"/>
      <c r="AM129" s="462"/>
      <c r="AN129" s="462"/>
      <c r="AO129" s="462"/>
      <c r="AP129" s="462"/>
      <c r="AQ129" s="462"/>
      <c r="AR129" s="462"/>
      <c r="AS129" s="487">
        <f>ROUND(AVERAGE(AK129:AR129),1)</f>
        <v>18</v>
      </c>
      <c r="AT129" s="488">
        <f t="shared" ref="AT129:AY129" si="22">ROUND(AVERAGE(AT125:AT127),1)</f>
        <v>3.6</v>
      </c>
      <c r="AU129" s="488">
        <f t="shared" si="22"/>
        <v>3</v>
      </c>
      <c r="AV129" s="488">
        <f t="shared" si="22"/>
        <v>3.8</v>
      </c>
      <c r="AW129" s="488">
        <f t="shared" si="22"/>
        <v>61</v>
      </c>
      <c r="AX129" s="488">
        <f t="shared" si="22"/>
        <v>54</v>
      </c>
      <c r="AY129" s="488">
        <f t="shared" si="22"/>
        <v>57</v>
      </c>
      <c r="AZ129" s="1681">
        <f>AZ127</f>
        <v>0</v>
      </c>
      <c r="BA129" s="1682"/>
      <c r="BB129" s="1581"/>
      <c r="BC129" s="1581"/>
      <c r="BD129" s="1581"/>
      <c r="BE129" s="1581"/>
      <c r="BF129" s="1581"/>
      <c r="BG129" s="1581"/>
      <c r="BH129" s="1581"/>
      <c r="BI129" s="1581"/>
      <c r="BJ129" s="1581"/>
      <c r="BK129" s="1581"/>
      <c r="BL129" s="1581"/>
      <c r="BM129" s="1581"/>
      <c r="BN129" s="1581"/>
      <c r="BO129" s="1582"/>
      <c r="CX129" s="999"/>
      <c r="CY129" s="963"/>
      <c r="CZ129" s="963"/>
      <c r="DA129" s="963"/>
    </row>
    <row r="130" spans="1:105" s="104" customFormat="1" ht="18.75" customHeight="1" thickBot="1" x14ac:dyDescent="0.35">
      <c r="A130" s="552"/>
      <c r="B130" s="553"/>
      <c r="C130" s="554"/>
      <c r="D130" s="554"/>
      <c r="E130" s="554"/>
      <c r="F130" s="555" t="s">
        <v>153</v>
      </c>
      <c r="G130" s="555"/>
      <c r="H130" s="555"/>
      <c r="I130" s="555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0" t="s">
        <v>1260</v>
      </c>
      <c r="B131" s="1337">
        <f>ROUND(3.56/(B133/100),3)</f>
        <v>5.9530000000000003</v>
      </c>
      <c r="C131" s="1170" t="s">
        <v>1263</v>
      </c>
      <c r="D131" s="1337">
        <f>ROUND(B131*106/T53,2)</f>
        <v>11.17</v>
      </c>
      <c r="E131" s="139"/>
      <c r="F131" s="556"/>
      <c r="G131" s="557" t="s">
        <v>573</v>
      </c>
      <c r="H131" s="555"/>
      <c r="I131" s="555"/>
      <c r="J131" s="555"/>
      <c r="K131" s="555"/>
      <c r="L131" s="140"/>
      <c r="O131" s="1722"/>
      <c r="P131" s="1172"/>
      <c r="Q131" s="1801" t="s">
        <v>1266</v>
      </c>
      <c r="R131" s="1801"/>
      <c r="S131" s="1801"/>
      <c r="T131" s="1710"/>
      <c r="U131" s="1710"/>
      <c r="V131" s="1801" t="s">
        <v>1117</v>
      </c>
      <c r="W131" s="1801"/>
      <c r="X131" s="1801"/>
      <c r="Y131" s="2076" t="s">
        <v>1285</v>
      </c>
      <c r="Z131" s="2076"/>
      <c r="AA131" s="2076"/>
      <c r="AC131" s="1181" t="s">
        <v>1270</v>
      </c>
      <c r="AD131" s="1182" t="s">
        <v>1271</v>
      </c>
      <c r="AE131" s="1770" t="s">
        <v>398</v>
      </c>
      <c r="AF131" s="1771"/>
      <c r="AG131" s="1772"/>
      <c r="AI131" s="1170" t="s">
        <v>1260</v>
      </c>
      <c r="AJ131" s="1337">
        <f>ROUND(3.56/(AJ133/100),3)</f>
        <v>5.5629999999999997</v>
      </c>
      <c r="AK131" s="1170" t="s">
        <v>1263</v>
      </c>
      <c r="AL131" s="1337">
        <f>ROUND(AJ131*106/BB53,2)</f>
        <v>9.56</v>
      </c>
      <c r="AM131" s="139"/>
      <c r="AN131" s="556"/>
      <c r="AO131" s="557" t="s">
        <v>573</v>
      </c>
      <c r="AP131" s="555"/>
      <c r="AQ131" s="555"/>
      <c r="AR131" s="555"/>
      <c r="AS131" s="555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0" t="s">
        <v>1261</v>
      </c>
      <c r="B132" s="1362">
        <f>ROUND((528.3+D135+D133+D132)/0.85,3)</f>
        <v>731.63499999999999</v>
      </c>
      <c r="C132" s="1170" t="s">
        <v>1264</v>
      </c>
      <c r="D132" s="1337">
        <f>ROUND(B131*106/Y56*1.4*Y55,2)</f>
        <v>6.55</v>
      </c>
      <c r="E132" s="139"/>
      <c r="F132" s="558"/>
      <c r="G132" s="557" t="s">
        <v>154</v>
      </c>
      <c r="H132" s="555"/>
      <c r="I132" s="555"/>
      <c r="J132" s="555"/>
      <c r="K132" s="555"/>
      <c r="L132" s="205"/>
      <c r="O132" s="1722"/>
      <c r="P132" s="1173"/>
      <c r="Q132" s="899" t="s">
        <v>1267</v>
      </c>
      <c r="R132" s="899" t="s">
        <v>1268</v>
      </c>
      <c r="S132" s="899" t="s">
        <v>1269</v>
      </c>
      <c r="T132" s="1177"/>
      <c r="U132" s="142"/>
      <c r="V132" s="899" t="s">
        <v>1267</v>
      </c>
      <c r="W132" s="899" t="s">
        <v>1268</v>
      </c>
      <c r="X132" s="899" t="s">
        <v>1269</v>
      </c>
      <c r="Y132" s="899" t="s">
        <v>1267</v>
      </c>
      <c r="Z132" s="899" t="s">
        <v>1268</v>
      </c>
      <c r="AA132" s="899" t="s">
        <v>1269</v>
      </c>
      <c r="AC132" s="1179">
        <f>AVERAGE(AD78:AE89,BL78:BM89)</f>
        <v>59.666666666666664</v>
      </c>
      <c r="AD132" s="1180">
        <f>AVERAGE(AC78:AC89,BK78:BK89)</f>
        <v>69</v>
      </c>
      <c r="AE132" s="551">
        <f>AVERAGE(AG78:AG89,BO78:BO89)</f>
        <v>37.200000000000003</v>
      </c>
      <c r="AF132" s="551">
        <f>MIN(AG78:AG89,BO78:BO89)</f>
        <v>37</v>
      </c>
      <c r="AG132" s="551">
        <f>MAX(AG78:AG89,BO78:BO89)</f>
        <v>37.4</v>
      </c>
      <c r="AI132" s="1170" t="s">
        <v>1261</v>
      </c>
      <c r="AJ132" s="1362">
        <f>ROUND((528.3+AL135+AL133+AL132)/0.85,3)</f>
        <v>711.68200000000002</v>
      </c>
      <c r="AK132" s="1170" t="s">
        <v>1264</v>
      </c>
      <c r="AL132" s="1337">
        <f>ROUND(AJ131*106/BG56*1.4*BG55,2)</f>
        <v>6.17</v>
      </c>
      <c r="AM132" s="139"/>
      <c r="AN132" s="558"/>
      <c r="AO132" s="557" t="s">
        <v>154</v>
      </c>
      <c r="AP132" s="555"/>
      <c r="AQ132" s="555"/>
      <c r="AR132" s="555"/>
      <c r="AS132" s="555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0" t="s">
        <v>1262</v>
      </c>
      <c r="B133" s="1363">
        <f>AD61</f>
        <v>59.8</v>
      </c>
      <c r="C133" s="1170" t="s">
        <v>1265</v>
      </c>
      <c r="D133" s="1337">
        <f>ROUND(D134*1.4*D131,2)</f>
        <v>50.04</v>
      </c>
      <c r="E133" s="139"/>
      <c r="F133" s="559"/>
      <c r="G133" s="557" t="s">
        <v>173</v>
      </c>
      <c r="H133" s="555"/>
      <c r="I133" s="555"/>
      <c r="J133" s="555"/>
      <c r="K133" s="555"/>
      <c r="L133" s="140"/>
      <c r="O133" s="1715"/>
      <c r="P133" s="1174"/>
      <c r="Q133" s="1829">
        <f>AVERAGE(T33,X33,AB33,BB33,BF33,BJ33)</f>
        <v>68.566666666666663</v>
      </c>
      <c r="R133" s="1723">
        <f>MIN(T9:T33,X9:X33,AB9:AB33,BB9:BB33,BF9:BF33,BJ9:BJ33)</f>
        <v>60.9</v>
      </c>
      <c r="S133" s="1723">
        <f>MAX(T9:T33,X9:X33,AB9:AB33,BB9:BB33,BF9:BF33,BJ9:BJ33)</f>
        <v>71.400000000000006</v>
      </c>
      <c r="T133" s="1178"/>
      <c r="U133" s="1169" t="s">
        <v>396</v>
      </c>
      <c r="V133" s="1175">
        <f>AVERAGE(E78:E89,AM78:AM89)</f>
        <v>16.555555555555557</v>
      </c>
      <c r="W133" s="241">
        <f>MIN(E78:E89,AM78:AM89)</f>
        <v>14.5</v>
      </c>
      <c r="X133" s="241">
        <f>MAX(E78:E89,AM78:AM89)</f>
        <v>19.2</v>
      </c>
      <c r="Y133" s="1176">
        <f>AVERAGE(K78:K89,AS78:AS89)</f>
        <v>6.2727272727272743E-2</v>
      </c>
      <c r="Z133" s="550">
        <f>MIN(K78:K89,AS78:AS89)</f>
        <v>0.06</v>
      </c>
      <c r="AA133" s="550">
        <f>MAX(K78:K89,AS78:AS89)</f>
        <v>7.0000000000000007E-2</v>
      </c>
      <c r="AI133" s="1170" t="s">
        <v>1262</v>
      </c>
      <c r="AJ133" s="1363">
        <f>BL61</f>
        <v>64</v>
      </c>
      <c r="AK133" s="1170" t="s">
        <v>1265</v>
      </c>
      <c r="AL133" s="1337">
        <f>ROUND(AL134*1.4*AL131,2)</f>
        <v>33.46</v>
      </c>
      <c r="AM133" s="139"/>
      <c r="AN133" s="559"/>
      <c r="AO133" s="557" t="s">
        <v>173</v>
      </c>
      <c r="AP133" s="555"/>
      <c r="AQ133" s="555"/>
      <c r="AR133" s="555"/>
      <c r="AS133" s="555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0" t="s">
        <v>13</v>
      </c>
      <c r="D134" s="1363">
        <f>MAX(O55,R53)</f>
        <v>3.2</v>
      </c>
      <c r="E134" s="139"/>
      <c r="F134" s="883"/>
      <c r="G134" s="560" t="s">
        <v>408</v>
      </c>
      <c r="H134" s="555"/>
      <c r="I134" s="555"/>
      <c r="J134" s="555"/>
      <c r="K134" s="555"/>
      <c r="L134" s="140"/>
      <c r="O134" s="1715"/>
      <c r="P134" s="1174"/>
      <c r="Q134" s="1829"/>
      <c r="R134" s="1723"/>
      <c r="S134" s="1723"/>
      <c r="T134" s="1178"/>
      <c r="U134" s="1169" t="s">
        <v>397</v>
      </c>
      <c r="V134" s="1175">
        <f>AVERAGE(F78:F89,AN78:AN89)</f>
        <v>16.5</v>
      </c>
      <c r="W134" s="241">
        <f>MIN(F78:F89,AN78:AN89)</f>
        <v>14.3</v>
      </c>
      <c r="X134" s="241">
        <f>MAX(F78:F89,AN78:AN89)</f>
        <v>19.8</v>
      </c>
      <c r="Y134" s="1176">
        <f>AVERAGE(L78:L89,AT78:AT89)</f>
        <v>6.3000000000000014E-2</v>
      </c>
      <c r="Z134" s="550">
        <f>MIN(L78:L89,AT78:AT89)</f>
        <v>0.06</v>
      </c>
      <c r="AA134" s="550">
        <f>MAX(L78:L89,AT78:AT89)</f>
        <v>7.0000000000000007E-2</v>
      </c>
      <c r="AD134" s="1183" t="s">
        <v>1272</v>
      </c>
      <c r="AE134" s="899" t="s">
        <v>185</v>
      </c>
      <c r="AF134" s="1187" t="s">
        <v>190</v>
      </c>
      <c r="AG134" s="1186" t="s">
        <v>1273</v>
      </c>
      <c r="AI134" s="103"/>
      <c r="AJ134" s="103"/>
      <c r="AK134" s="1170" t="s">
        <v>13</v>
      </c>
      <c r="AL134" s="1363">
        <f>MAX(AW55,AZ53)</f>
        <v>2.5</v>
      </c>
      <c r="AM134" s="139"/>
      <c r="AN134" s="883"/>
      <c r="AO134" s="560" t="s">
        <v>408</v>
      </c>
      <c r="AP134" s="555"/>
      <c r="AQ134" s="555"/>
      <c r="AR134" s="555"/>
      <c r="AS134" s="555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0" t="s">
        <v>82</v>
      </c>
      <c r="D135" s="1337">
        <v>37</v>
      </c>
      <c r="E135" s="139"/>
      <c r="F135" s="884"/>
      <c r="G135" s="561" t="s">
        <v>177</v>
      </c>
      <c r="H135" s="555"/>
      <c r="I135" s="555"/>
      <c r="J135" s="555"/>
      <c r="K135" s="555"/>
      <c r="L135" s="140"/>
      <c r="O135" s="1715"/>
      <c r="P135" s="1360">
        <f>AVERAGE(V133:V134)</f>
        <v>16.527777777777779</v>
      </c>
      <c r="Q135" s="1829"/>
      <c r="R135" s="1723"/>
      <c r="S135" s="1723"/>
      <c r="T135" s="1178"/>
      <c r="U135" s="1169" t="s">
        <v>81</v>
      </c>
      <c r="V135" s="1175">
        <f>AVERAGE(G78:G89,AO78:AO89)</f>
        <v>18.755555555555553</v>
      </c>
      <c r="W135" s="241">
        <f>MIN(G78:G89,AO78:AO89)</f>
        <v>17.600000000000001</v>
      </c>
      <c r="X135" s="241">
        <f>MAX(G78:G89,AO78:AO89)</f>
        <v>20.2</v>
      </c>
      <c r="Y135" s="1176">
        <f>AVERAGE(M78:T89,AU78:BB89)</f>
        <v>6.4000000000000029E-2</v>
      </c>
      <c r="Z135" s="550">
        <f>MIN(M78:T89,AU78:BB89)</f>
        <v>0.06</v>
      </c>
      <c r="AA135" s="550">
        <f>MAX(M78:T89,AU78:BB89)</f>
        <v>0.1</v>
      </c>
      <c r="AD135" s="1185">
        <f>B132</f>
        <v>731.63499999999999</v>
      </c>
      <c r="AE135" s="241">
        <f>P55</f>
        <v>9.6999999999999993</v>
      </c>
      <c r="AF135" s="241">
        <f>S53</f>
        <v>8.4</v>
      </c>
      <c r="AG135" s="241">
        <f>AA90</f>
        <v>80</v>
      </c>
      <c r="AI135" s="103"/>
      <c r="AJ135" s="103"/>
      <c r="AK135" s="1170" t="s">
        <v>82</v>
      </c>
      <c r="AL135" s="1337">
        <v>37</v>
      </c>
      <c r="AM135" s="139"/>
      <c r="AN135" s="884"/>
      <c r="AO135" s="561" t="s">
        <v>177</v>
      </c>
      <c r="AP135" s="555"/>
      <c r="AQ135" s="555"/>
      <c r="AR135" s="555"/>
      <c r="AS135" s="555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3"/>
      <c r="G136" s="139" t="s">
        <v>1443</v>
      </c>
      <c r="H136" s="885"/>
      <c r="I136" s="885"/>
      <c r="J136" s="885"/>
      <c r="K136" s="885"/>
      <c r="AD136" s="1185">
        <f>AJ132</f>
        <v>711.68200000000002</v>
      </c>
      <c r="AE136" s="241">
        <f>AX55</f>
        <v>9.6</v>
      </c>
      <c r="AF136" s="241">
        <f>BA53</f>
        <v>4.4000000000000004</v>
      </c>
      <c r="AG136" s="241">
        <f>BI90</f>
        <v>80</v>
      </c>
      <c r="AK136" s="1171"/>
      <c r="AL136" s="139"/>
      <c r="AM136" s="139"/>
      <c r="AN136" s="1443"/>
      <c r="AO136" s="139" t="s">
        <v>1443</v>
      </c>
      <c r="AP136" s="885"/>
      <c r="AQ136" s="885"/>
      <c r="AR136" s="885"/>
      <c r="AS136" s="885"/>
      <c r="AV136" s="2256" t="s">
        <v>1014</v>
      </c>
      <c r="AW136" s="2256"/>
      <c r="AX136" s="2256"/>
      <c r="AY136" s="2256"/>
      <c r="AZ136" s="2256"/>
      <c r="BA136" s="2256"/>
      <c r="BB136" s="2256"/>
      <c r="BC136" s="2256"/>
      <c r="BD136" s="2256"/>
      <c r="BE136" s="2256"/>
      <c r="BF136" s="2256"/>
      <c r="BG136" s="2256"/>
      <c r="BH136" s="2256"/>
      <c r="BI136" s="2256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5"/>
      <c r="K137" s="885"/>
      <c r="AU137" s="140"/>
      <c r="AV137" s="1752" t="s">
        <v>1339</v>
      </c>
      <c r="AW137" s="1752" t="s">
        <v>1340</v>
      </c>
      <c r="AX137" s="1752" t="s">
        <v>1209</v>
      </c>
      <c r="AY137" s="1752" t="s">
        <v>1341</v>
      </c>
      <c r="AZ137" s="1752" t="s">
        <v>1337</v>
      </c>
      <c r="BA137" s="1752" t="s">
        <v>1338</v>
      </c>
      <c r="BB137" s="1752" t="s">
        <v>1319</v>
      </c>
      <c r="BC137" s="1752" t="s">
        <v>1342</v>
      </c>
      <c r="BD137" s="1752" t="s">
        <v>1386</v>
      </c>
      <c r="BE137" s="1752" t="s">
        <v>1622</v>
      </c>
      <c r="BF137" s="1752" t="s">
        <v>1343</v>
      </c>
      <c r="BG137" s="1752" t="s">
        <v>1344</v>
      </c>
      <c r="BH137" s="1752" t="s">
        <v>1345</v>
      </c>
      <c r="BI137" s="1752" t="s">
        <v>1346</v>
      </c>
      <c r="BJ137" s="898"/>
      <c r="BM137" s="894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1"/>
      <c r="AV138" s="1752"/>
      <c r="AW138" s="1752"/>
      <c r="AX138" s="1752"/>
      <c r="AY138" s="1752"/>
      <c r="AZ138" s="1752"/>
      <c r="BA138" s="1752"/>
      <c r="BB138" s="1752"/>
      <c r="BC138" s="1752"/>
      <c r="BD138" s="1752"/>
      <c r="BE138" s="1752"/>
      <c r="BF138" s="1752"/>
      <c r="BG138" s="1752"/>
      <c r="BH138" s="1752"/>
      <c r="BI138" s="1752"/>
      <c r="BJ138" s="1315" t="s">
        <v>1347</v>
      </c>
      <c r="BM138" s="893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1768" t="s">
        <v>399</v>
      </c>
      <c r="AE139" s="1769"/>
      <c r="AF139" s="1200" t="s">
        <v>165</v>
      </c>
      <c r="AG139" s="1200" t="s">
        <v>166</v>
      </c>
      <c r="AQ139" s="145"/>
      <c r="AU139" s="899" t="s">
        <v>1348</v>
      </c>
      <c r="AV139" s="1338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71</v>
      </c>
      <c r="AW139" s="1204">
        <f>COUNT(V40:V53,C78:C89,AK78:AK89,AI54,BD40:BD53,BF40:BF53,X40:X53)</f>
        <v>17</v>
      </c>
      <c r="AX139" s="1204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60</v>
      </c>
      <c r="AY139" s="1204">
        <f>COUNT(S9:S33,W9:W33,AA9:AA33,D40:D41,D44,L40:L53,BA9:BA33,BE9:BE33,BI9:BI33,AU35,AX35,AL40:AL41,AL44,AT40:AT53,AK54,'Декадные анализы'!L3:L9,'Декадные анализы'!S3:S9)</f>
        <v>34</v>
      </c>
      <c r="AZ139" s="1204">
        <f>COUNT(BC78:BD89,U78:V89)</f>
        <v>8</v>
      </c>
      <c r="BA139" s="1204">
        <f>COUNT(E78:G89,AM78:AO89)</f>
        <v>26</v>
      </c>
      <c r="BB139" s="1204">
        <f>COUNT(K78:T89,AS78:BB89)</f>
        <v>36</v>
      </c>
      <c r="BC139" s="1204">
        <f>COUNT(H35,K9:P28,T34,X34,AB34,F40:F41,F44,L54,U54,D90,AP35,AS9:AX28,BB34,BF34,BJ34,AN40:AN41,AN44,BC54,AL54,BG40:BG54,Y40:Y54,AL90,AT54,W54,BE54)</f>
        <v>49</v>
      </c>
      <c r="BD139" s="1204">
        <f>COUNT(O40:O46,O48:O54,R40:R53,AW40:AW46,AW48:AW54,AZ40:AZ53)</f>
        <v>26</v>
      </c>
      <c r="BE139" s="1204">
        <f>COUNT(P40:P46,P48:P54,S40:S53,U40:U53,AX40:AX46,AX48:AX54,BA40:BA53,BC40:BC53,W40:W53,BE40:BE53)</f>
        <v>34</v>
      </c>
      <c r="BF139" s="1204">
        <f>COUNT(C9:C20,E9:E22,AK9:AK20,AM9:AM22)</f>
        <v>17</v>
      </c>
      <c r="BG139" s="1204">
        <f>COUNT(G9:G34,AO9:AO34)</f>
        <v>5</v>
      </c>
      <c r="BH139" s="1204">
        <f>COUNT(B57:G58,J57:L58,AJ57:AO58,AR57:AT58)</f>
        <v>32</v>
      </c>
      <c r="BI139" s="1204">
        <f>COUNT(F9:F34,AC78:AE89,BK78:BM89,AN9:AN22)</f>
        <v>12</v>
      </c>
      <c r="BJ139" s="1316">
        <f>SUM(AV139:BI139)</f>
        <v>427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0" t="s">
        <v>411</v>
      </c>
      <c r="AE140" s="1201">
        <f>AVERAGE(AD78:AE89,BL78:BM89)</f>
        <v>59.666666666666664</v>
      </c>
      <c r="AF140" s="1201">
        <f>MIN(AD78:AE89,BL78:BM89)</f>
        <v>55</v>
      </c>
      <c r="AG140" s="1201">
        <f>MAX(AD78:AE89,BL78:BM89)</f>
        <v>67</v>
      </c>
      <c r="AJ140" s="143"/>
      <c r="AM140" s="147"/>
      <c r="AQ140" s="145"/>
      <c r="AU140" s="899" t="s">
        <v>4</v>
      </c>
      <c r="AV140" s="1204">
        <f>AV139*4</f>
        <v>284</v>
      </c>
      <c r="AW140" s="1204">
        <f>AW139*4</f>
        <v>68</v>
      </c>
      <c r="AX140" s="1204">
        <f>AX139*3</f>
        <v>180</v>
      </c>
      <c r="AY140" s="1204">
        <f>AY139*2</f>
        <v>68</v>
      </c>
      <c r="AZ140" s="1204">
        <f>AZ139*4</f>
        <v>32</v>
      </c>
      <c r="BA140" s="1204">
        <f>BA139*3</f>
        <v>78</v>
      </c>
      <c r="BB140" s="1204">
        <f>BB139*4</f>
        <v>144</v>
      </c>
      <c r="BC140" s="1204">
        <f>BC139*3</f>
        <v>147</v>
      </c>
      <c r="BD140" s="1204">
        <f>BD139*4</f>
        <v>104</v>
      </c>
      <c r="BE140" s="1204">
        <f>BE139*5</f>
        <v>170</v>
      </c>
      <c r="BF140" s="1204">
        <f>BF139*10</f>
        <v>170</v>
      </c>
      <c r="BG140" s="1204">
        <f>BG139*3</f>
        <v>15</v>
      </c>
      <c r="BH140" s="1204">
        <f>BH139*2</f>
        <v>64</v>
      </c>
      <c r="BI140" s="1339">
        <f>BI139*6</f>
        <v>72</v>
      </c>
      <c r="BJ140" s="1317">
        <f>SUM(AV140:BI140)</f>
        <v>1596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0" t="s">
        <v>412</v>
      </c>
      <c r="AE141" s="1201">
        <f>AVERAGE(AG78:AG89,BO78:BO89)</f>
        <v>37.200000000000003</v>
      </c>
      <c r="AF141" s="1201">
        <f>MIN(AG78:AG89,BO78:BO89)</f>
        <v>37</v>
      </c>
      <c r="AG141" s="1201">
        <f>MAX(AG78:AG89,BO78:BO89)</f>
        <v>37.4</v>
      </c>
      <c r="AJ141" s="143"/>
      <c r="AM141" s="147"/>
      <c r="AQ141" s="145"/>
      <c r="BM141" s="893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1781" t="s">
        <v>148</v>
      </c>
      <c r="L142" s="1782"/>
      <c r="M142" s="1783"/>
      <c r="N142" s="150"/>
      <c r="T142" s="1711"/>
      <c r="U142" s="1711"/>
      <c r="V142" s="1732" t="s">
        <v>1260</v>
      </c>
      <c r="AM142" s="147"/>
      <c r="AO142" s="147"/>
      <c r="AQ142" s="145"/>
      <c r="AZ142" s="894"/>
      <c r="BA142" s="894"/>
      <c r="BB142" s="894"/>
      <c r="BC142" s="894"/>
      <c r="BD142" s="894"/>
      <c r="BE142" s="894"/>
      <c r="BF142" s="894"/>
      <c r="BG142" s="894"/>
      <c r="BH142" s="894"/>
      <c r="BI142" s="894"/>
      <c r="BJ142" s="894"/>
      <c r="BK142" s="894"/>
      <c r="BL142" s="894"/>
      <c r="BM142" s="893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88"/>
      <c r="B143" s="1189" t="s">
        <v>146</v>
      </c>
      <c r="C143" s="1189" t="s">
        <v>147</v>
      </c>
      <c r="D143" s="1189" t="s">
        <v>148</v>
      </c>
      <c r="E143" s="103"/>
      <c r="F143" s="1188"/>
      <c r="G143" s="1189" t="s">
        <v>146</v>
      </c>
      <c r="H143" s="1189" t="s">
        <v>147</v>
      </c>
      <c r="I143" s="1189" t="s">
        <v>148</v>
      </c>
      <c r="J143" s="1190"/>
      <c r="K143" s="1184" t="s">
        <v>175</v>
      </c>
      <c r="L143" s="1184" t="s">
        <v>176</v>
      </c>
      <c r="M143" s="1191" t="s">
        <v>81</v>
      </c>
      <c r="N143" s="897" t="s">
        <v>178</v>
      </c>
      <c r="O143" s="897" t="s">
        <v>12</v>
      </c>
      <c r="P143" s="897" t="s">
        <v>179</v>
      </c>
      <c r="Q143" s="897" t="s">
        <v>40</v>
      </c>
      <c r="T143" s="1300" t="s">
        <v>391</v>
      </c>
      <c r="U143" s="1310" t="s">
        <v>1336</v>
      </c>
      <c r="V143" s="1732"/>
      <c r="AQ143" s="145"/>
      <c r="AU143" s="1311"/>
      <c r="AV143" s="2256" t="s">
        <v>1015</v>
      </c>
      <c r="AW143" s="2256"/>
      <c r="AX143" s="2256"/>
      <c r="AY143" s="2256"/>
      <c r="AZ143" s="2256"/>
      <c r="BA143" s="2256"/>
      <c r="BB143" s="2256"/>
      <c r="BC143" s="2256"/>
      <c r="BD143" s="2256"/>
      <c r="BE143" s="2256"/>
      <c r="BF143" s="2256"/>
      <c r="BG143" s="2256"/>
      <c r="BH143" s="2256"/>
      <c r="BI143" s="2256"/>
      <c r="BJ143" s="2256"/>
      <c r="BK143" s="1166"/>
      <c r="BL143" s="900"/>
      <c r="BM143" s="900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88" t="s">
        <v>149</v>
      </c>
      <c r="B144" s="1192">
        <f>MAX(C95:C106,G95:G106,K95:K106,O95:O106,S95:S106,AK95:AK106,AO95:AO106,AS95:AS106,AW95:AW106,BA95:BA106)</f>
        <v>99.45</v>
      </c>
      <c r="C144" s="1192">
        <f>MAX(D95:D106,H95:H106,L95:L106,P95:P106,T95:T106,AL95:AL106,AP95:AP106,AT95:AT106,AX95:AX106,BB95:BB106)</f>
        <v>0.39</v>
      </c>
      <c r="D144" s="1193">
        <f>MAX(E95:E106,I95:I106,M95:M106,Q95:Q106,U95:U106,AM95:AM106,AQ95:AQ106,AU95:AU106,AY95:AY106,BC95:BC106)</f>
        <v>3.8999999999999998E-3</v>
      </c>
      <c r="E144" s="103"/>
      <c r="F144" s="1188" t="s">
        <v>149</v>
      </c>
      <c r="G144" s="1192">
        <f>MAX(W95:W106,AA95:AA106,BE95:BE106,BI95:BI106)</f>
        <v>99.45</v>
      </c>
      <c r="H144" s="1192">
        <f>MAX(X95:X106,AB95:AB106,BF95:BF106,BJ95:BJ106)</f>
        <v>0.28999999999999998</v>
      </c>
      <c r="I144" s="1193">
        <f>MAX(Y95:Y106,AC95:AC106,BG95:BG106,BK95:BK106)</f>
        <v>4.4999999999999997E-3</v>
      </c>
      <c r="J144" s="1188" t="s">
        <v>149</v>
      </c>
      <c r="K144" s="1716">
        <f>MAX(T78:U89,BB78:BC89)</f>
        <v>7.0000000000000007E-2</v>
      </c>
      <c r="L144" s="1717"/>
      <c r="M144" s="1194">
        <f>MAX(V78:V89,BD78:BD89)</f>
        <v>8.9999999999999998E-4</v>
      </c>
      <c r="N144" s="133">
        <f>MAX(W78:Y89,BE78:BG89)</f>
        <v>0</v>
      </c>
      <c r="O144" s="133">
        <f>MAX(AB78:AB89,BJ78:BJ89)</f>
        <v>82</v>
      </c>
      <c r="P144" s="133">
        <f>MAX(AA78:AA89,BI78:BI89)</f>
        <v>80</v>
      </c>
      <c r="Q144" s="133">
        <f>MAX(AG78:AG89,BO78:BO89)</f>
        <v>37.4</v>
      </c>
      <c r="T144" s="1196">
        <f>MAX(P55,S53)</f>
        <v>9.6999999999999993</v>
      </c>
      <c r="U144" s="1197">
        <f>T53</f>
        <v>56.5</v>
      </c>
      <c r="V144" s="1198">
        <f>BT30</f>
        <v>5.9530000000000003</v>
      </c>
      <c r="AQ144" s="145"/>
      <c r="AU144" s="1311"/>
      <c r="AV144" s="1752" t="s">
        <v>26</v>
      </c>
      <c r="AW144" s="1752"/>
      <c r="AX144" s="1752"/>
      <c r="AY144" s="1752"/>
      <c r="AZ144" s="1752"/>
      <c r="BA144" s="1342" t="s">
        <v>32</v>
      </c>
      <c r="BB144" s="1343" t="s">
        <v>1011</v>
      </c>
      <c r="BC144" s="1343" t="s">
        <v>8</v>
      </c>
      <c r="BD144" s="1343" t="s">
        <v>1012</v>
      </c>
      <c r="BE144" s="1752" t="s">
        <v>26</v>
      </c>
      <c r="BF144" s="1752"/>
      <c r="BG144" s="1752"/>
      <c r="BH144" s="1752"/>
      <c r="BI144" s="1342" t="s">
        <v>76</v>
      </c>
      <c r="BJ144" s="1342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88" t="s">
        <v>150</v>
      </c>
      <c r="B145" s="1192">
        <f>MIN(C95:C106,G95:G106,K95:K106,O95:O106,S95:S106,AK95:AK106,AO95:AO106,AS95:AS106,AW95:AW106,BA95:BA106)</f>
        <v>99.45</v>
      </c>
      <c r="C145" s="1192">
        <f>MIN(D95:D106,H95:H106,L95:L106,P95:P106,T95:T106,AL95:AL106,AP95:AP106,AT95:AT106,AX95:AX106,BB95:BB106)</f>
        <v>0.14000000000000001</v>
      </c>
      <c r="D145" s="1193">
        <f>MIN(E95:E106,I95:I106,M95:M106,Q95:Q106,U95:U106,AM95:AM106,AQ95:AQ106,AU95:AU106,AY95:AY106,BC95:BC106)</f>
        <v>1.1000000000000001E-3</v>
      </c>
      <c r="E145" s="103"/>
      <c r="F145" s="1188" t="s">
        <v>150</v>
      </c>
      <c r="G145" s="1192">
        <f>MIN(W95:W106,AA95:AA106,BE95:BE106,BI95:BI106)</f>
        <v>99.45</v>
      </c>
      <c r="H145" s="1192">
        <f>MIN(X95:X106,AB95:AB106,BF95:BF106,BJ95:BJ106)</f>
        <v>0.14000000000000001</v>
      </c>
      <c r="I145" s="1193">
        <f>MIN(Y95:Y106,AC95:AC106,BG95:BG106,BK95:BK106)</f>
        <v>1.1000000000000001E-3</v>
      </c>
      <c r="J145" s="1188" t="s">
        <v>150</v>
      </c>
      <c r="K145" s="1716">
        <f>MIN(T78:U89,BB78:BC89)</f>
        <v>8.0000000000000004E-4</v>
      </c>
      <c r="L145" s="1717"/>
      <c r="M145" s="1194">
        <f>MIN(V78:V89,BD78:BD89)</f>
        <v>5.0000000000000001E-4</v>
      </c>
      <c r="N145" s="133">
        <f>MIN(W78:Y89,BE78:BG89)</f>
        <v>0</v>
      </c>
      <c r="O145" s="133">
        <f>MIN(AB78:AB89,BJ78:BJ89)</f>
        <v>81</v>
      </c>
      <c r="P145" s="133">
        <f>MIN(AA78:AA89,BI78:BI89)</f>
        <v>80</v>
      </c>
      <c r="Q145" s="133">
        <f>MIN(AG78:AG89,BO78:BO89)</f>
        <v>37</v>
      </c>
      <c r="T145" s="1199">
        <f>MAX(AX55,BA53)</f>
        <v>9.6</v>
      </c>
      <c r="U145" s="1197">
        <f>BB53</f>
        <v>61.7</v>
      </c>
      <c r="V145" s="1198">
        <f>BV30</f>
        <v>5.5629999999999997</v>
      </c>
      <c r="AQ145" s="145"/>
      <c r="AU145" s="1311"/>
      <c r="AV145" s="1340" t="s">
        <v>0</v>
      </c>
      <c r="AW145" s="1340" t="s">
        <v>185</v>
      </c>
      <c r="AX145" s="1340" t="s">
        <v>30</v>
      </c>
      <c r="AY145" s="1340" t="s">
        <v>29</v>
      </c>
      <c r="AZ145" s="1340" t="s">
        <v>1325</v>
      </c>
      <c r="BA145" s="1340" t="s">
        <v>189</v>
      </c>
      <c r="BB145" s="1340" t="s">
        <v>617</v>
      </c>
      <c r="BC145" s="1340" t="s">
        <v>438</v>
      </c>
      <c r="BD145" s="1340" t="s">
        <v>438</v>
      </c>
      <c r="BE145" s="1340" t="s">
        <v>1016</v>
      </c>
      <c r="BF145" s="1340" t="s">
        <v>1349</v>
      </c>
      <c r="BG145" s="1340" t="s">
        <v>1303</v>
      </c>
      <c r="BH145" s="1340" t="s">
        <v>1013</v>
      </c>
      <c r="BI145" s="1340" t="s">
        <v>77</v>
      </c>
      <c r="BJ145" s="1340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88" t="s">
        <v>151</v>
      </c>
      <c r="B146" s="1192">
        <f>AVERAGE(C95:C106,G95:G106,K95:K106,O95:O106,S95:S106,AK95:AK106,AO95:AO106,AS95:AS106,AW95:AW106,BA95:BA106)</f>
        <v>99.449999999999903</v>
      </c>
      <c r="C146" s="1192">
        <f>AVERAGE(D95:D106,H95:H106,L95:L106,P95:P106,T95:T106,AL95:AL106,AP95:AP106,AT95:AT106,AX95:AX106,BB95:BB106)</f>
        <v>0.16518518518518516</v>
      </c>
      <c r="D146" s="1193">
        <f>AVERAGE(E95:E106,I95:I106,M95:M106,Q95:Q106,U95:U106,AM95:AM106,AQ95:AQ106,AU95:AU106,AY95:AY106,BC95:BC106)</f>
        <v>2.3483870967741937E-3</v>
      </c>
      <c r="E146" s="103"/>
      <c r="F146" s="1188" t="s">
        <v>151</v>
      </c>
      <c r="G146" s="1192">
        <f>AVERAGE(W95:W106,AA95:AA106,BE95:BE106,BI95:BI106)</f>
        <v>99.450000000000031</v>
      </c>
      <c r="H146" s="1192">
        <f>AVERAGE(X95:X106,AB95:AB106,BF95:BF106,BJ95:BJ106)</f>
        <v>0.17277777777777781</v>
      </c>
      <c r="I146" s="1193">
        <f>AVERAGE(Y95:Y106,AC95:AC106,BG95:BG106,BK95:BK106)</f>
        <v>1.9823529411764711E-3</v>
      </c>
      <c r="J146" s="1188" t="s">
        <v>151</v>
      </c>
      <c r="K146" s="1194">
        <f>AVERAGE(T77:T89,BB78:BB89)</f>
        <v>6.1111111111111116E-2</v>
      </c>
      <c r="L146" s="1194">
        <f>AVERAGE(U78:U89,BC78:BC89)</f>
        <v>1.0500000000000002E-3</v>
      </c>
      <c r="M146" s="1195">
        <f>AVERAGE(V78:V89,BD78:BD89)</f>
        <v>6.9999999999999999E-4</v>
      </c>
      <c r="N146" s="133" t="e">
        <f>AVERAGE(W78:Y89,BE78:BG89)</f>
        <v>#DIV/0!</v>
      </c>
      <c r="O146" s="133">
        <f>AVERAGE(AB78:AB89,BJ78:BJ89)</f>
        <v>81.5</v>
      </c>
      <c r="P146" s="133">
        <f>AVERAGE(AA78:AA89,BI78:BI89)</f>
        <v>80</v>
      </c>
      <c r="Q146" s="133">
        <f>AVERAGE(AG78:AG89,BO78:BO89)</f>
        <v>37.200000000000003</v>
      </c>
      <c r="AQ146" s="145"/>
      <c r="AU146" s="899" t="s">
        <v>1348</v>
      </c>
      <c r="AV146" s="1328">
        <f>COUNT(F73,AN73)</f>
        <v>2</v>
      </c>
      <c r="AW146" s="1328">
        <f>SUM(AY158)</f>
        <v>12</v>
      </c>
      <c r="AX146" s="1328">
        <f>COUNT(AB40:AB46,AB48:AB54,BJ40:BJ46,BJ48:BJ54)</f>
        <v>12</v>
      </c>
      <c r="AY146" s="1328">
        <f>COUNT(BK40:BK46,BK48:BK54,AC40:AC46,AC48:AC54)</f>
        <v>12</v>
      </c>
      <c r="AZ146" s="1328">
        <f>COUNT(AD40:AD46,AD48:AD54,BL40:BL46,BL48:BL54)</f>
        <v>12</v>
      </c>
      <c r="BA146" s="1328">
        <f>COUNT(AE40:AE46,AE48:AE54,BM40:BM46,BM48:BM54)</f>
        <v>12</v>
      </c>
      <c r="BB146" s="1328">
        <f>COUNT(AF40:AF46,AF48:AF54,BN40:BN46,BN48:BN54)</f>
        <v>12</v>
      </c>
      <c r="BC146" s="1328">
        <f>COUNT(H78:H89,AP78:AP89)</f>
        <v>24</v>
      </c>
      <c r="BD146" s="1328">
        <f>COUNT(J78:J89,AR78:AR89)</f>
        <v>24</v>
      </c>
      <c r="BE146" s="1328">
        <f>COUNT(AD4:AD33,BL4:BL33)</f>
        <v>35</v>
      </c>
      <c r="BF146" s="1328">
        <f t="shared" ref="BF146:BH146" si="23">COUNT(AE4:AE33,BM4:BM33)</f>
        <v>35</v>
      </c>
      <c r="BG146" s="1328">
        <f t="shared" si="23"/>
        <v>35</v>
      </c>
      <c r="BH146" s="1328">
        <f t="shared" si="23"/>
        <v>47</v>
      </c>
      <c r="BI146" s="1328">
        <f>COUNT(AD63:AD66,BL63:BL66)</f>
        <v>8</v>
      </c>
      <c r="BJ146" s="1328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84" t="s">
        <v>1290</v>
      </c>
      <c r="T147" s="1785"/>
      <c r="U147" s="1785"/>
      <c r="V147" s="1785"/>
      <c r="W147" s="1785"/>
      <c r="X147" s="1786"/>
      <c r="AQ147" s="145"/>
      <c r="AU147" s="899" t="s">
        <v>4</v>
      </c>
      <c r="AV147" s="1347">
        <f t="shared" ref="AV147" si="24">AV146*1</f>
        <v>2</v>
      </c>
      <c r="AW147" s="1347">
        <f>COUNT(AA40:AA46,AA48:AA54,BI40:BI46,BI48:BI54)</f>
        <v>12</v>
      </c>
      <c r="AX147" s="1347">
        <f t="shared" ref="AX147:BJ147" si="25">AX146*1</f>
        <v>12</v>
      </c>
      <c r="AY147" s="1347">
        <f t="shared" si="25"/>
        <v>12</v>
      </c>
      <c r="AZ147" s="1347">
        <f t="shared" si="25"/>
        <v>12</v>
      </c>
      <c r="BA147" s="1347">
        <f t="shared" si="25"/>
        <v>12</v>
      </c>
      <c r="BB147" s="1347">
        <f t="shared" si="25"/>
        <v>12</v>
      </c>
      <c r="BC147" s="1347">
        <f t="shared" si="25"/>
        <v>24</v>
      </c>
      <c r="BD147" s="1347">
        <f t="shared" si="25"/>
        <v>24</v>
      </c>
      <c r="BE147" s="1347">
        <f t="shared" si="25"/>
        <v>35</v>
      </c>
      <c r="BF147" s="1347">
        <f t="shared" si="25"/>
        <v>35</v>
      </c>
      <c r="BG147" s="1347">
        <f t="shared" si="25"/>
        <v>35</v>
      </c>
      <c r="BH147" s="1347">
        <f t="shared" si="25"/>
        <v>47</v>
      </c>
      <c r="BI147" s="1347">
        <f t="shared" si="25"/>
        <v>8</v>
      </c>
      <c r="BJ147" s="1347">
        <f t="shared" si="25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1815"/>
      <c r="B148" s="1361" t="s">
        <v>19</v>
      </c>
      <c r="C148" s="1683" t="s">
        <v>21</v>
      </c>
      <c r="D148" s="1684"/>
      <c r="E148" s="1685"/>
      <c r="F148" s="1683" t="s">
        <v>182</v>
      </c>
      <c r="G148" s="1685"/>
      <c r="H148" s="1361" t="s">
        <v>29</v>
      </c>
      <c r="I148" s="1680" t="s">
        <v>416</v>
      </c>
      <c r="J148" s="1680"/>
      <c r="K148" s="1680"/>
      <c r="L148" s="1680"/>
      <c r="M148" s="1361" t="s">
        <v>30</v>
      </c>
      <c r="N148" s="1361" t="s">
        <v>24</v>
      </c>
      <c r="O148" s="1680" t="s">
        <v>1278</v>
      </c>
      <c r="P148" s="1680"/>
      <c r="Q148" s="1680"/>
      <c r="R148" s="1361" t="s">
        <v>34</v>
      </c>
      <c r="S148" s="1364" t="s">
        <v>133</v>
      </c>
      <c r="T148" s="1364" t="s">
        <v>134</v>
      </c>
      <c r="U148" s="1364" t="s">
        <v>81</v>
      </c>
      <c r="V148" s="1364" t="s">
        <v>133</v>
      </c>
      <c r="W148" s="1364" t="s">
        <v>134</v>
      </c>
      <c r="X148" s="1364" t="s">
        <v>81</v>
      </c>
      <c r="Y148" s="1361" t="s">
        <v>1281</v>
      </c>
      <c r="Z148" s="1361" t="s">
        <v>1282</v>
      </c>
      <c r="AA148" s="1361" t="s">
        <v>392</v>
      </c>
      <c r="AB148" s="1680" t="s">
        <v>1283</v>
      </c>
      <c r="AC148" s="1680"/>
      <c r="AD148" s="1680"/>
      <c r="AE148" s="1680" t="s">
        <v>1284</v>
      </c>
      <c r="AF148" s="1680"/>
      <c r="AG148" s="1680"/>
      <c r="AH148" s="1680" t="s">
        <v>1287</v>
      </c>
      <c r="AI148" s="1680"/>
      <c r="AJ148" s="1680"/>
      <c r="AK148" s="1680" t="s">
        <v>1288</v>
      </c>
      <c r="AL148" s="2259"/>
      <c r="AM148" s="2259"/>
      <c r="AN148" s="1680" t="s">
        <v>38</v>
      </c>
      <c r="AO148" s="1680"/>
      <c r="AP148" s="1680"/>
      <c r="AQ148" s="1361" t="s">
        <v>8</v>
      </c>
      <c r="AV148" s="2309" t="s">
        <v>26</v>
      </c>
      <c r="AW148" s="2310"/>
      <c r="AX148" s="2311"/>
      <c r="AY148" s="2289" t="s">
        <v>1011</v>
      </c>
      <c r="AZ148" s="2290"/>
      <c r="BA148" s="2290"/>
      <c r="BB148" s="2293"/>
      <c r="BC148" s="2289" t="s">
        <v>26</v>
      </c>
      <c r="BD148" s="2290"/>
      <c r="BE148" s="2290"/>
      <c r="BF148" s="2290"/>
      <c r="BG148" s="1344" t="s">
        <v>106</v>
      </c>
      <c r="BH148" s="1660" t="s">
        <v>1347</v>
      </c>
      <c r="BI148" s="1733" t="s">
        <v>1017</v>
      </c>
      <c r="BJ148" s="1734"/>
      <c r="BK148" s="1314"/>
      <c r="BL148" s="895"/>
      <c r="BM148" s="1696" t="s">
        <v>1019</v>
      </c>
      <c r="BN148" s="1697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1815"/>
      <c r="B149" s="1364" t="s">
        <v>1275</v>
      </c>
      <c r="C149" s="1364" t="s">
        <v>1209</v>
      </c>
      <c r="D149" s="1364" t="s">
        <v>1275</v>
      </c>
      <c r="E149" s="1364" t="s">
        <v>1276</v>
      </c>
      <c r="F149" s="1364" t="s">
        <v>1276</v>
      </c>
      <c r="G149" s="1364" t="s">
        <v>1209</v>
      </c>
      <c r="H149" s="1364" t="s">
        <v>1277</v>
      </c>
      <c r="I149" s="1364" t="s">
        <v>1209</v>
      </c>
      <c r="J149" s="1365" t="s">
        <v>1279</v>
      </c>
      <c r="K149" s="1364" t="s">
        <v>1321</v>
      </c>
      <c r="L149" s="1364" t="s">
        <v>1277</v>
      </c>
      <c r="M149" s="1364" t="s">
        <v>1277</v>
      </c>
      <c r="N149" s="1364" t="s">
        <v>1275</v>
      </c>
      <c r="O149" s="1364" t="s">
        <v>13</v>
      </c>
      <c r="P149" s="1364" t="s">
        <v>391</v>
      </c>
      <c r="Q149" s="1365" t="s">
        <v>1279</v>
      </c>
      <c r="R149" s="1366" t="s">
        <v>1309</v>
      </c>
      <c r="S149" s="1687" t="s">
        <v>1280</v>
      </c>
      <c r="T149" s="1688"/>
      <c r="U149" s="1689"/>
      <c r="V149" s="2294" t="s">
        <v>1289</v>
      </c>
      <c r="W149" s="2295"/>
      <c r="X149" s="2296"/>
      <c r="Y149" s="1687" t="s">
        <v>1277</v>
      </c>
      <c r="Z149" s="1689"/>
      <c r="AA149" s="1364" t="s">
        <v>129</v>
      </c>
      <c r="AB149" s="1364" t="s">
        <v>133</v>
      </c>
      <c r="AC149" s="1364" t="s">
        <v>134</v>
      </c>
      <c r="AD149" s="1364" t="s">
        <v>81</v>
      </c>
      <c r="AE149" s="1364" t="s">
        <v>133</v>
      </c>
      <c r="AF149" s="1364" t="s">
        <v>134</v>
      </c>
      <c r="AG149" s="1364" t="s">
        <v>81</v>
      </c>
      <c r="AH149" s="1364" t="s">
        <v>133</v>
      </c>
      <c r="AI149" s="1364" t="s">
        <v>134</v>
      </c>
      <c r="AJ149" s="1364" t="s">
        <v>81</v>
      </c>
      <c r="AK149" s="1364" t="s">
        <v>133</v>
      </c>
      <c r="AL149" s="1364" t="s">
        <v>134</v>
      </c>
      <c r="AM149" s="1364" t="s">
        <v>81</v>
      </c>
      <c r="AN149" s="1364" t="s">
        <v>1209</v>
      </c>
      <c r="AO149" s="1365" t="s">
        <v>1279</v>
      </c>
      <c r="AP149" s="1364" t="s">
        <v>1277</v>
      </c>
      <c r="AQ149" s="1364" t="s">
        <v>62</v>
      </c>
      <c r="AV149" s="1341" t="s">
        <v>158</v>
      </c>
      <c r="AW149" s="1341" t="s">
        <v>1350</v>
      </c>
      <c r="AX149" s="1341" t="s">
        <v>127</v>
      </c>
      <c r="AY149" s="1345" t="s">
        <v>617</v>
      </c>
      <c r="AZ149" s="1340" t="s">
        <v>1351</v>
      </c>
      <c r="BA149" s="1346" t="s">
        <v>1299</v>
      </c>
      <c r="BB149" s="1346" t="s">
        <v>1300</v>
      </c>
      <c r="BC149" s="1340" t="s">
        <v>1352</v>
      </c>
      <c r="BD149" s="1340" t="s">
        <v>1353</v>
      </c>
      <c r="BE149" s="1340" t="s">
        <v>1354</v>
      </c>
      <c r="BF149" s="1340" t="s">
        <v>38</v>
      </c>
      <c r="BG149" s="1340" t="s">
        <v>1354</v>
      </c>
      <c r="BH149" s="1661"/>
      <c r="BI149" s="1735"/>
      <c r="BJ149" s="1736"/>
      <c r="BK149" s="1314"/>
      <c r="BL149" s="895"/>
      <c r="BM149" s="1698"/>
      <c r="BN149" s="1699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1815"/>
      <c r="B150" s="1367">
        <f>C35</f>
        <v>0.16</v>
      </c>
      <c r="C150" s="1367" t="e">
        <f>BL102</f>
        <v>#DIV/0!</v>
      </c>
      <c r="D150" s="1367">
        <f>E35</f>
        <v>7.0000000000000007E-2</v>
      </c>
      <c r="E150" s="1367">
        <f>F35</f>
        <v>15.2</v>
      </c>
      <c r="F150" s="1368">
        <f>AC90</f>
        <v>68.5</v>
      </c>
      <c r="G150" s="1368" t="e">
        <f>BM102</f>
        <v>#DIV/0!</v>
      </c>
      <c r="H150" s="1368">
        <f>AC55</f>
        <v>59</v>
      </c>
      <c r="I150" s="1368">
        <f>J35</f>
        <v>98.7</v>
      </c>
      <c r="J150" s="1368">
        <f>I35</f>
        <v>88.8</v>
      </c>
      <c r="K150" s="1369">
        <f>G35</f>
        <v>0.47</v>
      </c>
      <c r="L150" s="1370">
        <f>F73</f>
        <v>58</v>
      </c>
      <c r="M150" s="1370">
        <f>AB55</f>
        <v>78</v>
      </c>
      <c r="N150" s="1368">
        <f>MAX(U53,W53)</f>
        <v>6</v>
      </c>
      <c r="O150" s="1368">
        <f>MAX(O55,R53)</f>
        <v>3.2</v>
      </c>
      <c r="P150" s="1368">
        <f>MAX(P55,S53)</f>
        <v>9.6999999999999993</v>
      </c>
      <c r="Q150" s="1368">
        <f>Q55</f>
        <v>56.2</v>
      </c>
      <c r="R150" s="1367">
        <f>Y55</f>
        <v>0.52</v>
      </c>
      <c r="S150" s="1368">
        <f>T33</f>
        <v>67</v>
      </c>
      <c r="T150" s="1368">
        <f>X33</f>
        <v>65.3</v>
      </c>
      <c r="U150" s="1368">
        <f>AB33</f>
        <v>66.5</v>
      </c>
      <c r="V150" s="1368">
        <f>Q33</f>
        <v>96.3</v>
      </c>
      <c r="W150" s="1368">
        <f>U33</f>
        <v>95.9</v>
      </c>
      <c r="X150" s="1368">
        <f>Y33</f>
        <v>96.3</v>
      </c>
      <c r="Y150" s="1370">
        <f>AD34</f>
        <v>30</v>
      </c>
      <c r="Z150" s="1370">
        <f>AE34</f>
        <v>49</v>
      </c>
      <c r="AA150" s="1368">
        <f>L29</f>
        <v>68.7</v>
      </c>
      <c r="AB150" s="1368">
        <f>E90</f>
        <v>17</v>
      </c>
      <c r="AC150" s="1368">
        <f>F90</f>
        <v>17.100000000000001</v>
      </c>
      <c r="AD150" s="1368">
        <f>G90</f>
        <v>19.100000000000001</v>
      </c>
      <c r="AE150" s="1367">
        <f>AVERAGE(K78:K89)</f>
        <v>6.2E-2</v>
      </c>
      <c r="AF150" s="1367">
        <f>AVERAGE(L78:L89)</f>
        <v>6.25E-2</v>
      </c>
      <c r="AG150" s="1367">
        <f>N90</f>
        <v>0.06</v>
      </c>
      <c r="AH150" s="1368">
        <f>D47</f>
        <v>13.6</v>
      </c>
      <c r="AI150" s="1368">
        <f>D48</f>
        <v>11.9</v>
      </c>
      <c r="AJ150" s="1368">
        <f>AF60</f>
        <v>15.3</v>
      </c>
      <c r="AK150" s="1368">
        <f>B40</f>
        <v>83.2</v>
      </c>
      <c r="AL150" s="1368">
        <f>B41</f>
        <v>82.8</v>
      </c>
      <c r="AM150" s="1368">
        <f>B44</f>
        <v>74.5</v>
      </c>
      <c r="AN150" s="1368">
        <f>B90</f>
        <v>9.1</v>
      </c>
      <c r="AO150" s="1367">
        <f>C90</f>
        <v>0.06</v>
      </c>
      <c r="AP150" s="1370">
        <f>F72</f>
        <v>29</v>
      </c>
      <c r="AQ150" s="1370">
        <f>H90</f>
        <v>303</v>
      </c>
      <c r="AV150" s="1329">
        <f>COUNT(K31:M32,AS31:AU32)</f>
        <v>6</v>
      </c>
      <c r="AW150" s="1329">
        <f>COUNT(N31:P32,AV31:AX32)</f>
        <v>6</v>
      </c>
      <c r="AX150" s="1329">
        <f>COUNT(Y120:AC121)</f>
        <v>10</v>
      </c>
      <c r="AY150" s="2299">
        <f>COUNT(F2:G5,AN2:AO5)</f>
        <v>10</v>
      </c>
      <c r="AZ150" s="2300"/>
      <c r="BA150" s="2300"/>
      <c r="BB150" s="2301"/>
      <c r="BC150" s="1328">
        <f>COUNT(C72,AK72)</f>
        <v>2</v>
      </c>
      <c r="BD150" s="1328">
        <f>COUNT(C73,AK73)</f>
        <v>2</v>
      </c>
      <c r="BE150" s="1328">
        <f>COUNT(C71,AK71)</f>
        <v>2</v>
      </c>
      <c r="BF150" s="1328">
        <f>COUNT(F72,AN72)</f>
        <v>2</v>
      </c>
      <c r="BG150" s="1328">
        <f>COUNT(AK70,C70)</f>
        <v>2</v>
      </c>
      <c r="BH150" s="1316">
        <f>SUM(AV146:BJ146,AV150:BG150)</f>
        <v>328</v>
      </c>
      <c r="BI150" s="2291">
        <f>BJ139+BH150</f>
        <v>755</v>
      </c>
      <c r="BJ150" s="2292"/>
      <c r="BK150" s="1312" t="s">
        <v>1010</v>
      </c>
      <c r="BL150" s="895"/>
      <c r="BM150" s="1306" t="s">
        <v>1334</v>
      </c>
      <c r="BN150" s="1308">
        <v>17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1815"/>
      <c r="B151" s="1367">
        <f>AK35</f>
        <v>0.16</v>
      </c>
      <c r="C151" s="1364"/>
      <c r="D151" s="1367">
        <f>AM35</f>
        <v>7.0000000000000007E-2</v>
      </c>
      <c r="E151" s="1367" t="e">
        <f>AN35</f>
        <v>#DIV/0!</v>
      </c>
      <c r="F151" s="1368">
        <f>BK90</f>
        <v>69.5</v>
      </c>
      <c r="G151" s="1368"/>
      <c r="H151" s="1368">
        <f>BK55</f>
        <v>58</v>
      </c>
      <c r="I151" s="1368">
        <f>AR35</f>
        <v>100.8</v>
      </c>
      <c r="J151" s="1368">
        <f>AQ35</f>
        <v>88.9</v>
      </c>
      <c r="K151" s="1371">
        <f>AO35</f>
        <v>0.39</v>
      </c>
      <c r="L151" s="1370">
        <f>AN73</f>
        <v>62</v>
      </c>
      <c r="M151" s="1370">
        <f>BJ55</f>
        <v>74</v>
      </c>
      <c r="N151" s="1368">
        <f>MAX(BE53,BC53)</f>
        <v>4.8</v>
      </c>
      <c r="O151" s="1368">
        <f>MAX(AW55,AZ53)</f>
        <v>2.5</v>
      </c>
      <c r="P151" s="1368">
        <f>MAX(AX55,BA53)</f>
        <v>9.6</v>
      </c>
      <c r="Q151" s="1368">
        <f>AY55</f>
        <v>62</v>
      </c>
      <c r="R151" s="1367">
        <f>BG55</f>
        <v>0.53</v>
      </c>
      <c r="S151" s="1368">
        <f>BB33</f>
        <v>70.599999999999994</v>
      </c>
      <c r="T151" s="1368">
        <f>BF33</f>
        <v>71</v>
      </c>
      <c r="U151" s="1368">
        <f>BJ33</f>
        <v>71</v>
      </c>
      <c r="V151" s="1368">
        <f>AY33</f>
        <v>97</v>
      </c>
      <c r="W151" s="1368">
        <f>BC33</f>
        <v>97</v>
      </c>
      <c r="X151" s="1368">
        <f>BG33</f>
        <v>97</v>
      </c>
      <c r="Y151" s="1370">
        <f>BL34</f>
        <v>30</v>
      </c>
      <c r="Z151" s="1370">
        <f>BM34</f>
        <v>50</v>
      </c>
      <c r="AA151" s="1368">
        <f>AT29</f>
        <v>62.8</v>
      </c>
      <c r="AB151" s="1368">
        <f>AM90</f>
        <v>16</v>
      </c>
      <c r="AC151" s="1368">
        <f>AN90</f>
        <v>15.9</v>
      </c>
      <c r="AD151" s="1368">
        <f>AO90</f>
        <v>18.399999999999999</v>
      </c>
      <c r="AE151" s="1367">
        <f>AVERAGE(AS78:AS89)</f>
        <v>6.3333333333333339E-2</v>
      </c>
      <c r="AF151" s="1367">
        <f>AVERAGE(AT78:AT89)</f>
        <v>6.3333333333333339E-2</v>
      </c>
      <c r="AG151" s="1367">
        <f>AV90</f>
        <v>7.0000000000000007E-2</v>
      </c>
      <c r="AH151" s="1368">
        <f>AL47</f>
        <v>7.1</v>
      </c>
      <c r="AI151" s="1368">
        <f>AL48</f>
        <v>10.199999999999999</v>
      </c>
      <c r="AJ151" s="1368">
        <f>BN60</f>
        <v>13.1</v>
      </c>
      <c r="AK151" s="1368">
        <f>AJ40</f>
        <v>86.5</v>
      </c>
      <c r="AL151" s="1368">
        <f>AJ41</f>
        <v>89.7</v>
      </c>
      <c r="AM151" s="1368">
        <f>AJ44</f>
        <v>84.5</v>
      </c>
      <c r="AN151" s="1368">
        <f>AJ90</f>
        <v>10.199999999999999</v>
      </c>
      <c r="AO151" s="1367">
        <f>AK90</f>
        <v>0.06</v>
      </c>
      <c r="AP151" s="1370">
        <f>AN72</f>
        <v>32</v>
      </c>
      <c r="AQ151" s="1370">
        <f>AP90</f>
        <v>301</v>
      </c>
      <c r="AV151" s="1347">
        <f t="shared" ref="AV151:AX151" si="26">AV150*1</f>
        <v>6</v>
      </c>
      <c r="AW151" s="1347">
        <f t="shared" si="26"/>
        <v>6</v>
      </c>
      <c r="AX151" s="1347">
        <f t="shared" si="26"/>
        <v>10</v>
      </c>
      <c r="AY151" s="2302">
        <f>AY150*1</f>
        <v>10</v>
      </c>
      <c r="AZ151" s="2303"/>
      <c r="BA151" s="2303"/>
      <c r="BB151" s="2304"/>
      <c r="BC151" s="1347">
        <f t="shared" ref="BC151:BG151" si="27">BC150*1</f>
        <v>2</v>
      </c>
      <c r="BD151" s="1347">
        <f t="shared" si="27"/>
        <v>2</v>
      </c>
      <c r="BE151" s="1347">
        <f t="shared" si="27"/>
        <v>2</v>
      </c>
      <c r="BF151" s="1347">
        <f t="shared" si="27"/>
        <v>2</v>
      </c>
      <c r="BG151" s="1347">
        <f t="shared" si="27"/>
        <v>2</v>
      </c>
      <c r="BH151" s="1318">
        <f>SUM(AV147:BJ147,AV151:BG151)</f>
        <v>328</v>
      </c>
      <c r="BI151" s="1747">
        <f>BJ140+BH151</f>
        <v>1924</v>
      </c>
      <c r="BJ151" s="1748"/>
      <c r="BK151" s="1313">
        <f>ROUND(BI151/60,1)</f>
        <v>32.1</v>
      </c>
      <c r="BL151" s="140"/>
      <c r="BM151" s="1307" t="s">
        <v>1335</v>
      </c>
      <c r="BN151" s="1309">
        <v>8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4">
        <f>COUNT(C9:C30,AK9:AK30)</f>
        <v>9</v>
      </c>
      <c r="C152" s="1204">
        <f>COUNT(BL95:BL101)</f>
        <v>0</v>
      </c>
      <c r="D152" s="1204">
        <f>COUNT(E9:E22,AM9:AM22)</f>
        <v>10</v>
      </c>
      <c r="E152" s="1204">
        <f>COUNT(F9:F22,AN9:AN22)</f>
        <v>5</v>
      </c>
      <c r="F152" s="1204">
        <f>COUNT(AC78:AC89,BK78:BK89)</f>
        <v>4</v>
      </c>
      <c r="G152" s="1204">
        <f>COUNT(BM95:BM101)</f>
        <v>0</v>
      </c>
      <c r="H152" s="1204">
        <f>COUNT(AC40:AC46,AC48:AC54,BK40:BK46,BK48:BK54)</f>
        <v>12</v>
      </c>
      <c r="I152" s="1204">
        <f>COUNT(J9:J34,AR9:AR34)</f>
        <v>22</v>
      </c>
      <c r="J152" s="1204">
        <f>COUNT(I9:I35,AQ9:AQ35)</f>
        <v>6</v>
      </c>
      <c r="K152" s="1204">
        <f>COUNT(G9:G34,AO9:AO34)</f>
        <v>5</v>
      </c>
      <c r="L152" s="1204">
        <f>COUNT(F73,AN73)</f>
        <v>2</v>
      </c>
      <c r="M152" s="1204">
        <f>COUNT(AB40:AB46,AB48:AB54,BJ40:BJ46,BJ48:BJ54)</f>
        <v>12</v>
      </c>
      <c r="N152" s="1205">
        <f>COUNT(V40:V53,BD40:BD53)</f>
        <v>6</v>
      </c>
      <c r="O152" s="1204">
        <f>COUNT(O40:O54,AW40:AW54,R40:R53,AZ40:AZ53)</f>
        <v>26</v>
      </c>
      <c r="P152" s="1204">
        <f>COUNT(P40:P54,AX40:AX54,S40:S53,BA40:BA53)</f>
        <v>26</v>
      </c>
      <c r="Q152" s="1204">
        <f>COUNT(Q40:Q54,AY40:AY54,T40:T53,BB40:BB53)</f>
        <v>19</v>
      </c>
      <c r="R152" s="1204">
        <f>COUNT(Y40:Y54,BG40:BG54)</f>
        <v>6</v>
      </c>
      <c r="S152" s="1204">
        <f>COUNT(T9:T33,BB9:BB33)</f>
        <v>6</v>
      </c>
      <c r="T152" s="1204">
        <f>COUNT(X9:X33,BF9:BF33)</f>
        <v>6</v>
      </c>
      <c r="U152" s="1204">
        <f>COUNT(AB9:AB33,BJ9:BJ33)</f>
        <v>6</v>
      </c>
      <c r="V152" s="1204">
        <f>COUNT(Q9:Q33,AY9:AY33)</f>
        <v>5</v>
      </c>
      <c r="W152" s="1204">
        <f>COUNT(U9:U33,BC9:BC33)</f>
        <v>5</v>
      </c>
      <c r="X152" s="1204">
        <f>COUNT(Y9:Y33,BG9:BG33)</f>
        <v>5</v>
      </c>
      <c r="Y152" s="1204">
        <f>COUNT(AD4:AD33,BL4:BL33)</f>
        <v>35</v>
      </c>
      <c r="Z152" s="1204">
        <f>COUNT(AE4:AE33,BM4:BM33)</f>
        <v>35</v>
      </c>
      <c r="AA152" s="1204">
        <f>COUNT(K9:M28,AS9:AU28)</f>
        <v>11</v>
      </c>
      <c r="AB152" s="1204">
        <f>COUNT(E78:E89,AM78:AM89)</f>
        <v>9</v>
      </c>
      <c r="AC152" s="1204">
        <f>COUNT(F78:F89,AN78:AN89)</f>
        <v>8</v>
      </c>
      <c r="AD152" s="1204">
        <f>COUNT(G78:G89,AO78:AO89)</f>
        <v>9</v>
      </c>
      <c r="AE152" s="1204">
        <f>COUNT(K78:K89,AS78:AS89)</f>
        <v>11</v>
      </c>
      <c r="AF152" s="1204">
        <f>COUNT(L78:L89,AT78:AT89)</f>
        <v>10</v>
      </c>
      <c r="AG152" s="1204">
        <f>COUNT(M78:T89,AU78:BB89)</f>
        <v>15</v>
      </c>
      <c r="AH152" s="1204">
        <f>COUNT(D47,AL47)</f>
        <v>2</v>
      </c>
      <c r="AI152" s="1204">
        <f>COUNT(D48,AL48)</f>
        <v>2</v>
      </c>
      <c r="AJ152" s="1204">
        <f>COUNT(AF60,BN60)</f>
        <v>2</v>
      </c>
      <c r="AK152" s="1204">
        <f>COUNT(B40,AJ40,G40:G51,AO40:AO51)</f>
        <v>7</v>
      </c>
      <c r="AL152" s="1204">
        <f>COUNT(B41,AJ41,H40:H51,AP40:AP51)</f>
        <v>6</v>
      </c>
      <c r="AM152" s="1204">
        <f>COUNT(B44,AJ44,I40:I51,AQ40:AQ51)</f>
        <v>7</v>
      </c>
      <c r="AN152" s="1204">
        <f>COUNT(B78:B89,AJ78:AJ89)</f>
        <v>4</v>
      </c>
      <c r="AO152" s="1204">
        <f>COUNT(C78:C89,AK78:AK89)</f>
        <v>4</v>
      </c>
      <c r="AP152" s="1204">
        <f>COUNT(F72,AN72)</f>
        <v>2</v>
      </c>
      <c r="AQ152" s="1204">
        <f>COUNT(H78:H89,AP78:AP89)</f>
        <v>24</v>
      </c>
      <c r="BM152" s="902" t="s">
        <v>1020</v>
      </c>
      <c r="BN152" s="1306">
        <f>SUM(BN150:BN151)</f>
        <v>25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6"/>
      <c r="H153" s="896"/>
      <c r="I153" s="886"/>
      <c r="J153" s="896"/>
      <c r="O153" s="157"/>
      <c r="P153" s="157"/>
      <c r="Q153" s="157"/>
      <c r="BP153" s="1662" t="s">
        <v>1416</v>
      </c>
      <c r="BQ153" s="1663"/>
      <c r="BR153" s="1663"/>
      <c r="BS153" s="1663"/>
      <c r="BT153" s="1663"/>
      <c r="BU153" s="1663"/>
      <c r="BV153" s="1663"/>
      <c r="BW153" s="1663"/>
      <c r="BX153" s="1663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1"/>
      <c r="B154" s="1372" t="s">
        <v>0</v>
      </c>
      <c r="C154" s="1373" t="s">
        <v>158</v>
      </c>
      <c r="D154" s="1749" t="s">
        <v>1322</v>
      </c>
      <c r="E154" s="1750"/>
      <c r="F154" s="1750"/>
      <c r="G154" s="1750"/>
      <c r="H154" s="1751"/>
      <c r="I154" s="1749" t="s">
        <v>1290</v>
      </c>
      <c r="J154" s="1750"/>
      <c r="K154" s="1750"/>
      <c r="L154" s="1750"/>
      <c r="M154" s="1751"/>
      <c r="N154" s="1372" t="s">
        <v>1323</v>
      </c>
      <c r="O154" s="1749" t="s">
        <v>1550</v>
      </c>
      <c r="P154" s="1750"/>
      <c r="Q154" s="1750"/>
      <c r="R154" s="1750"/>
      <c r="S154" s="1751"/>
      <c r="T154" s="2305" t="s">
        <v>1314</v>
      </c>
      <c r="U154" s="2305"/>
      <c r="V154" s="2305"/>
      <c r="W154" s="2305"/>
      <c r="X154" s="2305"/>
      <c r="Y154" s="1749" t="s">
        <v>1620</v>
      </c>
      <c r="Z154" s="1751"/>
      <c r="AA154" s="1374" t="s">
        <v>411</v>
      </c>
      <c r="AB154" s="1375" t="s">
        <v>38</v>
      </c>
      <c r="AC154" s="1372" t="s">
        <v>1330</v>
      </c>
      <c r="AD154" s="1372" t="s">
        <v>127</v>
      </c>
      <c r="AE154" s="1749" t="s">
        <v>1332</v>
      </c>
      <c r="AF154" s="1751"/>
      <c r="AG154" s="1749" t="s">
        <v>460</v>
      </c>
      <c r="AH154" s="1750"/>
      <c r="AI154" s="1751"/>
      <c r="AJ154" s="1749" t="s">
        <v>1329</v>
      </c>
      <c r="AK154" s="1750"/>
      <c r="AL154" s="1750"/>
      <c r="AM154" s="1750"/>
      <c r="AN154" s="1750"/>
      <c r="AO154" s="1749" t="s">
        <v>1318</v>
      </c>
      <c r="AP154" s="1750"/>
      <c r="AQ154" s="1750"/>
      <c r="AR154" s="1751"/>
      <c r="AS154" s="1749" t="s">
        <v>1324</v>
      </c>
      <c r="AT154" s="1688"/>
      <c r="AU154" s="1688"/>
      <c r="AV154" s="1689"/>
      <c r="AW154" s="1376" t="s">
        <v>1325</v>
      </c>
      <c r="AX154" s="2313" t="s">
        <v>189</v>
      </c>
      <c r="AY154" s="2314"/>
      <c r="AZ154" s="1372" t="s">
        <v>412</v>
      </c>
      <c r="BA154" s="1377" t="s">
        <v>34</v>
      </c>
      <c r="BB154" s="1378" t="s">
        <v>1327</v>
      </c>
      <c r="BC154" s="1784" t="s">
        <v>1333</v>
      </c>
      <c r="BD154" s="1786"/>
      <c r="BE154" s="1749" t="s">
        <v>1621</v>
      </c>
      <c r="BF154" s="1750"/>
      <c r="BG154" s="1751"/>
      <c r="BH154" s="2254" t="s">
        <v>1283</v>
      </c>
      <c r="BI154" s="2255"/>
      <c r="BJ154" s="2252" t="s">
        <v>1319</v>
      </c>
      <c r="BK154" s="2253"/>
      <c r="BL154" s="1784" t="s">
        <v>1099</v>
      </c>
      <c r="BM154" s="1786"/>
      <c r="BN154" s="1784" t="s">
        <v>1287</v>
      </c>
      <c r="BO154" s="1786"/>
      <c r="BP154" s="1664" t="s">
        <v>1072</v>
      </c>
      <c r="BQ154" s="1664"/>
      <c r="BR154" s="1664"/>
      <c r="BS154" s="1664" t="s">
        <v>1073</v>
      </c>
      <c r="BT154" s="1664"/>
      <c r="BU154" s="1664"/>
      <c r="BV154" s="1664" t="s">
        <v>1074</v>
      </c>
      <c r="BW154" s="1664"/>
      <c r="BX154" s="1664"/>
      <c r="CX154" s="250"/>
      <c r="CY154" s="250"/>
      <c r="CZ154" s="250"/>
      <c r="DA154" s="250"/>
    </row>
    <row r="155" spans="1:105" s="103" customFormat="1" ht="22.5" customHeight="1" x14ac:dyDescent="0.2">
      <c r="A155" s="1281"/>
      <c r="B155" s="1366" t="s">
        <v>1309</v>
      </c>
      <c r="C155" s="1364" t="s">
        <v>1277</v>
      </c>
      <c r="D155" s="1365" t="s">
        <v>1279</v>
      </c>
      <c r="E155" s="1364" t="s">
        <v>1209</v>
      </c>
      <c r="F155" s="1366" t="s">
        <v>128</v>
      </c>
      <c r="G155" s="1366" t="s">
        <v>1309</v>
      </c>
      <c r="H155" s="1364" t="s">
        <v>1277</v>
      </c>
      <c r="I155" s="1365" t="s">
        <v>1279</v>
      </c>
      <c r="J155" s="1364" t="s">
        <v>1209</v>
      </c>
      <c r="K155" s="1366" t="s">
        <v>128</v>
      </c>
      <c r="L155" s="1366" t="s">
        <v>395</v>
      </c>
      <c r="M155" s="1366" t="s">
        <v>1309</v>
      </c>
      <c r="N155" s="1364" t="s">
        <v>1277</v>
      </c>
      <c r="O155" s="1365" t="s">
        <v>1279</v>
      </c>
      <c r="P155" s="1364" t="s">
        <v>1209</v>
      </c>
      <c r="Q155" s="1379" t="s">
        <v>128</v>
      </c>
      <c r="R155" s="1379" t="s">
        <v>395</v>
      </c>
      <c r="S155" s="1366" t="s">
        <v>1309</v>
      </c>
      <c r="T155" s="1365" t="s">
        <v>1279</v>
      </c>
      <c r="U155" s="1364" t="s">
        <v>1209</v>
      </c>
      <c r="V155" s="1379" t="s">
        <v>128</v>
      </c>
      <c r="W155" s="1379" t="s">
        <v>395</v>
      </c>
      <c r="X155" s="1366" t="s">
        <v>1309</v>
      </c>
      <c r="Y155" s="1365" t="s">
        <v>1279</v>
      </c>
      <c r="Z155" s="1366" t="s">
        <v>1309</v>
      </c>
      <c r="AA155" s="1366" t="s">
        <v>1309</v>
      </c>
      <c r="AB155" s="1366" t="s">
        <v>1309</v>
      </c>
      <c r="AC155" s="2297" t="s">
        <v>1331</v>
      </c>
      <c r="AD155" s="2298"/>
      <c r="AE155" s="1364" t="s">
        <v>13</v>
      </c>
      <c r="AF155" s="1364" t="s">
        <v>391</v>
      </c>
      <c r="AG155" s="1364" t="s">
        <v>13</v>
      </c>
      <c r="AH155" s="1364" t="s">
        <v>391</v>
      </c>
      <c r="AI155" s="1365" t="s">
        <v>1279</v>
      </c>
      <c r="AJ155" s="1365" t="s">
        <v>1279</v>
      </c>
      <c r="AK155" s="1364" t="s">
        <v>1209</v>
      </c>
      <c r="AL155" s="1379" t="s">
        <v>128</v>
      </c>
      <c r="AM155" s="1379" t="s">
        <v>395</v>
      </c>
      <c r="AN155" s="1366" t="s">
        <v>1309</v>
      </c>
      <c r="AO155" s="1365" t="s">
        <v>1279</v>
      </c>
      <c r="AP155" s="1364" t="s">
        <v>1209</v>
      </c>
      <c r="AQ155" s="1379" t="s">
        <v>128</v>
      </c>
      <c r="AR155" s="1380" t="s">
        <v>1309</v>
      </c>
      <c r="AS155" s="1365" t="s">
        <v>1279</v>
      </c>
      <c r="AT155" s="1364" t="s">
        <v>1209</v>
      </c>
      <c r="AU155" s="1366" t="s">
        <v>128</v>
      </c>
      <c r="AV155" s="1380" t="s">
        <v>1309</v>
      </c>
      <c r="AW155" s="1364" t="s">
        <v>1277</v>
      </c>
      <c r="AX155" s="1381" t="s">
        <v>32</v>
      </c>
      <c r="AY155" s="1364" t="s">
        <v>1277</v>
      </c>
      <c r="AZ155" s="1380" t="s">
        <v>1309</v>
      </c>
      <c r="BA155" s="1365" t="s">
        <v>1279</v>
      </c>
      <c r="BB155" s="1382" t="s">
        <v>1328</v>
      </c>
      <c r="BC155" s="1364" t="s">
        <v>1275</v>
      </c>
      <c r="BD155" s="1364" t="s">
        <v>188</v>
      </c>
      <c r="BE155" s="1383" t="s">
        <v>1326</v>
      </c>
      <c r="BF155" s="1384" t="s">
        <v>1275</v>
      </c>
      <c r="BG155" s="1385" t="s">
        <v>1</v>
      </c>
      <c r="BH155" s="1364" t="s">
        <v>133</v>
      </c>
      <c r="BI155" s="1364" t="s">
        <v>134</v>
      </c>
      <c r="BJ155" s="1364" t="s">
        <v>133</v>
      </c>
      <c r="BK155" s="1364" t="s">
        <v>134</v>
      </c>
      <c r="BL155" s="1364" t="s">
        <v>133</v>
      </c>
      <c r="BM155" s="1364" t="s">
        <v>134</v>
      </c>
      <c r="BN155" s="1364" t="s">
        <v>133</v>
      </c>
      <c r="BO155" s="1364" t="s">
        <v>134</v>
      </c>
      <c r="BP155" s="1403" t="s">
        <v>1417</v>
      </c>
      <c r="BQ155" s="1403" t="s">
        <v>1418</v>
      </c>
      <c r="BR155" s="1403" t="s">
        <v>1419</v>
      </c>
      <c r="BS155" s="1403" t="s">
        <v>1417</v>
      </c>
      <c r="BT155" s="1403" t="s">
        <v>1418</v>
      </c>
      <c r="BU155" s="1403" t="s">
        <v>1419</v>
      </c>
      <c r="BV155" s="1403" t="s">
        <v>1417</v>
      </c>
      <c r="BW155" s="1403" t="s">
        <v>1418</v>
      </c>
      <c r="BX155" s="1403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78">
        <v>1</v>
      </c>
      <c r="B156" s="1386">
        <f>H35</f>
        <v>42.1</v>
      </c>
      <c r="C156" s="1387">
        <f>L33</f>
        <v>57</v>
      </c>
      <c r="D156" s="1388"/>
      <c r="E156" s="1388"/>
      <c r="F156" s="1388"/>
      <c r="G156" s="1388">
        <f>O29</f>
        <v>61.5</v>
      </c>
      <c r="H156" s="1387">
        <f>O33</f>
        <v>36</v>
      </c>
      <c r="I156" s="1388">
        <f>U35</f>
        <v>96.2</v>
      </c>
      <c r="J156" s="1388">
        <f>V35</f>
        <v>26.5</v>
      </c>
      <c r="K156" s="1388">
        <f>W35</f>
        <v>92.7</v>
      </c>
      <c r="L156" s="1388">
        <f>X35</f>
        <v>66.2</v>
      </c>
      <c r="M156" s="1388">
        <f>Y35</f>
        <v>37.4</v>
      </c>
      <c r="N156" s="1387">
        <f>AF34</f>
        <v>50</v>
      </c>
      <c r="O156" s="1388">
        <f>J53</f>
        <v>79.599999999999994</v>
      </c>
      <c r="P156" s="1388">
        <f>K53</f>
        <v>31.4</v>
      </c>
      <c r="Q156" s="1388">
        <f>L53</f>
        <v>79.8</v>
      </c>
      <c r="R156" s="1388">
        <f>M53</f>
        <v>48.4</v>
      </c>
      <c r="S156" s="1388">
        <f>L54</f>
        <v>39.200000000000003</v>
      </c>
      <c r="T156" s="1388">
        <f>B44</f>
        <v>74.5</v>
      </c>
      <c r="U156" s="1388">
        <f>C44</f>
        <v>30.2</v>
      </c>
      <c r="V156" s="1388">
        <f>D44</f>
        <v>73.8</v>
      </c>
      <c r="W156" s="1388">
        <f>E44</f>
        <v>43.599999999999994</v>
      </c>
      <c r="X156" s="1388">
        <f>F44</f>
        <v>42.1</v>
      </c>
      <c r="Y156" s="1381">
        <f>V53</f>
        <v>0.04</v>
      </c>
      <c r="Z156" s="1381">
        <f>U54</f>
        <v>6.3</v>
      </c>
      <c r="AA156" s="1388">
        <f>AD90</f>
        <v>67</v>
      </c>
      <c r="AB156" s="1388">
        <f>D90</f>
        <v>12</v>
      </c>
      <c r="AC156" s="1388"/>
      <c r="AD156" s="1387">
        <f>AG120</f>
        <v>39.700000000000003</v>
      </c>
      <c r="AE156" s="1388">
        <f>O55</f>
        <v>3.2</v>
      </c>
      <c r="AF156" s="1388">
        <f>P55</f>
        <v>9.6999999999999993</v>
      </c>
      <c r="AG156" s="1389">
        <f>R53</f>
        <v>2.6</v>
      </c>
      <c r="AH156" s="1389">
        <f>S53</f>
        <v>8.4</v>
      </c>
      <c r="AI156" s="1389">
        <f>T53</f>
        <v>56.5</v>
      </c>
      <c r="AJ156" s="1389">
        <f>B42</f>
        <v>83</v>
      </c>
      <c r="AK156" s="1389">
        <f>C42</f>
        <v>30.4</v>
      </c>
      <c r="AL156" s="1389">
        <f>D42</f>
        <v>80.25</v>
      </c>
      <c r="AM156" s="1389">
        <f>E42</f>
        <v>49.85</v>
      </c>
      <c r="AN156" s="1389">
        <f>F42</f>
        <v>39.4</v>
      </c>
      <c r="AO156" s="1381"/>
      <c r="AP156" s="1388"/>
      <c r="AQ156" s="1388"/>
      <c r="AR156" s="1388"/>
      <c r="AS156" s="1388"/>
      <c r="AT156" s="1388"/>
      <c r="AU156" s="1388"/>
      <c r="AV156" s="1388">
        <f>L29</f>
        <v>68.7</v>
      </c>
      <c r="AW156" s="1390">
        <f>AD55</f>
        <v>57</v>
      </c>
      <c r="AX156" s="1391">
        <f>AE55</f>
        <v>0.2</v>
      </c>
      <c r="AY156" s="1387">
        <f>AA55</f>
        <v>96</v>
      </c>
      <c r="AZ156" s="1388">
        <f>AG90</f>
        <v>37.4</v>
      </c>
      <c r="BA156" s="1368">
        <f>Y56</f>
        <v>70.099999999999994</v>
      </c>
      <c r="BB156" s="1371">
        <f>U90</f>
        <v>1E-3</v>
      </c>
      <c r="BC156" s="1368">
        <f>ROUND(AVERAGE(B59:G59,J59:K59),3)</f>
        <v>0.46300000000000002</v>
      </c>
      <c r="BD156" s="1364">
        <f>COUNT(B57:G58,J57:K58)</f>
        <v>16</v>
      </c>
      <c r="BE156" s="1389">
        <f>W54</f>
        <v>4.4000000000000004</v>
      </c>
      <c r="BF156" s="1389">
        <f>W53</f>
        <v>6</v>
      </c>
      <c r="BG156" s="1389">
        <f>X53</f>
        <v>0.12</v>
      </c>
      <c r="BH156" s="1392">
        <f>E90</f>
        <v>17</v>
      </c>
      <c r="BI156" s="1392">
        <f>F90</f>
        <v>17.100000000000001</v>
      </c>
      <c r="BJ156" s="1393">
        <f>AVERAGE(K78:K89)</f>
        <v>6.2E-2</v>
      </c>
      <c r="BK156" s="1393">
        <f>AVERAGE(L78:L89)</f>
        <v>6.25E-2</v>
      </c>
      <c r="BL156" s="1368">
        <f>B40</f>
        <v>83.2</v>
      </c>
      <c r="BM156" s="1368">
        <f>B41</f>
        <v>82.8</v>
      </c>
      <c r="BN156" s="1368">
        <f>D47</f>
        <v>13.6</v>
      </c>
      <c r="BO156" s="1368">
        <f>D48</f>
        <v>11.9</v>
      </c>
      <c r="BP156" s="1404"/>
      <c r="BQ156" s="1404"/>
      <c r="BR156" s="1404"/>
      <c r="BS156" s="1404"/>
      <c r="BT156" s="1404"/>
      <c r="BU156" s="1404"/>
      <c r="BV156" s="1404"/>
      <c r="BW156" s="1404"/>
      <c r="BX156" s="1404"/>
      <c r="CX156" s="251"/>
      <c r="CY156" s="251"/>
      <c r="CZ156" s="251"/>
      <c r="DA156" s="251"/>
    </row>
    <row r="157" spans="1:105" s="129" customFormat="1" ht="22.5" customHeight="1" x14ac:dyDescent="0.2">
      <c r="A157" s="1278">
        <v>2</v>
      </c>
      <c r="B157" s="1386">
        <f>AP35</f>
        <v>39.200000000000003</v>
      </c>
      <c r="C157" s="1387">
        <f>AT33</f>
        <v>61</v>
      </c>
      <c r="D157" s="1388">
        <f>AV35</f>
        <v>88.4</v>
      </c>
      <c r="E157" s="1388">
        <f>AW35</f>
        <v>95.1</v>
      </c>
      <c r="F157" s="1388">
        <f>AX35</f>
        <v>92.7</v>
      </c>
      <c r="G157" s="1388">
        <f>AW29</f>
        <v>63.7</v>
      </c>
      <c r="H157" s="1387">
        <f>AW33</f>
        <v>37</v>
      </c>
      <c r="I157" s="1388">
        <f>BC35</f>
        <v>97</v>
      </c>
      <c r="J157" s="1388">
        <f>BD35</f>
        <v>25.3</v>
      </c>
      <c r="K157" s="1388">
        <f>BE35</f>
        <v>96.1</v>
      </c>
      <c r="L157" s="1388">
        <f>BF35</f>
        <v>70.8</v>
      </c>
      <c r="M157" s="1388">
        <f>BG35</f>
        <v>34</v>
      </c>
      <c r="N157" s="1387">
        <f>BN34</f>
        <v>52</v>
      </c>
      <c r="O157" s="1388">
        <f>AR53</f>
        <v>84.9</v>
      </c>
      <c r="P157" s="1388">
        <f>AS53</f>
        <v>31.4</v>
      </c>
      <c r="Q157" s="1388">
        <f>AT53</f>
        <v>86.7</v>
      </c>
      <c r="R157" s="1388">
        <f>AU53</f>
        <v>55.3</v>
      </c>
      <c r="S157" s="1388">
        <f>AT54</f>
        <v>39.200000000000003</v>
      </c>
      <c r="T157" s="1388">
        <f>AJ44</f>
        <v>84.5</v>
      </c>
      <c r="U157" s="1388">
        <f>AK44</f>
        <v>29</v>
      </c>
      <c r="V157" s="1388">
        <f>AL44</f>
        <v>82.7</v>
      </c>
      <c r="W157" s="1388">
        <f>AM44</f>
        <v>53.7</v>
      </c>
      <c r="X157" s="1388">
        <f>AN44</f>
        <v>37.9</v>
      </c>
      <c r="Y157" s="1381">
        <f>BD53</f>
        <v>0.04</v>
      </c>
      <c r="Z157" s="1381">
        <f>BC54</f>
        <v>6.6</v>
      </c>
      <c r="AA157" s="1388">
        <f>BL90</f>
        <v>56</v>
      </c>
      <c r="AB157" s="1388">
        <f>AL90</f>
        <v>13.3</v>
      </c>
      <c r="AC157" s="1388"/>
      <c r="AD157" s="1387">
        <f>BO120</f>
        <v>45.6</v>
      </c>
      <c r="AE157" s="1388">
        <f>AW55</f>
        <v>2.5</v>
      </c>
      <c r="AF157" s="1388">
        <f>AX55</f>
        <v>9.6</v>
      </c>
      <c r="AG157" s="1388">
        <f>AZ53</f>
        <v>2</v>
      </c>
      <c r="AH157" s="1388">
        <f>BA53</f>
        <v>4.4000000000000004</v>
      </c>
      <c r="AI157" s="1388">
        <f>BB53</f>
        <v>61.7</v>
      </c>
      <c r="AJ157" s="1388">
        <f>AJ42</f>
        <v>88.1</v>
      </c>
      <c r="AK157" s="1388">
        <f>AK42</f>
        <v>27.6</v>
      </c>
      <c r="AL157" s="1388">
        <f>AL42</f>
        <v>86.3</v>
      </c>
      <c r="AM157" s="1388">
        <f>AM42</f>
        <v>58.699999999999996</v>
      </c>
      <c r="AN157" s="1388">
        <f>AN42</f>
        <v>37.849999999999994</v>
      </c>
      <c r="AO157" s="1381">
        <f>AI54</f>
        <v>0.08</v>
      </c>
      <c r="AP157" s="1381">
        <f>AJ54</f>
        <v>26.2</v>
      </c>
      <c r="AQ157" s="1381">
        <f>AK54</f>
        <v>16.5</v>
      </c>
      <c r="AR157" s="1381">
        <f>AL54</f>
        <v>33.1</v>
      </c>
      <c r="AS157" s="1388">
        <f>AS35</f>
        <v>88.8</v>
      </c>
      <c r="AT157" s="1388">
        <f>AT35</f>
        <v>94.3</v>
      </c>
      <c r="AU157" s="1388">
        <f>AU35</f>
        <v>91.5</v>
      </c>
      <c r="AV157" s="1388">
        <f>AT29</f>
        <v>62.8</v>
      </c>
      <c r="AW157" s="1387">
        <f>BL55</f>
        <v>59</v>
      </c>
      <c r="AX157" s="1381">
        <f>BM55</f>
        <v>0.28000000000000003</v>
      </c>
      <c r="AY157" s="1387">
        <f>BI55</f>
        <v>94</v>
      </c>
      <c r="AZ157" s="1388">
        <f>BO90</f>
        <v>37</v>
      </c>
      <c r="BA157" s="1368">
        <f>BG56</f>
        <v>70.900000000000006</v>
      </c>
      <c r="BB157" s="1371">
        <f>BC90</f>
        <v>8.0000000000000004E-4</v>
      </c>
      <c r="BC157" s="1368">
        <f>ROUND(AVERAGE(AJ59:AO59,AR59:AS59),3)</f>
        <v>0.33800000000000002</v>
      </c>
      <c r="BD157" s="1364">
        <f>COUNT(AJ57:AO58,AR57:AS58)</f>
        <v>16</v>
      </c>
      <c r="BE157" s="1388">
        <f>BE54</f>
        <v>3.2</v>
      </c>
      <c r="BF157" s="1388">
        <f>BE53</f>
        <v>4.8</v>
      </c>
      <c r="BG157" s="1388">
        <f>BF53</f>
        <v>0.12</v>
      </c>
      <c r="BH157" s="1392">
        <f>AM90</f>
        <v>16</v>
      </c>
      <c r="BI157" s="1392">
        <f>AN90</f>
        <v>15.9</v>
      </c>
      <c r="BJ157" s="1393">
        <f>AVERAGE(AS78:AS89)</f>
        <v>6.3333333333333339E-2</v>
      </c>
      <c r="BK157" s="1393">
        <f>AVERAGE(AT78:AT89)</f>
        <v>6.3333333333333339E-2</v>
      </c>
      <c r="BL157" s="1368">
        <f>AJ40</f>
        <v>86.5</v>
      </c>
      <c r="BM157" s="1368">
        <f>AJ41</f>
        <v>89.7</v>
      </c>
      <c r="BN157" s="1368">
        <f>AL47</f>
        <v>7.1</v>
      </c>
      <c r="BO157" s="1368">
        <f>AL48</f>
        <v>10.199999999999999</v>
      </c>
      <c r="BP157" s="1404">
        <f>'Анализ возд.среды '!B4</f>
        <v>0</v>
      </c>
      <c r="BQ157" s="1404">
        <f>'Анализ возд.среды '!C4</f>
        <v>0</v>
      </c>
      <c r="BR157" s="1404">
        <f>'Анализ возд.среды '!D4</f>
        <v>0</v>
      </c>
      <c r="BS157" s="1404">
        <f>'Анализ возд.среды '!E4</f>
        <v>0</v>
      </c>
      <c r="BT157" s="1404">
        <f>'Анализ возд.среды '!F4</f>
        <v>0</v>
      </c>
      <c r="BU157" s="1404">
        <f>'Анализ возд.среды '!G4</f>
        <v>0</v>
      </c>
      <c r="BV157" s="1404">
        <f>'Анализ возд.среды '!H4</f>
        <v>0</v>
      </c>
      <c r="BW157" s="1404">
        <f>'Анализ возд.среды '!I4</f>
        <v>0</v>
      </c>
      <c r="BX157" s="1404">
        <f>'Анализ возд.среды '!J4</f>
        <v>0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4">
        <f>COUNT(H9:H35,AP9:AP35)</f>
        <v>2</v>
      </c>
      <c r="C158" s="1204">
        <f>COUNT(K31:M32,AS31:AU32)</f>
        <v>6</v>
      </c>
      <c r="D158" s="1204">
        <f>COUNT(N35,AV35)</f>
        <v>1</v>
      </c>
      <c r="E158" s="1204">
        <f>COUNT(O35,AW35)</f>
        <v>1</v>
      </c>
      <c r="F158" s="1204">
        <f>COUNT(P35,AX35)</f>
        <v>1</v>
      </c>
      <c r="G158" s="1204">
        <f>COUNT(N9:P28,AV9:AX28)</f>
        <v>9</v>
      </c>
      <c r="H158" s="1204">
        <f>COUNT(N31:P32,AV31:AX32)</f>
        <v>6</v>
      </c>
      <c r="I158" s="1204">
        <f>COUNT(Q9:Q33,U9:U33,Y9:Y33,AY9:AY33,BC9:BC33,BG9:BG33)</f>
        <v>15</v>
      </c>
      <c r="J158" s="1204">
        <f t="shared" ref="J158:L158" si="28">COUNT(R9:R33,V9:V33,Z9:Z33,AZ9:AZ33,BD9:BD33,BH9:BH33)</f>
        <v>18</v>
      </c>
      <c r="K158" s="1204">
        <f t="shared" si="28"/>
        <v>18</v>
      </c>
      <c r="L158" s="1204">
        <f t="shared" si="28"/>
        <v>18</v>
      </c>
      <c r="M158" s="1204">
        <f>COUNT(T34,X34,AB34,BB34,BF34,BJ34)</f>
        <v>6</v>
      </c>
      <c r="N158" s="1204">
        <f>COUNT(AF4:AF33,BN4:BN33)</f>
        <v>35</v>
      </c>
      <c r="O158" s="1204">
        <f>COUNT(J40:J53,AR40:AR53)</f>
        <v>7</v>
      </c>
      <c r="P158" s="1204">
        <f>COUNT(K40:K53,AS40:AS53)</f>
        <v>7</v>
      </c>
      <c r="Q158" s="1204">
        <f>COUNT(L40:L53,AT40:AT53)</f>
        <v>7</v>
      </c>
      <c r="R158" s="1204">
        <f>COUNT(M40:M53,AU40:AU53)</f>
        <v>7</v>
      </c>
      <c r="S158" s="1204">
        <f>COUNT(AT54,L54)</f>
        <v>2</v>
      </c>
      <c r="T158" s="1295">
        <f>COUNT(B44,AJ44,I40:I51,AQ40:AQ51)</f>
        <v>7</v>
      </c>
      <c r="U158" s="1204">
        <f>COUNT(C44,AK44)</f>
        <v>2</v>
      </c>
      <c r="V158" s="1204">
        <f>COUNT(D44,AL44)</f>
        <v>2</v>
      </c>
      <c r="W158" s="1204">
        <f>COUNT(E44,AM44)</f>
        <v>2</v>
      </c>
      <c r="X158" s="1204">
        <f>COUNT(F44,AN44)</f>
        <v>2</v>
      </c>
      <c r="Y158" s="1205">
        <f>COUNT(W40:W53,BE40:BE53)</f>
        <v>4</v>
      </c>
      <c r="Z158" s="1205">
        <f>COUNT(U54,BC54)</f>
        <v>2</v>
      </c>
      <c r="AA158" s="1204">
        <f>COUNT(AD78:AE89,BL78:BM89)</f>
        <v>3</v>
      </c>
      <c r="AB158" s="1204">
        <f>COUNT(D90,AL90)</f>
        <v>2</v>
      </c>
      <c r="AC158" s="1295">
        <f>COUNT(AG4:AG33,BO4:BO33)</f>
        <v>47</v>
      </c>
      <c r="AD158" s="1295">
        <f>COUNT(Y120:AC121,BG120:BK121)</f>
        <v>20</v>
      </c>
      <c r="AE158" s="1295">
        <f>COUNT(O40:O54,AW40:AW54)</f>
        <v>12</v>
      </c>
      <c r="AF158" s="1295">
        <f>COUNT(P40:P54,AX40:AX54)</f>
        <v>12</v>
      </c>
      <c r="AG158" s="1204">
        <f>COUNT(R40:R53,AZ40:AZ53)</f>
        <v>14</v>
      </c>
      <c r="AH158" s="1204">
        <f>COUNT(S40:S53,BA40:BA53)</f>
        <v>14</v>
      </c>
      <c r="AI158" s="1204">
        <f>COUNT(T40:T53,BB40:BB53)</f>
        <v>7</v>
      </c>
      <c r="AJ158" s="1204">
        <f>COUNT(G40:H51,B40:B41,AO40:AP51,AJ40:AJ41)</f>
        <v>13</v>
      </c>
      <c r="AK158" s="1204">
        <f>COUNT(C40:C41,AK40:AK41)</f>
        <v>4</v>
      </c>
      <c r="AL158" s="1204">
        <f t="shared" ref="AL158:AM158" si="29">COUNT(D40:D41,AL40:AL41)</f>
        <v>4</v>
      </c>
      <c r="AM158" s="1204">
        <f t="shared" si="29"/>
        <v>4</v>
      </c>
      <c r="AN158" s="1204">
        <f>COUNT(F40:F41,AN40:AN41)</f>
        <v>4</v>
      </c>
      <c r="AO158" s="1204">
        <f>COUNT(AI54)</f>
        <v>1</v>
      </c>
      <c r="AP158" s="1204">
        <f>COUNT(AJ54)</f>
        <v>1</v>
      </c>
      <c r="AQ158" s="1204">
        <f>COUNT(AK54)</f>
        <v>1</v>
      </c>
      <c r="AR158" s="1204">
        <f>COUNT(AL54)</f>
        <v>1</v>
      </c>
      <c r="AS158" s="1204">
        <f>COUNT(K35,AS35)</f>
        <v>1</v>
      </c>
      <c r="AT158" s="1204">
        <f>COUNT(L35,AT35)</f>
        <v>1</v>
      </c>
      <c r="AU158" s="1204">
        <f>COUNT(M35,AU35)</f>
        <v>1</v>
      </c>
      <c r="AV158" s="1297">
        <f>COUNT(K9:M28,AS9:AU28)</f>
        <v>11</v>
      </c>
      <c r="AW158" s="1297">
        <f>COUNT(AD40:AD46,AD48:AD54,BL40:BL46,BL48:BL54)</f>
        <v>12</v>
      </c>
      <c r="AX158" s="1297">
        <f>COUNT(AE40:AE46,AE48:AE54,BM40:BM46,BM48:BM54)</f>
        <v>12</v>
      </c>
      <c r="AY158" s="1297">
        <f>COUNT(AA40:AA46,AA48:AA54,BI40:BI46,BI48:BI54)</f>
        <v>12</v>
      </c>
      <c r="AZ158" s="1297"/>
      <c r="BA158" s="1204">
        <f>COUNT(Y56,BG56,CN61)</f>
        <v>2</v>
      </c>
      <c r="BB158" s="1204">
        <f>COUNT(U78:V89,BC78:BD89)</f>
        <v>8</v>
      </c>
      <c r="BC158" s="1204">
        <f>COUNT(B57:G59,J57:K59,AJ57:AO59,AR57:AS59)</f>
        <v>48</v>
      </c>
      <c r="BD158" s="1204">
        <f>COUNT(B57:G59,J57:L59,AJ57:AO59,AR57:AT59)</f>
        <v>48</v>
      </c>
      <c r="BE158" s="1204">
        <f>COUNT(BE54,W54)</f>
        <v>2</v>
      </c>
      <c r="BF158" s="1204">
        <f>COUNT(W40:W53,BE40:BE53)</f>
        <v>4</v>
      </c>
      <c r="BG158" s="1204">
        <f>COUNT(X40:X53,BF40:BF53)</f>
        <v>6</v>
      </c>
      <c r="BH158" s="1298"/>
      <c r="BI158" s="1297"/>
      <c r="BJ158" s="1299"/>
      <c r="BK158" s="1296"/>
      <c r="BL158" s="1296"/>
      <c r="BM158" s="1296"/>
      <c r="BN158" s="1296"/>
      <c r="BO158" s="1296"/>
      <c r="BP158" s="1405"/>
      <c r="BQ158" s="1406"/>
      <c r="BR158" s="1407"/>
      <c r="BS158" s="1407"/>
      <c r="BT158" s="1407"/>
      <c r="BU158" s="1407"/>
      <c r="BV158" s="1408"/>
      <c r="BW158" s="1408"/>
      <c r="BX158" s="1408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2315"/>
      <c r="AS159" s="2315"/>
      <c r="AT159" s="2315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7"/>
      <c r="BO159" s="887"/>
      <c r="BP159" s="887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1718" t="s">
        <v>1306</v>
      </c>
      <c r="C160" s="1719"/>
      <c r="D160" s="1800" t="s">
        <v>416</v>
      </c>
      <c r="E160" s="1800"/>
      <c r="F160" s="1800"/>
      <c r="G160" s="1800"/>
      <c r="H160" s="1686" t="s">
        <v>1311</v>
      </c>
      <c r="I160" s="1686"/>
      <c r="J160" s="1686"/>
      <c r="K160" s="1686"/>
      <c r="L160" s="1686"/>
      <c r="M160" s="1686" t="s">
        <v>1312</v>
      </c>
      <c r="N160" s="1686"/>
      <c r="O160" s="1686"/>
      <c r="P160" s="1686"/>
      <c r="Q160" s="1686"/>
      <c r="R160" s="1686" t="s">
        <v>1313</v>
      </c>
      <c r="S160" s="1686"/>
      <c r="T160" s="1686"/>
      <c r="U160" s="1686"/>
      <c r="V160" s="1686"/>
      <c r="W160" s="1686" t="s">
        <v>1314</v>
      </c>
      <c r="X160" s="1686"/>
      <c r="Y160" s="1686"/>
      <c r="Z160" s="1686"/>
      <c r="AA160" s="1686"/>
      <c r="AB160" s="1686" t="s">
        <v>1315</v>
      </c>
      <c r="AC160" s="1686"/>
      <c r="AD160" s="1686"/>
      <c r="AE160" s="1686"/>
      <c r="AF160" s="1686"/>
      <c r="AG160" s="1686" t="s">
        <v>1316</v>
      </c>
      <c r="AH160" s="1686"/>
      <c r="AI160" s="1686"/>
      <c r="AJ160" s="1686"/>
      <c r="AK160" s="1686"/>
      <c r="AL160" s="1686" t="s">
        <v>1317</v>
      </c>
      <c r="AM160" s="1686"/>
      <c r="AN160" s="1686"/>
      <c r="AO160" s="1686"/>
      <c r="AP160" s="1686"/>
      <c r="AQ160" s="1686" t="s">
        <v>435</v>
      </c>
      <c r="AR160" s="1686"/>
      <c r="AS160" s="1686"/>
      <c r="AT160" s="1282"/>
      <c r="AU160" s="1282" t="s">
        <v>460</v>
      </c>
      <c r="AV160" s="1282"/>
      <c r="AW160" s="1686" t="s">
        <v>1620</v>
      </c>
      <c r="AX160" s="1686"/>
      <c r="AY160" s="1686"/>
      <c r="AZ160" s="1686" t="s">
        <v>1318</v>
      </c>
      <c r="BA160" s="1686"/>
      <c r="BB160" s="1686"/>
      <c r="BC160" s="1686"/>
      <c r="BD160" s="1686" t="s">
        <v>38</v>
      </c>
      <c r="BE160" s="1686"/>
      <c r="BF160" s="1686"/>
      <c r="BG160" s="1686"/>
      <c r="BH160" s="1667" t="s">
        <v>1283</v>
      </c>
      <c r="BI160" s="1668"/>
      <c r="BJ160" s="1669"/>
      <c r="BK160" s="1667" t="s">
        <v>1319</v>
      </c>
      <c r="BL160" s="1668"/>
      <c r="BM160" s="1669"/>
      <c r="BP160" s="888"/>
    </row>
    <row r="161" spans="1:72" ht="22.5" customHeight="1" x14ac:dyDescent="0.3">
      <c r="A161" s="1275"/>
      <c r="B161" s="1273" t="s">
        <v>19</v>
      </c>
      <c r="C161" s="1273" t="s">
        <v>1307</v>
      </c>
      <c r="D161" s="1274" t="s">
        <v>1308</v>
      </c>
      <c r="E161" s="1273" t="s">
        <v>1309</v>
      </c>
      <c r="F161" s="1274" t="s">
        <v>1</v>
      </c>
      <c r="G161" s="1273" t="s">
        <v>1209</v>
      </c>
      <c r="H161" s="1274" t="s">
        <v>1</v>
      </c>
      <c r="I161" s="1273" t="s">
        <v>1209</v>
      </c>
      <c r="J161" s="1273" t="s">
        <v>2</v>
      </c>
      <c r="K161" s="1273" t="s">
        <v>3</v>
      </c>
      <c r="L161" s="1273" t="s">
        <v>1309</v>
      </c>
      <c r="M161" s="1274" t="s">
        <v>1</v>
      </c>
      <c r="N161" s="1273" t="s">
        <v>1209</v>
      </c>
      <c r="O161" s="1273" t="s">
        <v>2</v>
      </c>
      <c r="P161" s="1273" t="s">
        <v>3</v>
      </c>
      <c r="Q161" s="1273" t="s">
        <v>1309</v>
      </c>
      <c r="R161" s="1274" t="s">
        <v>1</v>
      </c>
      <c r="S161" s="1273" t="s">
        <v>1209</v>
      </c>
      <c r="T161" s="1273" t="s">
        <v>2</v>
      </c>
      <c r="U161" s="1273" t="s">
        <v>3</v>
      </c>
      <c r="V161" s="1273" t="s">
        <v>1309</v>
      </c>
      <c r="W161" s="1274" t="s">
        <v>1</v>
      </c>
      <c r="X161" s="1273" t="s">
        <v>1209</v>
      </c>
      <c r="Y161" s="1273" t="s">
        <v>2</v>
      </c>
      <c r="Z161" s="1273" t="s">
        <v>3</v>
      </c>
      <c r="AA161" s="1273" t="s">
        <v>1309</v>
      </c>
      <c r="AB161" s="1274" t="s">
        <v>1</v>
      </c>
      <c r="AC161" s="1273" t="s">
        <v>1209</v>
      </c>
      <c r="AD161" s="1273" t="s">
        <v>2</v>
      </c>
      <c r="AE161" s="1273" t="s">
        <v>3</v>
      </c>
      <c r="AF161" s="1273" t="s">
        <v>1309</v>
      </c>
      <c r="AG161" s="1274" t="s">
        <v>1</v>
      </c>
      <c r="AH161" s="1273" t="s">
        <v>1209</v>
      </c>
      <c r="AI161" s="1273" t="s">
        <v>2</v>
      </c>
      <c r="AJ161" s="1273" t="s">
        <v>3</v>
      </c>
      <c r="AK161" s="1273" t="s">
        <v>1309</v>
      </c>
      <c r="AL161" s="1274" t="s">
        <v>1</v>
      </c>
      <c r="AM161" s="1273" t="s">
        <v>1209</v>
      </c>
      <c r="AN161" s="1273" t="s">
        <v>2</v>
      </c>
      <c r="AO161" s="1273" t="s">
        <v>3</v>
      </c>
      <c r="AP161" s="1273" t="s">
        <v>1309</v>
      </c>
      <c r="AQ161" s="1279" t="s">
        <v>13</v>
      </c>
      <c r="AR161" s="1279" t="s">
        <v>1275</v>
      </c>
      <c r="AS161" s="1274" t="s">
        <v>1</v>
      </c>
      <c r="AT161" s="1274" t="s">
        <v>1</v>
      </c>
      <c r="AU161" s="1279" t="s">
        <v>13</v>
      </c>
      <c r="AV161" s="1279" t="s">
        <v>1275</v>
      </c>
      <c r="AW161" s="1279" t="s">
        <v>1320</v>
      </c>
      <c r="AX161" s="1274" t="s">
        <v>1</v>
      </c>
      <c r="AY161" s="1273" t="s">
        <v>1309</v>
      </c>
      <c r="AZ161" s="1274" t="s">
        <v>1</v>
      </c>
      <c r="BA161" s="1273" t="s">
        <v>1209</v>
      </c>
      <c r="BB161" s="1273" t="s">
        <v>2</v>
      </c>
      <c r="BC161" s="1273" t="s">
        <v>1309</v>
      </c>
      <c r="BD161" s="1273" t="s">
        <v>1209</v>
      </c>
      <c r="BE161" s="1274" t="s">
        <v>1</v>
      </c>
      <c r="BF161" s="1273" t="s">
        <v>2</v>
      </c>
      <c r="BG161" s="1273" t="s">
        <v>1309</v>
      </c>
      <c r="BH161" s="1280" t="s">
        <v>133</v>
      </c>
      <c r="BI161" s="1280" t="s">
        <v>134</v>
      </c>
      <c r="BJ161" s="1280" t="s">
        <v>81</v>
      </c>
      <c r="BK161" s="1280" t="s">
        <v>133</v>
      </c>
      <c r="BL161" s="1280" t="s">
        <v>134</v>
      </c>
      <c r="BM161" s="1280" t="s">
        <v>81</v>
      </c>
      <c r="BN161" s="21"/>
      <c r="BP161" s="888"/>
    </row>
    <row r="162" spans="1:72" ht="22.5" customHeight="1" x14ac:dyDescent="0.3">
      <c r="A162" s="1228">
        <v>1</v>
      </c>
      <c r="B162" s="1229">
        <f>C35</f>
        <v>0.16</v>
      </c>
      <c r="C162" s="1229">
        <f>E35</f>
        <v>7.0000000000000007E-2</v>
      </c>
      <c r="D162" s="1229">
        <f>G35</f>
        <v>0.47</v>
      </c>
      <c r="E162" s="1229">
        <f t="shared" ref="E162" si="30">H35</f>
        <v>42.1</v>
      </c>
      <c r="F162" s="1229">
        <f>I35</f>
        <v>88.8</v>
      </c>
      <c r="G162" s="1229">
        <f>J35</f>
        <v>98.7</v>
      </c>
      <c r="H162" s="1230">
        <f>Y33</f>
        <v>96.3</v>
      </c>
      <c r="I162" s="1230">
        <f t="shared" ref="I162:K162" si="31">Z33</f>
        <v>26.2</v>
      </c>
      <c r="J162" s="1230">
        <f t="shared" si="31"/>
        <v>92.7</v>
      </c>
      <c r="K162" s="1230">
        <f t="shared" si="31"/>
        <v>66.5</v>
      </c>
      <c r="L162" s="1230">
        <f>AB34</f>
        <v>38.1</v>
      </c>
      <c r="M162" s="1230">
        <f t="shared" ref="M162:P162" si="32">Q33</f>
        <v>96.3</v>
      </c>
      <c r="N162" s="1230">
        <f t="shared" si="32"/>
        <v>26.6</v>
      </c>
      <c r="O162" s="1230">
        <f t="shared" si="32"/>
        <v>93.6</v>
      </c>
      <c r="P162" s="1230">
        <f t="shared" si="32"/>
        <v>67</v>
      </c>
      <c r="Q162" s="1230">
        <f>T34</f>
        <v>36.5</v>
      </c>
      <c r="R162" s="1230">
        <f>U33</f>
        <v>95.9</v>
      </c>
      <c r="S162" s="1230">
        <f t="shared" ref="S162:U162" si="33">V33</f>
        <v>26.6</v>
      </c>
      <c r="T162" s="1230">
        <f t="shared" si="33"/>
        <v>91.9</v>
      </c>
      <c r="U162" s="1230">
        <f t="shared" si="33"/>
        <v>65.3</v>
      </c>
      <c r="V162" s="1230">
        <f>X34</f>
        <v>37.5</v>
      </c>
      <c r="W162" s="1230">
        <f>B44</f>
        <v>74.5</v>
      </c>
      <c r="X162" s="1230">
        <f>C44</f>
        <v>30.2</v>
      </c>
      <c r="Y162" s="1230">
        <f>D44</f>
        <v>73.8</v>
      </c>
      <c r="Z162" s="1230">
        <f>E44</f>
        <v>43.599999999999994</v>
      </c>
      <c r="AA162" s="1230">
        <f>F44</f>
        <v>42.1</v>
      </c>
      <c r="AB162" s="1230">
        <f>B40</f>
        <v>83.2</v>
      </c>
      <c r="AC162" s="1230">
        <f>C40</f>
        <v>29.8</v>
      </c>
      <c r="AD162" s="1230">
        <f>D40</f>
        <v>79.8</v>
      </c>
      <c r="AE162" s="1230">
        <f>E40</f>
        <v>50</v>
      </c>
      <c r="AF162" s="1230">
        <f>F40</f>
        <v>40.5</v>
      </c>
      <c r="AG162" s="1230">
        <f>B41</f>
        <v>82.8</v>
      </c>
      <c r="AH162" s="1230">
        <f>C41</f>
        <v>31</v>
      </c>
      <c r="AI162" s="1230">
        <f>D41</f>
        <v>80.7</v>
      </c>
      <c r="AJ162" s="1230">
        <f>E41</f>
        <v>49.7</v>
      </c>
      <c r="AK162" s="1230">
        <f>F41</f>
        <v>38.299999999999997</v>
      </c>
      <c r="AL162" s="1230">
        <f>J53</f>
        <v>79.599999999999994</v>
      </c>
      <c r="AM162" s="1230">
        <f t="shared" ref="AM162:AO162" si="34">K53</f>
        <v>31.4</v>
      </c>
      <c r="AN162" s="1230">
        <f t="shared" si="34"/>
        <v>79.8</v>
      </c>
      <c r="AO162" s="1230">
        <f t="shared" si="34"/>
        <v>48.4</v>
      </c>
      <c r="AP162" s="1230">
        <f>L54</f>
        <v>39.200000000000003</v>
      </c>
      <c r="AQ162" s="1230">
        <f>O55</f>
        <v>3.2</v>
      </c>
      <c r="AR162" s="1230">
        <f t="shared" ref="AR162:AS162" si="35">P55</f>
        <v>9.6999999999999993</v>
      </c>
      <c r="AS162" s="1230">
        <f t="shared" si="35"/>
        <v>56.2</v>
      </c>
      <c r="AT162" s="1230">
        <f>T53</f>
        <v>56.5</v>
      </c>
      <c r="AU162" s="1230">
        <f>R53</f>
        <v>2.6</v>
      </c>
      <c r="AV162" s="1230">
        <f>S53</f>
        <v>8.4</v>
      </c>
      <c r="AW162" s="1231">
        <f>U53</f>
        <v>4</v>
      </c>
      <c r="AX162" s="1232">
        <f>V53</f>
        <v>0.04</v>
      </c>
      <c r="AY162" s="1231">
        <f>U54</f>
        <v>6.3</v>
      </c>
      <c r="AZ162" s="1233"/>
      <c r="BA162" s="1233"/>
      <c r="BB162" s="1233"/>
      <c r="BC162" s="1233"/>
      <c r="BD162" s="1230">
        <f>B90</f>
        <v>9.1</v>
      </c>
      <c r="BE162" s="1229">
        <f>C90</f>
        <v>0.06</v>
      </c>
      <c r="BF162" s="1233"/>
      <c r="BG162" s="1230">
        <f>D90</f>
        <v>12</v>
      </c>
      <c r="BH162" s="1230">
        <f>E90</f>
        <v>17</v>
      </c>
      <c r="BI162" s="1230">
        <f>F90</f>
        <v>17.100000000000001</v>
      </c>
      <c r="BJ162" s="1230">
        <f>G90</f>
        <v>19.100000000000001</v>
      </c>
      <c r="BK162" s="1229">
        <f>AVERAGE(K78:K89)</f>
        <v>6.2E-2</v>
      </c>
      <c r="BL162" s="1229">
        <f>AVERAGE(L78:L89)</f>
        <v>6.25E-2</v>
      </c>
      <c r="BM162" s="1229">
        <f>N90</f>
        <v>0.06</v>
      </c>
      <c r="BN162" s="21"/>
      <c r="BP162" s="888"/>
    </row>
    <row r="163" spans="1:72" ht="22.5" customHeight="1" x14ac:dyDescent="0.3">
      <c r="A163" s="1228">
        <v>2</v>
      </c>
      <c r="B163" s="1229">
        <f>AK35</f>
        <v>0.16</v>
      </c>
      <c r="C163" s="1229">
        <f>AM35</f>
        <v>7.0000000000000007E-2</v>
      </c>
      <c r="D163" s="1229">
        <f>AO35</f>
        <v>0.39</v>
      </c>
      <c r="E163" s="1229">
        <f t="shared" ref="E163:G163" si="36">AP35</f>
        <v>39.200000000000003</v>
      </c>
      <c r="F163" s="1229">
        <f t="shared" si="36"/>
        <v>88.9</v>
      </c>
      <c r="G163" s="1229">
        <f t="shared" si="36"/>
        <v>100.8</v>
      </c>
      <c r="H163" s="1230">
        <f>BG33</f>
        <v>97</v>
      </c>
      <c r="I163" s="1230">
        <f t="shared" ref="I163:K163" si="37">BH33</f>
        <v>25.4</v>
      </c>
      <c r="J163" s="1230">
        <f t="shared" si="37"/>
        <v>96.4</v>
      </c>
      <c r="K163" s="1230">
        <f t="shared" si="37"/>
        <v>71</v>
      </c>
      <c r="L163" s="1230">
        <f>BJ34</f>
        <v>33.9</v>
      </c>
      <c r="M163" s="1230">
        <f t="shared" ref="M163:P163" si="38">AY33</f>
        <v>97</v>
      </c>
      <c r="N163" s="1230">
        <f t="shared" si="38"/>
        <v>25.4</v>
      </c>
      <c r="O163" s="1230">
        <f t="shared" si="38"/>
        <v>96</v>
      </c>
      <c r="P163" s="1230">
        <f t="shared" si="38"/>
        <v>70.599999999999994</v>
      </c>
      <c r="Q163" s="1230">
        <f>BB34</f>
        <v>33.9</v>
      </c>
      <c r="R163" s="1230">
        <f>BC33</f>
        <v>97</v>
      </c>
      <c r="S163" s="1230">
        <f t="shared" ref="S163:U163" si="39">BD33</f>
        <v>25</v>
      </c>
      <c r="T163" s="1230">
        <f t="shared" si="39"/>
        <v>96</v>
      </c>
      <c r="U163" s="1230">
        <f t="shared" si="39"/>
        <v>71</v>
      </c>
      <c r="V163" s="1230">
        <f>BF34</f>
        <v>34.1</v>
      </c>
      <c r="W163" s="1230">
        <f>AJ44</f>
        <v>84.5</v>
      </c>
      <c r="X163" s="1230">
        <f>AK44</f>
        <v>29</v>
      </c>
      <c r="Y163" s="1230">
        <f>AL44</f>
        <v>82.7</v>
      </c>
      <c r="Z163" s="1230">
        <f>AM44</f>
        <v>53.7</v>
      </c>
      <c r="AA163" s="1230">
        <f>AN44</f>
        <v>37.9</v>
      </c>
      <c r="AB163" s="1230">
        <f>AJ40</f>
        <v>86.5</v>
      </c>
      <c r="AC163" s="1230">
        <f>AK40</f>
        <v>27.8</v>
      </c>
      <c r="AD163" s="1230">
        <f t="shared" ref="AD163:AF163" si="40">AL40</f>
        <v>86.3</v>
      </c>
      <c r="AE163" s="1230">
        <f t="shared" si="40"/>
        <v>58.5</v>
      </c>
      <c r="AF163" s="1230">
        <f t="shared" si="40"/>
        <v>37.9</v>
      </c>
      <c r="AG163" s="1230">
        <f>AJ41</f>
        <v>89.7</v>
      </c>
      <c r="AH163" s="1230">
        <f t="shared" ref="AH163:AK163" si="41">AK41</f>
        <v>27.4</v>
      </c>
      <c r="AI163" s="1230">
        <f t="shared" si="41"/>
        <v>86.3</v>
      </c>
      <c r="AJ163" s="1230">
        <f t="shared" si="41"/>
        <v>58.9</v>
      </c>
      <c r="AK163" s="1230">
        <f t="shared" si="41"/>
        <v>37.799999999999997</v>
      </c>
      <c r="AL163" s="1230">
        <f>AR53</f>
        <v>84.9</v>
      </c>
      <c r="AM163" s="1230">
        <f t="shared" ref="AM163:AO163" si="42">AS53</f>
        <v>31.4</v>
      </c>
      <c r="AN163" s="1230">
        <f t="shared" si="42"/>
        <v>86.7</v>
      </c>
      <c r="AO163" s="1230">
        <f t="shared" si="42"/>
        <v>55.3</v>
      </c>
      <c r="AP163" s="1230">
        <f>AT54</f>
        <v>39.200000000000003</v>
      </c>
      <c r="AQ163" s="1230">
        <f>AW55</f>
        <v>2.5</v>
      </c>
      <c r="AR163" s="1230">
        <f t="shared" ref="AR163:AS163" si="43">AX55</f>
        <v>9.6</v>
      </c>
      <c r="AS163" s="1230">
        <f t="shared" si="43"/>
        <v>62</v>
      </c>
      <c r="AT163" s="1230">
        <f>BB53</f>
        <v>61.7</v>
      </c>
      <c r="AU163" s="1230">
        <f>AZ53</f>
        <v>2</v>
      </c>
      <c r="AV163" s="1230">
        <f>BA53</f>
        <v>4.4000000000000004</v>
      </c>
      <c r="AW163" s="1230">
        <f>BC53</f>
        <v>4</v>
      </c>
      <c r="AX163" s="1229">
        <f>BD53</f>
        <v>0.04</v>
      </c>
      <c r="AY163" s="1230">
        <f>BC54</f>
        <v>6.6</v>
      </c>
      <c r="AZ163" s="1229">
        <f>AI54</f>
        <v>0.08</v>
      </c>
      <c r="BA163" s="1229">
        <f>AJ54</f>
        <v>26.2</v>
      </c>
      <c r="BB163" s="1229">
        <f>AK54</f>
        <v>16.5</v>
      </c>
      <c r="BC163" s="1229">
        <f>AL54</f>
        <v>33.1</v>
      </c>
      <c r="BD163" s="1230">
        <f>AJ90</f>
        <v>10.199999999999999</v>
      </c>
      <c r="BE163" s="1229">
        <f t="shared" ref="BE163" si="44">AK90</f>
        <v>0.06</v>
      </c>
      <c r="BF163" s="1233"/>
      <c r="BG163" s="1230">
        <f>AL90</f>
        <v>13.3</v>
      </c>
      <c r="BH163" s="1230">
        <f>AM90</f>
        <v>16</v>
      </c>
      <c r="BI163" s="1230">
        <f>AN90</f>
        <v>15.9</v>
      </c>
      <c r="BJ163" s="1230">
        <f t="shared" ref="BJ163" si="45">AO90</f>
        <v>18.399999999999999</v>
      </c>
      <c r="BK163" s="1229">
        <f>AVERAGE(AS78:AS89)</f>
        <v>6.3333333333333339E-2</v>
      </c>
      <c r="BL163" s="1229">
        <f>AVERAGE(AT78:AT89)</f>
        <v>6.3333333333333339E-2</v>
      </c>
      <c r="BM163" s="1229">
        <f>AV90</f>
        <v>7.0000000000000007E-2</v>
      </c>
      <c r="BN163" s="21"/>
      <c r="BP163" s="888"/>
    </row>
    <row r="164" spans="1:72" ht="22.5" customHeight="1" x14ac:dyDescent="0.3">
      <c r="A164" s="1276"/>
      <c r="B164" s="1234"/>
      <c r="C164" s="1234"/>
      <c r="D164" s="1234"/>
      <c r="E164" s="1234"/>
      <c r="F164" s="1234"/>
      <c r="G164" s="1234"/>
      <c r="H164" s="1235"/>
      <c r="I164" s="1235"/>
      <c r="J164" s="1235"/>
      <c r="K164" s="1235"/>
      <c r="L164" s="1235"/>
      <c r="M164" s="1235"/>
      <c r="N164" s="1235"/>
      <c r="O164" s="1235"/>
      <c r="P164" s="1235"/>
      <c r="Q164" s="1235"/>
      <c r="R164" s="1235"/>
      <c r="S164" s="1235"/>
      <c r="T164" s="1235"/>
      <c r="U164" s="1235"/>
      <c r="V164" s="1235"/>
      <c r="W164" s="1235"/>
      <c r="X164" s="1235"/>
      <c r="Y164" s="1235"/>
      <c r="Z164" s="1235"/>
      <c r="AA164" s="1235"/>
      <c r="AB164" s="1235"/>
      <c r="AC164" s="1235"/>
      <c r="AD164" s="1235"/>
      <c r="AE164" s="1235"/>
      <c r="AF164" s="1235"/>
      <c r="AG164" s="1235"/>
      <c r="AH164" s="1235"/>
      <c r="AI164" s="1235"/>
      <c r="AJ164" s="1235"/>
      <c r="AK164" s="1235"/>
      <c r="AL164" s="1235"/>
      <c r="AM164" s="1235"/>
      <c r="AN164" s="1235"/>
      <c r="AO164" s="1235"/>
      <c r="AP164" s="1235"/>
      <c r="AQ164" s="1235"/>
      <c r="AR164" s="1235"/>
      <c r="AS164" s="1235"/>
      <c r="AT164" s="1235"/>
      <c r="AU164" s="1235"/>
      <c r="AV164" s="1235"/>
      <c r="AW164" s="1235"/>
      <c r="AX164" s="1235"/>
      <c r="AY164" s="1235"/>
      <c r="AZ164" s="1234"/>
      <c r="BA164" s="1234"/>
      <c r="BB164" s="1234"/>
      <c r="BC164" s="1234"/>
      <c r="BD164" s="1235"/>
      <c r="BE164" s="1235"/>
      <c r="BF164" s="1236"/>
      <c r="BG164" s="1235"/>
      <c r="BH164" s="1235"/>
      <c r="BI164" s="1235"/>
      <c r="BJ164" s="1235"/>
      <c r="BK164" s="1234"/>
      <c r="BL164" s="1234"/>
      <c r="BM164" s="1234"/>
      <c r="BN164" s="21"/>
      <c r="BP164" s="888"/>
    </row>
    <row r="165" spans="1:72" ht="22.5" customHeight="1" x14ac:dyDescent="0.3">
      <c r="A165" s="1294"/>
      <c r="B165" s="1737" t="s">
        <v>461</v>
      </c>
      <c r="C165" s="1737"/>
      <c r="D165" s="1737"/>
      <c r="E165" s="1670" t="s">
        <v>777</v>
      </c>
      <c r="F165" s="1671"/>
      <c r="G165" s="1671"/>
      <c r="H165" s="1671"/>
      <c r="I165" s="1672"/>
      <c r="J165" s="1283" t="s">
        <v>76</v>
      </c>
      <c r="K165" s="1283" t="s">
        <v>78</v>
      </c>
      <c r="L165" s="1283" t="s">
        <v>34</v>
      </c>
      <c r="M165" s="1670" t="s">
        <v>778</v>
      </c>
      <c r="N165" s="1671"/>
      <c r="O165" s="1671"/>
      <c r="P165" s="1672"/>
      <c r="Q165" s="1283" t="s">
        <v>189</v>
      </c>
      <c r="R165" s="1283" t="s">
        <v>127</v>
      </c>
      <c r="S165" s="1670" t="s">
        <v>778</v>
      </c>
      <c r="T165" s="1671"/>
      <c r="U165" s="1671"/>
      <c r="V165" s="1672"/>
      <c r="W165" s="1670" t="s">
        <v>1305</v>
      </c>
      <c r="X165" s="1671"/>
      <c r="Y165" s="1672"/>
      <c r="Z165" s="1670" t="s">
        <v>691</v>
      </c>
      <c r="AA165" s="1671"/>
      <c r="AB165" s="1671"/>
      <c r="AC165" s="1671"/>
      <c r="AD165" s="1671"/>
      <c r="AE165" s="1671"/>
      <c r="AF165" s="1671"/>
      <c r="AG165" s="1672"/>
      <c r="AH165" s="1283" t="s">
        <v>34</v>
      </c>
      <c r="AI165" s="1671" t="s">
        <v>1011</v>
      </c>
      <c r="AJ165" s="1671"/>
      <c r="AK165" s="1671"/>
      <c r="AL165" s="1672"/>
      <c r="AM165" s="1670" t="s">
        <v>26</v>
      </c>
      <c r="AN165" s="1671"/>
      <c r="AO165" s="1672"/>
      <c r="AP165" s="1238"/>
      <c r="AQ165" s="1239"/>
      <c r="AR165" s="1239"/>
      <c r="AS165" s="1239"/>
      <c r="AT165" s="1239"/>
      <c r="AU165" s="1239"/>
      <c r="AV165" s="1239"/>
      <c r="AW165" s="1239"/>
      <c r="AX165" s="1239"/>
      <c r="AY165" s="1239"/>
      <c r="AZ165" s="1240"/>
      <c r="BA165" s="1240"/>
      <c r="BB165" s="1240"/>
      <c r="BC165" s="1240"/>
      <c r="BD165" s="1239"/>
      <c r="BE165" s="1239"/>
      <c r="BF165" s="116"/>
      <c r="BG165" s="1239"/>
      <c r="BH165" s="1239"/>
      <c r="BI165" s="1239"/>
      <c r="BJ165" s="1239"/>
      <c r="BK165" s="1240"/>
      <c r="BL165" s="1240"/>
      <c r="BM165" s="1240"/>
      <c r="BN165" s="21"/>
      <c r="BP165" s="888"/>
    </row>
    <row r="166" spans="1:72" ht="22.5" customHeight="1" x14ac:dyDescent="0.3">
      <c r="B166" s="1279" t="s">
        <v>9</v>
      </c>
      <c r="C166" s="1273" t="s">
        <v>71</v>
      </c>
      <c r="D166" s="1288" t="s">
        <v>1294</v>
      </c>
      <c r="E166" s="1279" t="s">
        <v>462</v>
      </c>
      <c r="F166" s="1279" t="s">
        <v>12</v>
      </c>
      <c r="G166" s="1279" t="s">
        <v>11</v>
      </c>
      <c r="H166" s="1279" t="s">
        <v>779</v>
      </c>
      <c r="I166" s="1279" t="s">
        <v>40</v>
      </c>
      <c r="J166" s="1279" t="s">
        <v>77</v>
      </c>
      <c r="K166" s="1279" t="s">
        <v>77</v>
      </c>
      <c r="L166" s="1279" t="s">
        <v>129</v>
      </c>
      <c r="M166" s="1279" t="s">
        <v>185</v>
      </c>
      <c r="N166" s="1279" t="s">
        <v>30</v>
      </c>
      <c r="O166" s="1279" t="s">
        <v>29</v>
      </c>
      <c r="P166" s="1279" t="s">
        <v>31</v>
      </c>
      <c r="Q166" s="1279" t="s">
        <v>32</v>
      </c>
      <c r="R166" s="1279" t="s">
        <v>1304</v>
      </c>
      <c r="S166" s="1279" t="s">
        <v>1301</v>
      </c>
      <c r="T166" s="1279" t="s">
        <v>1302</v>
      </c>
      <c r="U166" s="1279" t="s">
        <v>1303</v>
      </c>
      <c r="V166" s="1279" t="s">
        <v>1013</v>
      </c>
      <c r="W166" s="1279" t="s">
        <v>51</v>
      </c>
      <c r="X166" s="1279" t="s">
        <v>52</v>
      </c>
      <c r="Y166" s="1279" t="s">
        <v>53</v>
      </c>
      <c r="Z166" s="1279" t="s">
        <v>133</v>
      </c>
      <c r="AA166" s="1279" t="s">
        <v>134</v>
      </c>
      <c r="AB166" s="1279" t="s">
        <v>81</v>
      </c>
      <c r="AC166" s="1279" t="s">
        <v>780</v>
      </c>
      <c r="AD166" s="1279" t="s">
        <v>35</v>
      </c>
      <c r="AE166" s="1279" t="s">
        <v>781</v>
      </c>
      <c r="AF166" s="1279" t="s">
        <v>782</v>
      </c>
      <c r="AG166" s="1279" t="s">
        <v>462</v>
      </c>
      <c r="AH166" s="1279" t="s">
        <v>1</v>
      </c>
      <c r="AI166" s="1289" t="s">
        <v>617</v>
      </c>
      <c r="AJ166" s="1279" t="s">
        <v>1298</v>
      </c>
      <c r="AK166" s="1279" t="s">
        <v>1299</v>
      </c>
      <c r="AL166" s="1279" t="s">
        <v>1300</v>
      </c>
      <c r="AM166" s="1279" t="s">
        <v>1295</v>
      </c>
      <c r="AN166" s="1279" t="s">
        <v>1296</v>
      </c>
      <c r="AO166" s="1290" t="s">
        <v>1297</v>
      </c>
      <c r="AP166" s="1238"/>
      <c r="AQ166" s="1239"/>
      <c r="AR166" s="1239"/>
      <c r="AS166" s="1239"/>
      <c r="AT166" s="1239"/>
      <c r="AU166" s="1239"/>
      <c r="AV166" s="1239"/>
      <c r="AW166" s="1239"/>
      <c r="AX166" s="1239"/>
      <c r="AY166" s="1239"/>
      <c r="AZ166" s="1240"/>
      <c r="BA166" s="1240"/>
      <c r="BB166" s="1240"/>
      <c r="BC166" s="1240"/>
      <c r="BD166" s="1239"/>
      <c r="BE166" s="1239"/>
      <c r="BF166" s="116"/>
      <c r="BG166" s="1239"/>
      <c r="BH166" s="1239"/>
      <c r="BI166" s="1239"/>
      <c r="BJ166" s="1239"/>
      <c r="BK166" s="1240"/>
      <c r="BL166" s="1240"/>
      <c r="BM166" s="1240"/>
      <c r="BN166" s="21"/>
      <c r="BP166" s="888"/>
    </row>
    <row r="167" spans="1:72" ht="22.5" customHeight="1" x14ac:dyDescent="0.3">
      <c r="A167" s="1228">
        <v>1</v>
      </c>
      <c r="B167" s="1241">
        <f>AVERAGE(C95:C106,K95:K106,S95:S106,G95:G106,O95:O106)</f>
        <v>99.450000000000031</v>
      </c>
      <c r="C167" s="1241">
        <f>AVERAGE(D95:D106,H95:H106,L95:L106,T95:T106,P95:P106)</f>
        <v>0.21111111111111114</v>
      </c>
      <c r="D167" s="1242">
        <f>AVERAGE(E95:E106,I95:I106,M95:M106,U95:U106,Q95:Q106)</f>
        <v>2.4624999999999994E-3</v>
      </c>
      <c r="E167" s="1230">
        <f>AA90</f>
        <v>80</v>
      </c>
      <c r="F167" s="1230">
        <f t="shared" ref="F167:G167" si="46">AB90</f>
        <v>82</v>
      </c>
      <c r="G167" s="1230">
        <f t="shared" si="46"/>
        <v>68.5</v>
      </c>
      <c r="H167" s="1243">
        <f>AD90</f>
        <v>67</v>
      </c>
      <c r="I167" s="1243">
        <f>AG90</f>
        <v>37.4</v>
      </c>
      <c r="J167" s="1233">
        <f>AD63+AD65</f>
        <v>200</v>
      </c>
      <c r="K167" s="1233">
        <f>AG63+AG65</f>
        <v>510</v>
      </c>
      <c r="L167" s="1229">
        <f>Y55</f>
        <v>0.52</v>
      </c>
      <c r="M167" s="1244">
        <f>AA55</f>
        <v>96</v>
      </c>
      <c r="N167" s="1244">
        <f>AB55</f>
        <v>78</v>
      </c>
      <c r="O167" s="1244">
        <f>AC55</f>
        <v>59</v>
      </c>
      <c r="P167" s="1244">
        <f>AD55</f>
        <v>57</v>
      </c>
      <c r="Q167" s="1245">
        <f>AE55</f>
        <v>0.2</v>
      </c>
      <c r="R167" s="1246">
        <f>AG120</f>
        <v>39.700000000000003</v>
      </c>
      <c r="S167" s="1246">
        <f>AD34</f>
        <v>30</v>
      </c>
      <c r="T167" s="1246">
        <f>AE34</f>
        <v>49</v>
      </c>
      <c r="U167" s="1246">
        <f>AF34</f>
        <v>50</v>
      </c>
      <c r="V167" s="1246">
        <f>AG34</f>
        <v>55</v>
      </c>
      <c r="W167" s="1230">
        <f>O129</f>
        <v>58</v>
      </c>
      <c r="X167" s="1230">
        <f t="shared" ref="X167:Y167" si="47">P129</f>
        <v>56</v>
      </c>
      <c r="Y167" s="1230">
        <f t="shared" si="47"/>
        <v>54</v>
      </c>
      <c r="Z167" s="1247">
        <f>COUNT(K78:K89)</f>
        <v>5</v>
      </c>
      <c r="AA167" s="1247">
        <f>COUNT(L78:L89)</f>
        <v>4</v>
      </c>
      <c r="AB167" s="1248">
        <f>J90</f>
        <v>1.1000000000000001</v>
      </c>
      <c r="AC167" s="1249">
        <f>AD35/2</f>
        <v>8.5</v>
      </c>
      <c r="AD167" s="1250">
        <f>COUNT(AA40:AA46,AA48:AA54)/2</f>
        <v>3</v>
      </c>
      <c r="AE167" s="1251">
        <f>T119</f>
        <v>10</v>
      </c>
      <c r="AF167" s="1230">
        <f>F35</f>
        <v>15.2</v>
      </c>
      <c r="AG167" s="1233">
        <f>AG114</f>
        <v>6</v>
      </c>
      <c r="AH167" s="1230">
        <f>Y56</f>
        <v>70.099999999999994</v>
      </c>
      <c r="AI167" s="1256">
        <f>F4</f>
        <v>366</v>
      </c>
      <c r="AJ167" s="1233">
        <f>F3</f>
        <v>3633</v>
      </c>
      <c r="AK167" s="1233">
        <f>F2</f>
        <v>430</v>
      </c>
      <c r="AL167" s="1233">
        <f>G2</f>
        <v>332</v>
      </c>
      <c r="AM167" s="1233">
        <f>C72</f>
        <v>1</v>
      </c>
      <c r="AN167" s="1233">
        <f>C73</f>
        <v>18</v>
      </c>
      <c r="AO167" s="1233">
        <f>C71</f>
        <v>-18</v>
      </c>
      <c r="AP167" s="1238"/>
      <c r="AQ167" s="1239"/>
      <c r="AR167" s="1239"/>
      <c r="AS167" s="1239"/>
      <c r="AT167" s="1239"/>
      <c r="AU167" s="1239"/>
      <c r="AV167" s="1239"/>
      <c r="AW167" s="1239"/>
      <c r="AX167" s="1239"/>
      <c r="AY167" s="1239"/>
      <c r="AZ167" s="1240"/>
      <c r="BA167" s="1240"/>
      <c r="BB167" s="1240"/>
      <c r="BC167" s="1240"/>
      <c r="BD167" s="1239"/>
      <c r="BE167" s="1239"/>
      <c r="BF167" s="116"/>
      <c r="BG167" s="1239"/>
      <c r="BH167" s="1239"/>
      <c r="BI167" s="1239"/>
      <c r="BJ167" s="1239"/>
      <c r="BK167" s="1240"/>
      <c r="BL167" s="1240"/>
      <c r="BM167" s="1240"/>
      <c r="BN167" s="21"/>
      <c r="BP167" s="888"/>
    </row>
    <row r="168" spans="1:72" ht="22.5" customHeight="1" x14ac:dyDescent="0.3">
      <c r="A168" s="1228">
        <v>2</v>
      </c>
      <c r="B168" s="1252">
        <f>AVERAGE(AK95:AK106,AO95:AO106,AS95:AS106,BA95:BA106,AW95:AW106)</f>
        <v>99.449999999999946</v>
      </c>
      <c r="C168" s="1252">
        <f>AVERAGE(AL95:AL106,AP95:AP106,AT95:AT106,AX95:AX106,BB95:BB106)</f>
        <v>0.14222222222222225</v>
      </c>
      <c r="D168" s="1253">
        <f>AVERAGE(AM95:AM106,AQ95:AQ106,AU95:AU106,AY95:AY106,BC95:BC106)</f>
        <v>2.2266666666666667E-3</v>
      </c>
      <c r="E168" s="1230">
        <f>BI90</f>
        <v>80</v>
      </c>
      <c r="F168" s="1230">
        <f t="shared" ref="F168:G168" si="48">BJ90</f>
        <v>81</v>
      </c>
      <c r="G168" s="1230">
        <f t="shared" si="48"/>
        <v>69.5</v>
      </c>
      <c r="H168" s="1243">
        <f>BL90</f>
        <v>56</v>
      </c>
      <c r="I168" s="1243">
        <f>BO90</f>
        <v>37</v>
      </c>
      <c r="J168" s="1233">
        <f>BL63+BL65</f>
        <v>470</v>
      </c>
      <c r="K168" s="1233">
        <f>BO63+BO65</f>
        <v>400</v>
      </c>
      <c r="L168" s="1229">
        <f>BG55</f>
        <v>0.53</v>
      </c>
      <c r="M168" s="1244">
        <f>BI55</f>
        <v>94</v>
      </c>
      <c r="N168" s="1244">
        <f>BJ55</f>
        <v>74</v>
      </c>
      <c r="O168" s="1244">
        <f>BK55</f>
        <v>58</v>
      </c>
      <c r="P168" s="1244">
        <f>BL55</f>
        <v>59</v>
      </c>
      <c r="Q168" s="1245">
        <f>BM55</f>
        <v>0.28000000000000003</v>
      </c>
      <c r="R168" s="1246">
        <f>BO120</f>
        <v>45.6</v>
      </c>
      <c r="S168" s="1246">
        <f>BL34</f>
        <v>30</v>
      </c>
      <c r="T168" s="1246">
        <f>BM34</f>
        <v>50</v>
      </c>
      <c r="U168" s="1246">
        <f>BN34</f>
        <v>52</v>
      </c>
      <c r="V168" s="1246">
        <f>BO34</f>
        <v>57</v>
      </c>
      <c r="W168" s="1230">
        <f>AW129</f>
        <v>61</v>
      </c>
      <c r="X168" s="1230">
        <f t="shared" ref="X168" si="49">AX129</f>
        <v>54</v>
      </c>
      <c r="Y168" s="1230">
        <f>AY129</f>
        <v>57</v>
      </c>
      <c r="Z168" s="1247">
        <f>COUNT(AS78:AS89)</f>
        <v>6</v>
      </c>
      <c r="AA168" s="1247">
        <f>COUNT(AT78:AT89)</f>
        <v>6</v>
      </c>
      <c r="AB168" s="1248">
        <f>AR90</f>
        <v>2</v>
      </c>
      <c r="AC168" s="1249">
        <f>BL35/2</f>
        <v>9</v>
      </c>
      <c r="AD168" s="1250">
        <f>COUNT(BI40:BI46,BI48:BI54)/2</f>
        <v>3</v>
      </c>
      <c r="AE168" s="1251">
        <f>BB119</f>
        <v>9</v>
      </c>
      <c r="AF168" s="1230" t="e">
        <f>AN35</f>
        <v>#DIV/0!</v>
      </c>
      <c r="AG168" s="1233">
        <f>BO114</f>
        <v>6</v>
      </c>
      <c r="AH168" s="1230">
        <f>BG56</f>
        <v>70.900000000000006</v>
      </c>
      <c r="AI168" s="1256">
        <f>AN4</f>
        <v>480</v>
      </c>
      <c r="AJ168" s="1233">
        <f>AN3</f>
        <v>4943</v>
      </c>
      <c r="AK168" s="1233">
        <f>AN2</f>
        <v>441</v>
      </c>
      <c r="AL168" s="1233">
        <f>AO2</f>
        <v>411</v>
      </c>
      <c r="AM168" s="1233">
        <f>AK72</f>
        <v>1.4</v>
      </c>
      <c r="AN168" s="1233">
        <f>AK73</f>
        <v>15</v>
      </c>
      <c r="AO168" s="1233">
        <f>AK71</f>
        <v>-11</v>
      </c>
      <c r="AP168" s="1238"/>
      <c r="AQ168" s="1239"/>
      <c r="AR168" s="1239"/>
      <c r="AS168" s="1239"/>
      <c r="AT168" s="1239"/>
      <c r="AU168" s="1239"/>
      <c r="AV168" s="1239"/>
      <c r="AW168" s="1239"/>
      <c r="AX168" s="1239"/>
      <c r="AY168" s="1239"/>
      <c r="AZ168" s="1254"/>
      <c r="BA168" s="1254"/>
      <c r="BB168" s="1254"/>
      <c r="BC168" s="1254"/>
      <c r="BD168" s="1239"/>
      <c r="BE168" s="1239"/>
      <c r="BF168" s="1239"/>
      <c r="BG168" s="1239"/>
      <c r="BH168" s="1239"/>
      <c r="BI168" s="1239"/>
      <c r="BJ168" s="1239"/>
      <c r="BK168" s="1240"/>
      <c r="BL168" s="1240"/>
      <c r="BM168" s="1240"/>
      <c r="BN168" s="21"/>
      <c r="BP168" s="888"/>
      <c r="BQ168" s="25"/>
      <c r="BR168" s="25"/>
      <c r="BS168" s="25"/>
      <c r="BT168" s="25"/>
    </row>
    <row r="169" spans="1:72" ht="22.5" customHeight="1" x14ac:dyDescent="0.3">
      <c r="A169" s="1277"/>
      <c r="B169" s="1255"/>
      <c r="C169" s="1255"/>
      <c r="D169" s="1255"/>
      <c r="E169" s="1255"/>
      <c r="F169" s="1255"/>
      <c r="G169" s="1255"/>
      <c r="H169" s="1255"/>
      <c r="I169" s="1256"/>
      <c r="J169" s="1237"/>
      <c r="K169" s="1255"/>
      <c r="L169" s="1255"/>
      <c r="M169" s="1255"/>
      <c r="N169" s="1255"/>
      <c r="O169" s="1255"/>
      <c r="P169" s="1255"/>
      <c r="Q169" s="1256"/>
      <c r="R169" s="1237"/>
      <c r="S169" s="1255"/>
      <c r="T169" s="1255"/>
      <c r="U169" s="1255"/>
      <c r="V169" s="1255"/>
      <c r="W169" s="1255"/>
      <c r="X169" s="1255"/>
      <c r="Y169" s="1256"/>
      <c r="Z169" s="1237"/>
      <c r="AA169" s="1255"/>
      <c r="AB169" s="1255"/>
      <c r="AC169" s="1255"/>
      <c r="AD169" s="1255"/>
      <c r="AE169" s="1255"/>
      <c r="AF169" s="1255"/>
      <c r="AG169" s="1256"/>
      <c r="AH169" s="1237"/>
      <c r="AI169" s="1255"/>
      <c r="AJ169" s="1255"/>
      <c r="AK169" s="1255"/>
      <c r="AL169" s="1255"/>
      <c r="AM169" s="1255"/>
      <c r="AN169" s="1255"/>
      <c r="AO169" s="1256"/>
      <c r="AP169" s="1238"/>
      <c r="AQ169" s="1239"/>
      <c r="AR169" s="1239"/>
      <c r="AS169" s="1239"/>
      <c r="AT169" s="1239"/>
      <c r="AU169" s="1239"/>
      <c r="AV169" s="1239"/>
      <c r="AW169" s="1239"/>
      <c r="AX169" s="1239"/>
      <c r="AY169" s="1239"/>
      <c r="AZ169" s="1254"/>
      <c r="BA169" s="1254"/>
      <c r="BB169" s="1254"/>
      <c r="BC169" s="1254"/>
      <c r="BD169" s="1239"/>
      <c r="BE169" s="1239"/>
      <c r="BF169" s="1239"/>
      <c r="BG169" s="1239"/>
      <c r="BH169" s="1239"/>
      <c r="BI169" s="1239"/>
      <c r="BJ169" s="1239"/>
      <c r="BK169" s="1240"/>
      <c r="BL169" s="1240"/>
      <c r="BM169" s="1240"/>
      <c r="BN169" s="21"/>
      <c r="BP169" s="888"/>
      <c r="BQ169" s="25"/>
      <c r="BR169" s="25"/>
      <c r="BS169" s="25"/>
      <c r="BT169" s="25"/>
    </row>
    <row r="170" spans="1:72" ht="22.5" customHeight="1" x14ac:dyDescent="0.3">
      <c r="A170" s="20"/>
      <c r="B170" s="1284"/>
      <c r="C170" s="1285"/>
      <c r="D170" s="1285"/>
      <c r="E170" s="1285" t="s">
        <v>280</v>
      </c>
      <c r="F170" s="1286"/>
      <c r="G170" s="1286"/>
      <c r="H170" s="1285"/>
      <c r="I170" s="1287"/>
      <c r="J170" s="1284"/>
      <c r="K170" s="1285"/>
      <c r="L170" s="1285"/>
      <c r="M170" s="1285" t="s">
        <v>281</v>
      </c>
      <c r="N170" s="1286"/>
      <c r="O170" s="1286"/>
      <c r="P170" s="1285"/>
      <c r="Q170" s="1287"/>
      <c r="R170" s="1284"/>
      <c r="S170" s="1285"/>
      <c r="T170" s="1285"/>
      <c r="U170" s="1285" t="s">
        <v>282</v>
      </c>
      <c r="V170" s="1286"/>
      <c r="W170" s="1286"/>
      <c r="X170" s="1285"/>
      <c r="Y170" s="1287"/>
      <c r="Z170" s="1284"/>
      <c r="AA170" s="1285"/>
      <c r="AB170" s="1285"/>
      <c r="AC170" s="1285" t="s">
        <v>283</v>
      </c>
      <c r="AD170" s="1286"/>
      <c r="AE170" s="1286"/>
      <c r="AF170" s="1285"/>
      <c r="AG170" s="1287"/>
      <c r="AH170" s="1284"/>
      <c r="AI170" s="1285"/>
      <c r="AJ170" s="1285"/>
      <c r="AK170" s="1285" t="s">
        <v>284</v>
      </c>
      <c r="AL170" s="1286"/>
      <c r="AM170" s="1286"/>
      <c r="AN170" s="1285"/>
      <c r="AO170" s="1287"/>
      <c r="AP170" s="1284"/>
      <c r="AQ170" s="1285"/>
      <c r="AR170" s="1285"/>
      <c r="AS170" s="1285" t="s">
        <v>285</v>
      </c>
      <c r="AT170" s="1286"/>
      <c r="AU170" s="1286"/>
      <c r="AV170" s="1285"/>
      <c r="AW170" s="1287"/>
      <c r="AX170" s="1284"/>
      <c r="AY170" s="1285"/>
      <c r="AZ170" s="1285"/>
      <c r="BA170" s="1285" t="s">
        <v>286</v>
      </c>
      <c r="BB170" s="1286"/>
      <c r="BC170" s="1286"/>
      <c r="BD170" s="1285"/>
      <c r="BE170" s="1287"/>
      <c r="BF170" s="1284"/>
      <c r="BG170" s="1285"/>
      <c r="BH170" s="1285"/>
      <c r="BI170" s="1285" t="s">
        <v>287</v>
      </c>
      <c r="BJ170" s="1286"/>
      <c r="BK170" s="1286"/>
      <c r="BL170" s="1285"/>
      <c r="BM170" s="1283"/>
      <c r="BN170" s="21"/>
      <c r="BP170" s="888"/>
    </row>
    <row r="171" spans="1:72" ht="22.5" customHeight="1" x14ac:dyDescent="0.3">
      <c r="A171" s="20"/>
      <c r="B171" s="1291" t="s">
        <v>1001</v>
      </c>
      <c r="C171" s="1291" t="s">
        <v>288</v>
      </c>
      <c r="D171" s="1291" t="s">
        <v>289</v>
      </c>
      <c r="E171" s="1291" t="s">
        <v>1002</v>
      </c>
      <c r="F171" s="1291" t="s">
        <v>1003</v>
      </c>
      <c r="G171" s="1291" t="s">
        <v>1004</v>
      </c>
      <c r="H171" s="1291" t="s">
        <v>1005</v>
      </c>
      <c r="I171" s="1291" t="s">
        <v>290</v>
      </c>
      <c r="J171" s="1291" t="s">
        <v>1001</v>
      </c>
      <c r="K171" s="1291" t="s">
        <v>288</v>
      </c>
      <c r="L171" s="1291" t="s">
        <v>289</v>
      </c>
      <c r="M171" s="1291" t="s">
        <v>1002</v>
      </c>
      <c r="N171" s="1291" t="s">
        <v>1003</v>
      </c>
      <c r="O171" s="1291" t="s">
        <v>1004</v>
      </c>
      <c r="P171" s="1291" t="s">
        <v>1005</v>
      </c>
      <c r="Q171" s="1291" t="s">
        <v>290</v>
      </c>
      <c r="R171" s="1291" t="s">
        <v>1001</v>
      </c>
      <c r="S171" s="1291" t="s">
        <v>288</v>
      </c>
      <c r="T171" s="1291" t="s">
        <v>289</v>
      </c>
      <c r="U171" s="1291" t="s">
        <v>1002</v>
      </c>
      <c r="V171" s="1291" t="s">
        <v>1003</v>
      </c>
      <c r="W171" s="1291" t="s">
        <v>1004</v>
      </c>
      <c r="X171" s="1291" t="s">
        <v>1005</v>
      </c>
      <c r="Y171" s="1291" t="s">
        <v>290</v>
      </c>
      <c r="Z171" s="1291" t="s">
        <v>1001</v>
      </c>
      <c r="AA171" s="1291" t="s">
        <v>288</v>
      </c>
      <c r="AB171" s="1291" t="s">
        <v>289</v>
      </c>
      <c r="AC171" s="1291" t="s">
        <v>1002</v>
      </c>
      <c r="AD171" s="1291" t="s">
        <v>1003</v>
      </c>
      <c r="AE171" s="1291" t="s">
        <v>1004</v>
      </c>
      <c r="AF171" s="1291" t="s">
        <v>1005</v>
      </c>
      <c r="AG171" s="1291" t="s">
        <v>290</v>
      </c>
      <c r="AH171" s="1291" t="s">
        <v>1001</v>
      </c>
      <c r="AI171" s="1291" t="s">
        <v>288</v>
      </c>
      <c r="AJ171" s="1291" t="s">
        <v>289</v>
      </c>
      <c r="AK171" s="1291" t="s">
        <v>1002</v>
      </c>
      <c r="AL171" s="1291" t="s">
        <v>1003</v>
      </c>
      <c r="AM171" s="1291" t="s">
        <v>1004</v>
      </c>
      <c r="AN171" s="1291" t="s">
        <v>1005</v>
      </c>
      <c r="AO171" s="1291" t="s">
        <v>290</v>
      </c>
      <c r="AP171" s="1291" t="s">
        <v>1001</v>
      </c>
      <c r="AQ171" s="1291" t="s">
        <v>288</v>
      </c>
      <c r="AR171" s="1291" t="s">
        <v>289</v>
      </c>
      <c r="AS171" s="1291" t="s">
        <v>1002</v>
      </c>
      <c r="AT171" s="1291" t="s">
        <v>1003</v>
      </c>
      <c r="AU171" s="1291" t="s">
        <v>1004</v>
      </c>
      <c r="AV171" s="1291" t="s">
        <v>1005</v>
      </c>
      <c r="AW171" s="1291" t="s">
        <v>290</v>
      </c>
      <c r="AX171" s="1291" t="s">
        <v>1001</v>
      </c>
      <c r="AY171" s="1291" t="s">
        <v>288</v>
      </c>
      <c r="AZ171" s="1291" t="s">
        <v>289</v>
      </c>
      <c r="BA171" s="1291" t="s">
        <v>1002</v>
      </c>
      <c r="BB171" s="1291" t="s">
        <v>1003</v>
      </c>
      <c r="BC171" s="1291" t="s">
        <v>1004</v>
      </c>
      <c r="BD171" s="1291" t="s">
        <v>1005</v>
      </c>
      <c r="BE171" s="1291" t="s">
        <v>290</v>
      </c>
      <c r="BF171" s="1291" t="s">
        <v>1001</v>
      </c>
      <c r="BG171" s="1291" t="s">
        <v>288</v>
      </c>
      <c r="BH171" s="1291" t="s">
        <v>289</v>
      </c>
      <c r="BI171" s="1291" t="s">
        <v>1002</v>
      </c>
      <c r="BJ171" s="1291" t="s">
        <v>1003</v>
      </c>
      <c r="BK171" s="1291" t="s">
        <v>1004</v>
      </c>
      <c r="BL171" s="1292" t="s">
        <v>1005</v>
      </c>
      <c r="BM171" s="1293" t="s">
        <v>290</v>
      </c>
      <c r="BN171" s="1257"/>
      <c r="BO171" s="888"/>
      <c r="BP171" s="888"/>
    </row>
    <row r="172" spans="1:72" ht="22.5" customHeight="1" x14ac:dyDescent="0.3">
      <c r="A172" s="1228">
        <v>1</v>
      </c>
      <c r="B172" s="1233">
        <f>C111</f>
        <v>149</v>
      </c>
      <c r="C172" s="1233">
        <f>C112</f>
        <v>0</v>
      </c>
      <c r="D172" s="1233">
        <f>C113</f>
        <v>0</v>
      </c>
      <c r="E172" s="1233">
        <f>C115</f>
        <v>380</v>
      </c>
      <c r="F172" s="1230">
        <f>C116</f>
        <v>9.1999999999999993</v>
      </c>
      <c r="G172" s="1230">
        <f>C117</f>
        <v>159</v>
      </c>
      <c r="H172" s="1230">
        <f>C119</f>
        <v>540</v>
      </c>
      <c r="I172" s="1233">
        <f>C120</f>
        <v>0</v>
      </c>
      <c r="J172" s="1233" t="str">
        <f>D111</f>
        <v>ремонт</v>
      </c>
      <c r="K172" s="1233">
        <f>D112</f>
        <v>0</v>
      </c>
      <c r="L172" s="1233">
        <f>D113</f>
        <v>0</v>
      </c>
      <c r="M172" s="1233">
        <f>D115</f>
        <v>0</v>
      </c>
      <c r="N172" s="1230">
        <f>D116</f>
        <v>0</v>
      </c>
      <c r="O172" s="1230">
        <f>D117</f>
        <v>0</v>
      </c>
      <c r="P172" s="1230">
        <f>D119</f>
        <v>0</v>
      </c>
      <c r="Q172" s="1233">
        <f>D120</f>
        <v>0</v>
      </c>
      <c r="R172" s="1233">
        <f>E111</f>
        <v>164</v>
      </c>
      <c r="S172" s="1233">
        <f>E112</f>
        <v>0</v>
      </c>
      <c r="T172" s="1233">
        <f>E113</f>
        <v>0</v>
      </c>
      <c r="U172" s="1233">
        <f>E115</f>
        <v>381</v>
      </c>
      <c r="V172" s="1230">
        <f>E116</f>
        <v>9</v>
      </c>
      <c r="W172" s="1230">
        <f>E117</f>
        <v>153</v>
      </c>
      <c r="X172" s="1230">
        <f>E119</f>
        <v>540</v>
      </c>
      <c r="Y172" s="1233">
        <f>E120</f>
        <v>0</v>
      </c>
      <c r="Z172" s="1233">
        <f>F111</f>
        <v>146</v>
      </c>
      <c r="AA172" s="1233">
        <f>F112</f>
        <v>0</v>
      </c>
      <c r="AB172" s="1233">
        <f>F113</f>
        <v>0</v>
      </c>
      <c r="AC172" s="1233">
        <f>F115</f>
        <v>398</v>
      </c>
      <c r="AD172" s="1233">
        <f>F116</f>
        <v>9.1999999999999993</v>
      </c>
      <c r="AE172" s="1233">
        <f>F117</f>
        <v>156</v>
      </c>
      <c r="AF172" s="1233">
        <f>F119</f>
        <v>504</v>
      </c>
      <c r="AG172" s="1233">
        <f>F120</f>
        <v>0</v>
      </c>
      <c r="AH172" s="1233" t="str">
        <f>G111</f>
        <v>резерв</v>
      </c>
      <c r="AI172" s="1233">
        <f>G112</f>
        <v>0</v>
      </c>
      <c r="AJ172" s="1233">
        <f>G113</f>
        <v>0</v>
      </c>
      <c r="AK172" s="1233">
        <f>G115</f>
        <v>0</v>
      </c>
      <c r="AL172" s="1233">
        <f>G116</f>
        <v>0</v>
      </c>
      <c r="AM172" s="1233">
        <f>G117</f>
        <v>0</v>
      </c>
      <c r="AN172" s="1233">
        <f>G119</f>
        <v>0</v>
      </c>
      <c r="AO172" s="1233">
        <f>G120</f>
        <v>0</v>
      </c>
      <c r="AP172" s="1258">
        <f>H111</f>
        <v>151</v>
      </c>
      <c r="AQ172" s="1258">
        <f>H112</f>
        <v>0</v>
      </c>
      <c r="AR172" s="1258">
        <f>H113</f>
        <v>0</v>
      </c>
      <c r="AS172" s="1258">
        <f>H115</f>
        <v>479</v>
      </c>
      <c r="AT172" s="1258">
        <f>H116</f>
        <v>9</v>
      </c>
      <c r="AU172" s="1258">
        <f>H117</f>
        <v>164</v>
      </c>
      <c r="AV172" s="1258">
        <f>H119</f>
        <v>540</v>
      </c>
      <c r="AW172" s="1258">
        <f>H120</f>
        <v>0</v>
      </c>
      <c r="AX172" s="1233" t="str">
        <f>I111</f>
        <v>ремонт</v>
      </c>
      <c r="AY172" s="1233">
        <f>I112</f>
        <v>0</v>
      </c>
      <c r="AZ172" s="1233">
        <f>I113</f>
        <v>0</v>
      </c>
      <c r="BA172" s="1233">
        <f>I115</f>
        <v>0</v>
      </c>
      <c r="BB172" s="1230">
        <f>I116</f>
        <v>0</v>
      </c>
      <c r="BC172" s="1230">
        <f>I117</f>
        <v>0</v>
      </c>
      <c r="BD172" s="1230">
        <f>I119</f>
        <v>0</v>
      </c>
      <c r="BE172" s="1233">
        <f>I120</f>
        <v>0</v>
      </c>
      <c r="BF172" s="1233" t="str">
        <f>J111</f>
        <v>резерв</v>
      </c>
      <c r="BG172" s="1233">
        <f>J112</f>
        <v>0</v>
      </c>
      <c r="BH172" s="1233">
        <f>J113</f>
        <v>0</v>
      </c>
      <c r="BI172" s="1233">
        <f>J115</f>
        <v>0</v>
      </c>
      <c r="BJ172" s="1233">
        <f>J116</f>
        <v>0</v>
      </c>
      <c r="BK172" s="1233">
        <f>J117</f>
        <v>0</v>
      </c>
      <c r="BL172" s="1237">
        <f>J119</f>
        <v>0</v>
      </c>
      <c r="BM172" s="1233">
        <f>J120</f>
        <v>0</v>
      </c>
      <c r="BN172" s="1257"/>
      <c r="BO172" s="888"/>
      <c r="BP172" s="888"/>
    </row>
    <row r="173" spans="1:72" ht="22.5" customHeight="1" x14ac:dyDescent="0.3">
      <c r="A173" s="1259">
        <v>2</v>
      </c>
      <c r="B173" s="1260">
        <f>AK111</f>
        <v>163</v>
      </c>
      <c r="C173" s="1260">
        <f>AK112</f>
        <v>98</v>
      </c>
      <c r="D173" s="1260">
        <f>AK113</f>
        <v>-1</v>
      </c>
      <c r="E173" s="1260">
        <f>AK115</f>
        <v>390</v>
      </c>
      <c r="F173" s="1261">
        <f>AK116</f>
        <v>0</v>
      </c>
      <c r="G173" s="1261">
        <f>AK117</f>
        <v>173</v>
      </c>
      <c r="H173" s="1261">
        <f>AK119</f>
        <v>540</v>
      </c>
      <c r="I173" s="1260">
        <f>AK120</f>
        <v>-2</v>
      </c>
      <c r="J173" s="1260" t="str">
        <f>AL111</f>
        <v>рем</v>
      </c>
      <c r="K173" s="1260">
        <f>AL112</f>
        <v>0</v>
      </c>
      <c r="L173" s="1260">
        <f>AL113</f>
        <v>0</v>
      </c>
      <c r="M173" s="1260">
        <f>AL115</f>
        <v>0</v>
      </c>
      <c r="N173" s="1261">
        <f>AL116</f>
        <v>0</v>
      </c>
      <c r="O173" s="1261">
        <f>AL117</f>
        <v>0</v>
      </c>
      <c r="P173" s="1261">
        <f>AL119</f>
        <v>0</v>
      </c>
      <c r="Q173" s="1260">
        <f>AL120</f>
        <v>0</v>
      </c>
      <c r="R173" s="1260">
        <f>AM111</f>
        <v>157</v>
      </c>
      <c r="S173" s="1260">
        <f>AM112</f>
        <v>106</v>
      </c>
      <c r="T173" s="1260">
        <f>AM113</f>
        <v>-1</v>
      </c>
      <c r="U173" s="1260">
        <f>AM115</f>
        <v>331</v>
      </c>
      <c r="V173" s="1260">
        <f>AM116</f>
        <v>0</v>
      </c>
      <c r="W173" s="1260">
        <f>AM117</f>
        <v>144</v>
      </c>
      <c r="X173" s="1260">
        <f>AM119</f>
        <v>540</v>
      </c>
      <c r="Y173" s="1260">
        <f>AM120</f>
        <v>-5</v>
      </c>
      <c r="Z173" s="1260">
        <f>AN111</f>
        <v>149</v>
      </c>
      <c r="AA173" s="1260">
        <f>AN112</f>
        <v>91</v>
      </c>
      <c r="AB173" s="1260">
        <f>AN113</f>
        <v>-1</v>
      </c>
      <c r="AC173" s="1260">
        <f>AN115</f>
        <v>402</v>
      </c>
      <c r="AD173" s="1260">
        <f>AN116</f>
        <v>0</v>
      </c>
      <c r="AE173" s="1260">
        <f>AN117</f>
        <v>162</v>
      </c>
      <c r="AF173" s="1260">
        <f>AN119</f>
        <v>540</v>
      </c>
      <c r="AG173" s="1260">
        <f>AN120</f>
        <v>-5</v>
      </c>
      <c r="AH173" s="1260" t="str">
        <f>AO111</f>
        <v>рез</v>
      </c>
      <c r="AI173" s="1260">
        <f>AO112</f>
        <v>0</v>
      </c>
      <c r="AJ173" s="1260">
        <f>AO113</f>
        <v>0</v>
      </c>
      <c r="AK173" s="1260">
        <f>AO115</f>
        <v>0</v>
      </c>
      <c r="AL173" s="1260">
        <f>AO116</f>
        <v>0</v>
      </c>
      <c r="AM173" s="1260">
        <f>AO117</f>
        <v>0</v>
      </c>
      <c r="AN173" s="1260">
        <f>AO119</f>
        <v>0</v>
      </c>
      <c r="AO173" s="1260">
        <f>AO120</f>
        <v>0</v>
      </c>
      <c r="AP173" s="1262">
        <f>AP111</f>
        <v>149</v>
      </c>
      <c r="AQ173" s="1262">
        <f>AP112</f>
        <v>92</v>
      </c>
      <c r="AR173" s="1262">
        <f>AP113</f>
        <v>-1</v>
      </c>
      <c r="AS173" s="1262">
        <f>AP115</f>
        <v>320</v>
      </c>
      <c r="AT173" s="1262">
        <f>AP116</f>
        <v>0</v>
      </c>
      <c r="AU173" s="1262">
        <f>AP117</f>
        <v>141</v>
      </c>
      <c r="AV173" s="1262">
        <f>AP119</f>
        <v>540</v>
      </c>
      <c r="AW173" s="1262">
        <f>AP120</f>
        <v>-6</v>
      </c>
      <c r="AX173" s="1260" t="str">
        <f>AQ111</f>
        <v>рем</v>
      </c>
      <c r="AY173" s="1260">
        <f>AQ112</f>
        <v>0</v>
      </c>
      <c r="AZ173" s="1260">
        <f>AQ113</f>
        <v>0</v>
      </c>
      <c r="BA173" s="1260">
        <f>AQ115</f>
        <v>0</v>
      </c>
      <c r="BB173" s="1261">
        <f>AQ116</f>
        <v>0</v>
      </c>
      <c r="BC173" s="1261">
        <f>AQ117</f>
        <v>0</v>
      </c>
      <c r="BD173" s="1261">
        <f>AQ119</f>
        <v>0</v>
      </c>
      <c r="BE173" s="1260">
        <f>AQ120</f>
        <v>0</v>
      </c>
      <c r="BF173" s="1260" t="str">
        <f>AR111</f>
        <v>рез</v>
      </c>
      <c r="BG173" s="1260">
        <f>AR112</f>
        <v>0</v>
      </c>
      <c r="BH173" s="1260">
        <f>AR113</f>
        <v>0</v>
      </c>
      <c r="BI173" s="1260">
        <f>AR115</f>
        <v>0</v>
      </c>
      <c r="BJ173" s="1260">
        <f>AR116</f>
        <v>0</v>
      </c>
      <c r="BK173" s="1260">
        <f>AR117</f>
        <v>0</v>
      </c>
      <c r="BL173" s="1263">
        <f>AR119</f>
        <v>0</v>
      </c>
      <c r="BM173" s="1233">
        <f>AR120</f>
        <v>0</v>
      </c>
      <c r="BN173" s="1257"/>
      <c r="BO173" s="888"/>
      <c r="BP173" s="888"/>
    </row>
    <row r="174" spans="1:72" ht="22.5" customHeight="1" x14ac:dyDescent="0.3">
      <c r="A174" s="1276"/>
      <c r="B174" s="1236"/>
      <c r="C174" s="1236"/>
      <c r="D174" s="1236"/>
      <c r="E174" s="1236"/>
      <c r="F174" s="1235"/>
      <c r="G174" s="1235"/>
      <c r="H174" s="1235"/>
      <c r="I174" s="1236"/>
      <c r="J174" s="1236"/>
      <c r="K174" s="1236"/>
      <c r="L174" s="1236"/>
      <c r="M174" s="1236"/>
      <c r="N174" s="1235"/>
      <c r="O174" s="1235"/>
      <c r="P174" s="1235"/>
      <c r="Q174" s="1236"/>
      <c r="R174" s="1236"/>
      <c r="S174" s="1236"/>
      <c r="T174" s="1236"/>
      <c r="U174" s="1236"/>
      <c r="V174" s="1236"/>
      <c r="W174" s="1236"/>
      <c r="X174" s="1236"/>
      <c r="Y174" s="1236"/>
      <c r="Z174" s="1236"/>
      <c r="AA174" s="1236"/>
      <c r="AB174" s="1236"/>
      <c r="AC174" s="1236"/>
      <c r="AD174" s="1236"/>
      <c r="AE174" s="1236"/>
      <c r="AF174" s="1236"/>
      <c r="AG174" s="1236"/>
      <c r="AH174" s="1236"/>
      <c r="AI174" s="1236"/>
      <c r="AJ174" s="1236"/>
      <c r="AK174" s="1236"/>
      <c r="AL174" s="1236"/>
      <c r="AM174" s="1236"/>
      <c r="AN174" s="1236"/>
      <c r="AO174" s="1236"/>
      <c r="AP174" s="1264"/>
      <c r="AQ174" s="1264"/>
      <c r="AR174" s="1264"/>
      <c r="AS174" s="1264"/>
      <c r="AT174" s="1264"/>
      <c r="AU174" s="1264"/>
      <c r="AV174" s="1264"/>
      <c r="AW174" s="1264"/>
      <c r="AX174" s="1236"/>
      <c r="AY174" s="1236"/>
      <c r="AZ174" s="1236"/>
      <c r="BA174" s="1236"/>
      <c r="BB174" s="1235"/>
      <c r="BC174" s="1235"/>
      <c r="BD174" s="1235"/>
      <c r="BE174" s="1236"/>
      <c r="BF174" s="1236"/>
      <c r="BG174" s="1236"/>
      <c r="BH174" s="1236"/>
      <c r="BI174" s="1236"/>
      <c r="BJ174" s="1236"/>
      <c r="BK174" s="1236"/>
      <c r="BL174" s="1236"/>
      <c r="BM174" s="1236"/>
      <c r="BN174" s="1257"/>
      <c r="BO174" s="888"/>
      <c r="BP174" s="888"/>
    </row>
    <row r="175" spans="1:72" ht="22.5" customHeight="1" x14ac:dyDescent="0.3">
      <c r="A175" s="20"/>
      <c r="B175" s="1265"/>
      <c r="C175" s="1265"/>
      <c r="D175" s="1265"/>
      <c r="E175" s="1265"/>
      <c r="F175" s="1265"/>
      <c r="G175" s="1265"/>
      <c r="H175" s="1265"/>
      <c r="I175" s="1265"/>
      <c r="J175" s="1265"/>
      <c r="K175" s="1265"/>
      <c r="L175" s="1265"/>
      <c r="M175" s="1265"/>
      <c r="N175" s="1265"/>
      <c r="O175" s="1265"/>
      <c r="P175" s="1265"/>
      <c r="Q175" s="1265"/>
      <c r="R175" s="1265"/>
      <c r="S175" s="1265"/>
      <c r="T175" s="1265"/>
      <c r="U175" s="1265"/>
      <c r="V175" s="1265"/>
      <c r="W175" s="1265"/>
      <c r="X175" s="1265"/>
      <c r="Y175" s="1265"/>
      <c r="Z175" s="1265"/>
      <c r="AA175" s="1265"/>
      <c r="AB175" s="1265"/>
      <c r="AC175" s="1265"/>
      <c r="AD175" s="1265"/>
      <c r="AE175" s="1265"/>
      <c r="AF175" s="1265"/>
      <c r="AG175" s="1265"/>
      <c r="AH175" s="1265"/>
      <c r="AI175" s="1265"/>
      <c r="AJ175" s="1265"/>
      <c r="AK175" s="1265"/>
      <c r="AL175" s="1265"/>
      <c r="AM175" s="1265"/>
      <c r="AN175" s="1265"/>
      <c r="AO175" s="1265"/>
      <c r="AP175" s="1265"/>
      <c r="AQ175" s="1265"/>
      <c r="AR175" s="1265"/>
      <c r="AS175" s="1265"/>
      <c r="AT175" s="1265"/>
      <c r="AU175" s="1265"/>
      <c r="AV175" s="1265"/>
      <c r="AW175" s="1265"/>
      <c r="AX175" s="1265"/>
      <c r="AY175" s="1265"/>
      <c r="AZ175" s="1265"/>
      <c r="BA175" s="1265"/>
      <c r="BB175" s="1265"/>
      <c r="BC175" s="1265"/>
      <c r="BD175" s="1265"/>
      <c r="BE175" s="1265"/>
      <c r="BF175" s="1265"/>
      <c r="BG175" s="1265"/>
      <c r="BH175" s="1265"/>
      <c r="BI175" s="1265"/>
      <c r="BJ175" s="1265"/>
      <c r="BK175" s="1265"/>
      <c r="BL175" s="1265"/>
      <c r="BM175" s="1265"/>
      <c r="BN175" s="1257"/>
      <c r="BO175" s="888"/>
      <c r="BP175" s="888"/>
    </row>
    <row r="176" spans="1:72" ht="22.5" customHeight="1" x14ac:dyDescent="0.3">
      <c r="A176" s="20"/>
      <c r="B176" s="1284"/>
      <c r="C176" s="1285"/>
      <c r="D176" s="1285"/>
      <c r="E176" s="1285" t="s">
        <v>291</v>
      </c>
      <c r="F176" s="1286"/>
      <c r="G176" s="1286"/>
      <c r="H176" s="1285"/>
      <c r="I176" s="1287"/>
      <c r="J176" s="1284"/>
      <c r="K176" s="1285"/>
      <c r="L176" s="1285"/>
      <c r="M176" s="1285" t="s">
        <v>292</v>
      </c>
      <c r="N176" s="1286"/>
      <c r="O176" s="1286"/>
      <c r="P176" s="1285"/>
      <c r="Q176" s="1287"/>
      <c r="R176" s="1284"/>
      <c r="S176" s="1285"/>
      <c r="T176" s="1285"/>
      <c r="U176" s="1285" t="s">
        <v>293</v>
      </c>
      <c r="V176" s="1286"/>
      <c r="W176" s="1286"/>
      <c r="X176" s="1285"/>
      <c r="Y176" s="1287"/>
      <c r="Z176" s="1284"/>
      <c r="AA176" s="1285"/>
      <c r="AB176" s="1285"/>
      <c r="AC176" s="1285" t="s">
        <v>294</v>
      </c>
      <c r="AD176" s="1286"/>
      <c r="AE176" s="1286"/>
      <c r="AF176" s="1285"/>
      <c r="AG176" s="1287"/>
      <c r="AH176" s="1284"/>
      <c r="AI176" s="1285"/>
      <c r="AJ176" s="1285"/>
      <c r="AK176" s="1285" t="s">
        <v>295</v>
      </c>
      <c r="AL176" s="1286"/>
      <c r="AM176" s="1286"/>
      <c r="AN176" s="1285"/>
      <c r="AO176" s="1287"/>
      <c r="AP176" s="1284"/>
      <c r="AQ176" s="1285"/>
      <c r="AR176" s="1285"/>
      <c r="AS176" s="1285" t="s">
        <v>296</v>
      </c>
      <c r="AT176" s="1286"/>
      <c r="AU176" s="1286"/>
      <c r="AV176" s="1285"/>
      <c r="AW176" s="1287"/>
      <c r="AX176" s="1284"/>
      <c r="AY176" s="1285"/>
      <c r="AZ176" s="1285"/>
      <c r="BA176" s="1285" t="s">
        <v>297</v>
      </c>
      <c r="BB176" s="1286"/>
      <c r="BC176" s="1286"/>
      <c r="BD176" s="1285"/>
      <c r="BE176" s="1287"/>
      <c r="BF176" s="1284"/>
      <c r="BG176" s="1285"/>
      <c r="BH176" s="1285"/>
      <c r="BI176" s="1285" t="s">
        <v>298</v>
      </c>
      <c r="BJ176" s="1286"/>
      <c r="BK176" s="1286"/>
      <c r="BL176" s="1285"/>
      <c r="BM176" s="1285"/>
      <c r="BN176" s="1257"/>
      <c r="BO176" s="888"/>
      <c r="BP176" s="888"/>
    </row>
    <row r="177" spans="1:124" ht="22.5" customHeight="1" x14ac:dyDescent="0.3">
      <c r="A177" s="20"/>
      <c r="B177" s="1291" t="s">
        <v>1001</v>
      </c>
      <c r="C177" s="1291" t="s">
        <v>288</v>
      </c>
      <c r="D177" s="1291" t="s">
        <v>289</v>
      </c>
      <c r="E177" s="1291" t="s">
        <v>1002</v>
      </c>
      <c r="F177" s="1291" t="s">
        <v>1003</v>
      </c>
      <c r="G177" s="1291" t="s">
        <v>1004</v>
      </c>
      <c r="H177" s="1291" t="s">
        <v>1005</v>
      </c>
      <c r="I177" s="1291" t="s">
        <v>290</v>
      </c>
      <c r="J177" s="1291" t="s">
        <v>1001</v>
      </c>
      <c r="K177" s="1291" t="s">
        <v>288</v>
      </c>
      <c r="L177" s="1291" t="s">
        <v>289</v>
      </c>
      <c r="M177" s="1291" t="s">
        <v>1002</v>
      </c>
      <c r="N177" s="1291" t="s">
        <v>1003</v>
      </c>
      <c r="O177" s="1291" t="s">
        <v>1004</v>
      </c>
      <c r="P177" s="1291" t="s">
        <v>1005</v>
      </c>
      <c r="Q177" s="1291" t="s">
        <v>290</v>
      </c>
      <c r="R177" s="1291" t="s">
        <v>1001</v>
      </c>
      <c r="S177" s="1291" t="s">
        <v>288</v>
      </c>
      <c r="T177" s="1291" t="s">
        <v>289</v>
      </c>
      <c r="U177" s="1291" t="s">
        <v>1002</v>
      </c>
      <c r="V177" s="1291" t="s">
        <v>1003</v>
      </c>
      <c r="W177" s="1291" t="s">
        <v>1004</v>
      </c>
      <c r="X177" s="1291" t="s">
        <v>1005</v>
      </c>
      <c r="Y177" s="1291" t="s">
        <v>290</v>
      </c>
      <c r="Z177" s="1291" t="s">
        <v>1001</v>
      </c>
      <c r="AA177" s="1291" t="s">
        <v>288</v>
      </c>
      <c r="AB177" s="1291" t="s">
        <v>289</v>
      </c>
      <c r="AC177" s="1291" t="s">
        <v>1002</v>
      </c>
      <c r="AD177" s="1291" t="s">
        <v>1003</v>
      </c>
      <c r="AE177" s="1291" t="s">
        <v>1004</v>
      </c>
      <c r="AF177" s="1291" t="s">
        <v>1005</v>
      </c>
      <c r="AG177" s="1291" t="s">
        <v>290</v>
      </c>
      <c r="AH177" s="1291" t="s">
        <v>1001</v>
      </c>
      <c r="AI177" s="1291" t="s">
        <v>288</v>
      </c>
      <c r="AJ177" s="1291" t="s">
        <v>289</v>
      </c>
      <c r="AK177" s="1291" t="s">
        <v>1002</v>
      </c>
      <c r="AL177" s="1291" t="s">
        <v>1003</v>
      </c>
      <c r="AM177" s="1291" t="s">
        <v>1004</v>
      </c>
      <c r="AN177" s="1291" t="s">
        <v>1005</v>
      </c>
      <c r="AO177" s="1291" t="s">
        <v>290</v>
      </c>
      <c r="AP177" s="1291" t="s">
        <v>1001</v>
      </c>
      <c r="AQ177" s="1291" t="s">
        <v>288</v>
      </c>
      <c r="AR177" s="1291" t="s">
        <v>289</v>
      </c>
      <c r="AS177" s="1291" t="s">
        <v>1002</v>
      </c>
      <c r="AT177" s="1291" t="s">
        <v>1003</v>
      </c>
      <c r="AU177" s="1291" t="s">
        <v>1004</v>
      </c>
      <c r="AV177" s="1291" t="s">
        <v>1005</v>
      </c>
      <c r="AW177" s="1291" t="s">
        <v>290</v>
      </c>
      <c r="AX177" s="1291" t="s">
        <v>1001</v>
      </c>
      <c r="AY177" s="1291" t="s">
        <v>288</v>
      </c>
      <c r="AZ177" s="1291" t="s">
        <v>289</v>
      </c>
      <c r="BA177" s="1291" t="s">
        <v>1002</v>
      </c>
      <c r="BB177" s="1291" t="s">
        <v>1003</v>
      </c>
      <c r="BC177" s="1291" t="s">
        <v>1004</v>
      </c>
      <c r="BD177" s="1291" t="s">
        <v>1005</v>
      </c>
      <c r="BE177" s="1291" t="s">
        <v>290</v>
      </c>
      <c r="BF177" s="1291" t="s">
        <v>1001</v>
      </c>
      <c r="BG177" s="1291" t="s">
        <v>288</v>
      </c>
      <c r="BH177" s="1291" t="s">
        <v>289</v>
      </c>
      <c r="BI177" s="1291" t="s">
        <v>1002</v>
      </c>
      <c r="BJ177" s="1291" t="s">
        <v>1003</v>
      </c>
      <c r="BK177" s="1291" t="s">
        <v>1004</v>
      </c>
      <c r="BL177" s="1291" t="s">
        <v>1005</v>
      </c>
      <c r="BM177" s="1292" t="s">
        <v>290</v>
      </c>
      <c r="BN177" s="1257"/>
      <c r="BO177" s="888"/>
      <c r="BP177" s="888"/>
    </row>
    <row r="178" spans="1:124" ht="24.75" customHeight="1" x14ac:dyDescent="0.3">
      <c r="A178" s="1228">
        <v>1</v>
      </c>
      <c r="B178" s="1233" t="str">
        <f>K111</f>
        <v>резерв</v>
      </c>
      <c r="C178" s="1233">
        <f>K112</f>
        <v>0</v>
      </c>
      <c r="D178" s="1233">
        <f>K113</f>
        <v>0</v>
      </c>
      <c r="E178" s="1233">
        <f>K115</f>
        <v>0</v>
      </c>
      <c r="F178" s="1233">
        <f>K116</f>
        <v>0</v>
      </c>
      <c r="G178" s="1233">
        <f>K117</f>
        <v>0</v>
      </c>
      <c r="H178" s="1233">
        <f>K119</f>
        <v>0</v>
      </c>
      <c r="I178" s="1233">
        <f>K120</f>
        <v>0</v>
      </c>
      <c r="J178" s="1233">
        <f>L111</f>
        <v>147</v>
      </c>
      <c r="K178" s="1233">
        <f>L112</f>
        <v>0</v>
      </c>
      <c r="L178" s="1233">
        <f>L113</f>
        <v>0</v>
      </c>
      <c r="M178" s="1233">
        <f>L115</f>
        <v>426</v>
      </c>
      <c r="N178" s="1233">
        <f>L116</f>
        <v>9.6</v>
      </c>
      <c r="O178" s="1233">
        <f>L117</f>
        <v>171</v>
      </c>
      <c r="P178" s="1233">
        <f>L119</f>
        <v>540</v>
      </c>
      <c r="Q178" s="1233">
        <f>L120</f>
        <v>0</v>
      </c>
      <c r="R178" s="1233">
        <f>M111</f>
        <v>164</v>
      </c>
      <c r="S178" s="1233">
        <f>M112</f>
        <v>0</v>
      </c>
      <c r="T178" s="1233">
        <f>M113</f>
        <v>0</v>
      </c>
      <c r="U178" s="1233">
        <f>M115</f>
        <v>366</v>
      </c>
      <c r="V178" s="1233">
        <f>M116</f>
        <v>9</v>
      </c>
      <c r="W178" s="1233">
        <f>M117</f>
        <v>141</v>
      </c>
      <c r="X178" s="1233">
        <f>M119</f>
        <v>450</v>
      </c>
      <c r="Y178" s="1233">
        <f>M120</f>
        <v>0</v>
      </c>
      <c r="Z178" s="1233">
        <f>N111</f>
        <v>161</v>
      </c>
      <c r="AA178" s="1233">
        <f>N112</f>
        <v>0</v>
      </c>
      <c r="AB178" s="1233">
        <f>N113</f>
        <v>0</v>
      </c>
      <c r="AC178" s="1233">
        <f>N115</f>
        <v>412</v>
      </c>
      <c r="AD178" s="1233">
        <f>N116</f>
        <v>9.1999999999999993</v>
      </c>
      <c r="AE178" s="1233">
        <f>N117</f>
        <v>180</v>
      </c>
      <c r="AF178" s="1233">
        <f>N119</f>
        <v>540</v>
      </c>
      <c r="AG178" s="1233">
        <f>N120</f>
        <v>0</v>
      </c>
      <c r="AH178" s="1233" t="str">
        <f>O111</f>
        <v>резерв</v>
      </c>
      <c r="AI178" s="1233">
        <f>O112</f>
        <v>0</v>
      </c>
      <c r="AJ178" s="1233">
        <f>O113</f>
        <v>0</v>
      </c>
      <c r="AK178" s="1233">
        <f>O115</f>
        <v>0</v>
      </c>
      <c r="AL178" s="1233">
        <f>O116</f>
        <v>0</v>
      </c>
      <c r="AM178" s="1233">
        <f>O117</f>
        <v>0</v>
      </c>
      <c r="AN178" s="1233">
        <f>O119</f>
        <v>0</v>
      </c>
      <c r="AO178" s="1233">
        <f>O120</f>
        <v>0</v>
      </c>
      <c r="AP178" s="1266">
        <f>P111</f>
        <v>150</v>
      </c>
      <c r="AQ178" s="1266">
        <f>P112</f>
        <v>0</v>
      </c>
      <c r="AR178" s="1266">
        <f>P113</f>
        <v>0</v>
      </c>
      <c r="AS178" s="1266">
        <f>P115</f>
        <v>411</v>
      </c>
      <c r="AT178" s="1266">
        <f>P116</f>
        <v>9</v>
      </c>
      <c r="AU178" s="1266">
        <f>P117</f>
        <v>142</v>
      </c>
      <c r="AV178" s="1266">
        <f>P119</f>
        <v>540</v>
      </c>
      <c r="AW178" s="1266">
        <f>P120</f>
        <v>0</v>
      </c>
      <c r="AX178" s="1233">
        <f>Q111</f>
        <v>163</v>
      </c>
      <c r="AY178" s="1233">
        <f>Q112</f>
        <v>0</v>
      </c>
      <c r="AZ178" s="1233">
        <f>Q113</f>
        <v>0</v>
      </c>
      <c r="BA178" s="1233">
        <f>Q115</f>
        <v>433</v>
      </c>
      <c r="BB178" s="1233">
        <f>Q116</f>
        <v>9.1999999999999993</v>
      </c>
      <c r="BC178" s="1233">
        <f>Q117</f>
        <v>170</v>
      </c>
      <c r="BD178" s="1233">
        <f>Q119</f>
        <v>540</v>
      </c>
      <c r="BE178" s="1233">
        <f>Q120</f>
        <v>0</v>
      </c>
      <c r="BF178" s="1233">
        <f>R111</f>
        <v>164</v>
      </c>
      <c r="BG178" s="1233">
        <f>R112</f>
        <v>0</v>
      </c>
      <c r="BH178" s="1233">
        <f>R113</f>
        <v>0</v>
      </c>
      <c r="BI178" s="1233">
        <f>R115</f>
        <v>474</v>
      </c>
      <c r="BJ178" s="1233">
        <f>R116</f>
        <v>9.4</v>
      </c>
      <c r="BK178" s="1233">
        <f>R117</f>
        <v>178</v>
      </c>
      <c r="BL178" s="1233">
        <f>R119</f>
        <v>540</v>
      </c>
      <c r="BM178" s="1233">
        <f>R120</f>
        <v>0</v>
      </c>
      <c r="BN178" s="1257"/>
      <c r="BO178" s="888"/>
      <c r="BP178" s="888"/>
    </row>
    <row r="179" spans="1:124" ht="24.75" customHeight="1" x14ac:dyDescent="0.3">
      <c r="A179" s="1259">
        <v>2</v>
      </c>
      <c r="B179" s="1260" t="str">
        <f>AS111</f>
        <v>рез</v>
      </c>
      <c r="C179" s="1260">
        <f>AS112</f>
        <v>0</v>
      </c>
      <c r="D179" s="1260">
        <f>AS113</f>
        <v>0</v>
      </c>
      <c r="E179" s="1260">
        <f>AS115</f>
        <v>0</v>
      </c>
      <c r="F179" s="1260">
        <f>AS116</f>
        <v>0</v>
      </c>
      <c r="G179" s="1260">
        <f>AS117</f>
        <v>0</v>
      </c>
      <c r="H179" s="1260">
        <f>AS119</f>
        <v>0</v>
      </c>
      <c r="I179" s="1260">
        <f>AS120</f>
        <v>0</v>
      </c>
      <c r="J179" s="1260" t="str">
        <f>AT111</f>
        <v>рем</v>
      </c>
      <c r="K179" s="1260">
        <f>AT112</f>
        <v>0</v>
      </c>
      <c r="L179" s="1260">
        <f>AT113</f>
        <v>0</v>
      </c>
      <c r="M179" s="1260">
        <f>AT115</f>
        <v>0</v>
      </c>
      <c r="N179" s="1260">
        <f>AT116</f>
        <v>0</v>
      </c>
      <c r="O179" s="1260">
        <f>AT117</f>
        <v>0</v>
      </c>
      <c r="P179" s="1260">
        <f>AT119</f>
        <v>0</v>
      </c>
      <c r="Q179" s="1260">
        <f>AT120</f>
        <v>0</v>
      </c>
      <c r="R179" s="1260">
        <f>AU111</f>
        <v>150</v>
      </c>
      <c r="S179" s="1260">
        <f>AU112</f>
        <v>96</v>
      </c>
      <c r="T179" s="1260">
        <f>AU113</f>
        <v>-1</v>
      </c>
      <c r="U179" s="1260">
        <f>AU115</f>
        <v>358</v>
      </c>
      <c r="V179" s="1260">
        <f>AU116</f>
        <v>0</v>
      </c>
      <c r="W179" s="1260">
        <f>AU117</f>
        <v>141</v>
      </c>
      <c r="X179" s="1260">
        <f>AU119</f>
        <v>450</v>
      </c>
      <c r="Y179" s="1260">
        <f>AU120</f>
        <v>-5</v>
      </c>
      <c r="Z179" s="1260">
        <f>AV111</f>
        <v>151</v>
      </c>
      <c r="AA179" s="1260">
        <f>AV112</f>
        <v>91</v>
      </c>
      <c r="AB179" s="1260">
        <f>AV113</f>
        <v>-1</v>
      </c>
      <c r="AC179" s="1260">
        <f>AV115</f>
        <v>417</v>
      </c>
      <c r="AD179" s="1260">
        <f>AV116</f>
        <v>0</v>
      </c>
      <c r="AE179" s="1260">
        <f>AV117</f>
        <v>176</v>
      </c>
      <c r="AF179" s="1260">
        <f>AV119</f>
        <v>540</v>
      </c>
      <c r="AG179" s="1260">
        <f>AV120</f>
        <v>-5</v>
      </c>
      <c r="AH179" s="1260">
        <f>AW111</f>
        <v>153</v>
      </c>
      <c r="AI179" s="1260">
        <f>AW112</f>
        <v>91</v>
      </c>
      <c r="AJ179" s="1260">
        <f>AW113</f>
        <v>-1</v>
      </c>
      <c r="AK179" s="1260">
        <f>AW115</f>
        <v>330</v>
      </c>
      <c r="AL179" s="1260">
        <f>AW116</f>
        <v>0</v>
      </c>
      <c r="AM179" s="1260">
        <f>AW117</f>
        <v>140</v>
      </c>
      <c r="AN179" s="1260">
        <f>AW119</f>
        <v>540</v>
      </c>
      <c r="AO179" s="1260">
        <f>AW120</f>
        <v>-2</v>
      </c>
      <c r="AP179" s="1267" t="str">
        <f>AX111</f>
        <v>рез</v>
      </c>
      <c r="AQ179" s="1267">
        <f>AX112</f>
        <v>0</v>
      </c>
      <c r="AR179" s="1267">
        <f>AX113</f>
        <v>0</v>
      </c>
      <c r="AS179" s="1267">
        <f>AX115</f>
        <v>0</v>
      </c>
      <c r="AT179" s="1267">
        <f>AX116</f>
        <v>0</v>
      </c>
      <c r="AU179" s="1267">
        <f>AX117</f>
        <v>0</v>
      </c>
      <c r="AV179" s="1267">
        <f>AX119</f>
        <v>0</v>
      </c>
      <c r="AW179" s="1267">
        <f>AX120</f>
        <v>0</v>
      </c>
      <c r="AX179" s="1260">
        <f>AY111</f>
        <v>152</v>
      </c>
      <c r="AY179" s="1260">
        <f>AY112</f>
        <v>96</v>
      </c>
      <c r="AZ179" s="1260">
        <f>AY113</f>
        <v>-1</v>
      </c>
      <c r="BA179" s="1260">
        <f>AY115</f>
        <v>432</v>
      </c>
      <c r="BB179" s="1260">
        <f>AY116</f>
        <v>0</v>
      </c>
      <c r="BC179" s="1260">
        <f>AY117</f>
        <v>166</v>
      </c>
      <c r="BD179" s="1260">
        <f>AY119</f>
        <v>540</v>
      </c>
      <c r="BE179" s="1260">
        <f>AY120</f>
        <v>-2</v>
      </c>
      <c r="BF179" s="1260">
        <f>AZ111</f>
        <v>161</v>
      </c>
      <c r="BG179" s="1260">
        <f>AZ112</f>
        <v>92</v>
      </c>
      <c r="BH179" s="1260">
        <f>AZ113</f>
        <v>-1</v>
      </c>
      <c r="BI179" s="1260">
        <f>AZ115</f>
        <v>496</v>
      </c>
      <c r="BJ179" s="1260">
        <f>AZ116</f>
        <v>0</v>
      </c>
      <c r="BK179" s="1260">
        <f>AZ117</f>
        <v>174</v>
      </c>
      <c r="BL179" s="1260">
        <f>AZ119</f>
        <v>540</v>
      </c>
      <c r="BM179" s="1260">
        <f>AZ120</f>
        <v>-2</v>
      </c>
      <c r="BN179" s="1257"/>
      <c r="BO179" s="888"/>
      <c r="BP179" s="888"/>
    </row>
    <row r="180" spans="1:124" ht="24.75" customHeight="1" x14ac:dyDescent="0.3">
      <c r="A180" s="1276"/>
      <c r="B180" s="1236"/>
      <c r="C180" s="1236"/>
      <c r="D180" s="1236"/>
      <c r="E180" s="1236"/>
      <c r="F180" s="1236"/>
      <c r="G180" s="1236"/>
      <c r="H180" s="1236"/>
      <c r="I180" s="1236"/>
      <c r="J180" s="1236"/>
      <c r="K180" s="1236"/>
      <c r="L180" s="1236"/>
      <c r="M180" s="1236"/>
      <c r="N180" s="1236"/>
      <c r="O180" s="1236"/>
      <c r="P180" s="1236"/>
      <c r="Q180" s="1236"/>
      <c r="R180" s="1236"/>
      <c r="S180" s="1236"/>
      <c r="T180" s="1236"/>
      <c r="U180" s="1236"/>
      <c r="V180" s="1236"/>
      <c r="W180" s="1236"/>
      <c r="X180" s="1236"/>
      <c r="Y180" s="1236"/>
      <c r="Z180" s="1236"/>
      <c r="AA180" s="1236"/>
      <c r="AB180" s="1236"/>
      <c r="AC180" s="1236"/>
      <c r="AD180" s="1236"/>
      <c r="AE180" s="1236"/>
      <c r="AF180" s="1236"/>
      <c r="AG180" s="1236"/>
      <c r="AH180" s="1236"/>
      <c r="AI180" s="1236"/>
      <c r="AJ180" s="1236"/>
      <c r="AK180" s="1236"/>
      <c r="AL180" s="1236"/>
      <c r="AM180" s="1236"/>
      <c r="AN180" s="1236"/>
      <c r="AO180" s="1236"/>
      <c r="AP180" s="1268"/>
      <c r="AQ180" s="1268"/>
      <c r="AR180" s="1268"/>
      <c r="AS180" s="1268"/>
      <c r="AT180" s="1268"/>
      <c r="AU180" s="1268"/>
      <c r="AV180" s="1268"/>
      <c r="AW180" s="1268"/>
      <c r="AX180" s="1236"/>
      <c r="AY180" s="1236"/>
      <c r="AZ180" s="1236"/>
      <c r="BA180" s="1236"/>
      <c r="BB180" s="1236"/>
      <c r="BC180" s="1236"/>
      <c r="BD180" s="1236"/>
      <c r="BE180" s="1236"/>
      <c r="BF180" s="1236"/>
      <c r="BG180" s="1236"/>
      <c r="BH180" s="1236"/>
      <c r="BI180" s="1236"/>
      <c r="BJ180" s="1236"/>
      <c r="BK180" s="1236"/>
      <c r="BL180" s="1236"/>
      <c r="BM180" s="1236"/>
      <c r="BN180" s="1257"/>
      <c r="BO180" s="888"/>
      <c r="BP180" s="888"/>
    </row>
    <row r="181" spans="1:124" ht="24.75" customHeight="1" x14ac:dyDescent="0.3">
      <c r="A181" s="20"/>
      <c r="B181" s="1265"/>
      <c r="C181" s="1265"/>
      <c r="D181" s="1265"/>
      <c r="E181" s="1265"/>
      <c r="F181" s="1265"/>
      <c r="G181" s="1265"/>
      <c r="H181" s="1265"/>
      <c r="I181" s="1265"/>
      <c r="J181" s="1265"/>
      <c r="K181" s="1265"/>
      <c r="L181" s="1265"/>
      <c r="M181" s="1265"/>
      <c r="N181" s="1265"/>
      <c r="O181" s="1265"/>
      <c r="P181" s="1265"/>
      <c r="Q181" s="1265"/>
      <c r="R181" s="1265"/>
      <c r="S181" s="1265"/>
      <c r="T181" s="1265"/>
      <c r="U181" s="1265"/>
      <c r="V181" s="1265"/>
      <c r="W181" s="1265"/>
      <c r="X181" s="1265"/>
      <c r="Y181" s="1265"/>
      <c r="Z181" s="1265"/>
      <c r="AA181" s="1265"/>
      <c r="AB181" s="1265"/>
      <c r="AC181" s="1265"/>
      <c r="AD181" s="1265"/>
      <c r="AE181" s="1265"/>
      <c r="AF181" s="1265"/>
      <c r="AG181" s="1265"/>
      <c r="AH181" s="1265"/>
      <c r="AI181" s="1265"/>
      <c r="AJ181" s="1265"/>
      <c r="AK181" s="1265"/>
      <c r="AL181" s="1265"/>
      <c r="AM181" s="1265"/>
      <c r="AN181" s="1265"/>
      <c r="AO181" s="1265"/>
      <c r="AP181" s="1265"/>
      <c r="AQ181" s="1265"/>
      <c r="AR181" s="1265"/>
      <c r="AS181" s="1265"/>
      <c r="AT181" s="1265"/>
      <c r="AU181" s="1265"/>
      <c r="AV181" s="1265"/>
      <c r="AW181" s="1265"/>
      <c r="AX181" s="1265"/>
      <c r="AY181" s="1265"/>
      <c r="AZ181" s="1265"/>
      <c r="BA181" s="1265"/>
      <c r="BB181" s="1265"/>
      <c r="BC181" s="1265"/>
      <c r="BD181" s="1265"/>
      <c r="BE181" s="1265"/>
      <c r="BF181" s="1265"/>
      <c r="BG181" s="1265"/>
      <c r="BH181" s="1265"/>
      <c r="BI181" s="1265"/>
      <c r="BJ181" s="1265"/>
      <c r="BK181" s="1265"/>
      <c r="BL181" s="1265"/>
      <c r="BM181" s="1265"/>
      <c r="BN181" s="1257"/>
      <c r="BO181" s="888"/>
      <c r="BP181" s="888"/>
    </row>
    <row r="182" spans="1:124" ht="24.75" customHeight="1" x14ac:dyDescent="0.3">
      <c r="A182" s="20"/>
      <c r="B182" s="1283"/>
      <c r="C182" s="1283" t="s">
        <v>299</v>
      </c>
      <c r="D182" s="1283"/>
      <c r="E182" s="1283"/>
      <c r="F182" s="1283"/>
      <c r="G182" s="1283" t="s">
        <v>300</v>
      </c>
      <c r="H182" s="1283"/>
      <c r="I182" s="1283"/>
      <c r="J182" s="1283" t="s">
        <v>301</v>
      </c>
      <c r="K182" s="1283"/>
      <c r="L182" s="1283"/>
      <c r="M182" s="1283" t="s">
        <v>302</v>
      </c>
      <c r="N182" s="1283"/>
      <c r="O182" s="1283"/>
      <c r="P182" s="1283" t="s">
        <v>303</v>
      </c>
      <c r="Q182" s="1283"/>
      <c r="R182" s="1283"/>
      <c r="S182" s="1283" t="s">
        <v>304</v>
      </c>
      <c r="T182" s="1283"/>
      <c r="U182" s="1283"/>
      <c r="V182" s="1283" t="s">
        <v>305</v>
      </c>
      <c r="W182" s="1283"/>
      <c r="X182" s="1283"/>
      <c r="Y182" s="1283" t="s">
        <v>306</v>
      </c>
      <c r="Z182" s="1283"/>
      <c r="AA182" s="1283"/>
      <c r="AB182" s="1283" t="s">
        <v>307</v>
      </c>
      <c r="AC182" s="1283"/>
      <c r="AD182" s="1269"/>
      <c r="AE182" s="1270"/>
      <c r="AF182" s="116"/>
      <c r="AG182" s="116"/>
      <c r="AH182" s="116"/>
      <c r="AI182" s="116"/>
      <c r="AJ182" s="116"/>
      <c r="AK182" s="116"/>
      <c r="AL182" s="1270"/>
      <c r="AM182" s="1270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0"/>
      <c r="BC182" s="1270"/>
      <c r="BD182" s="116"/>
      <c r="BE182" s="116"/>
      <c r="BF182" s="116"/>
      <c r="BG182" s="116"/>
      <c r="BH182" s="116"/>
      <c r="BI182" s="116"/>
      <c r="BJ182" s="1270"/>
      <c r="BK182" s="1270"/>
      <c r="BL182" s="116"/>
      <c r="BM182" s="116"/>
      <c r="BN182" s="1257"/>
      <c r="BO182" s="888"/>
      <c r="BP182" s="888"/>
    </row>
    <row r="183" spans="1:124" ht="24.75" customHeight="1" x14ac:dyDescent="0.3">
      <c r="A183" s="20"/>
      <c r="B183" s="1279" t="s">
        <v>1292</v>
      </c>
      <c r="C183" s="1279" t="s">
        <v>1293</v>
      </c>
      <c r="D183" s="1279" t="s">
        <v>68</v>
      </c>
      <c r="E183" s="1279" t="s">
        <v>245</v>
      </c>
      <c r="F183" s="1279" t="s">
        <v>66</v>
      </c>
      <c r="G183" s="1279" t="s">
        <v>41</v>
      </c>
      <c r="H183" s="1279" t="s">
        <v>308</v>
      </c>
      <c r="I183" s="1279" t="s">
        <v>66</v>
      </c>
      <c r="J183" s="1279" t="s">
        <v>41</v>
      </c>
      <c r="K183" s="1279" t="s">
        <v>308</v>
      </c>
      <c r="L183" s="1279" t="s">
        <v>66</v>
      </c>
      <c r="M183" s="1279" t="s">
        <v>41</v>
      </c>
      <c r="N183" s="1279" t="s">
        <v>308</v>
      </c>
      <c r="O183" s="1279" t="s">
        <v>66</v>
      </c>
      <c r="P183" s="1279" t="s">
        <v>41</v>
      </c>
      <c r="Q183" s="1279" t="s">
        <v>308</v>
      </c>
      <c r="R183" s="1279" t="s">
        <v>66</v>
      </c>
      <c r="S183" s="1279" t="s">
        <v>41</v>
      </c>
      <c r="T183" s="1279" t="s">
        <v>308</v>
      </c>
      <c r="U183" s="1279" t="s">
        <v>66</v>
      </c>
      <c r="V183" s="1279" t="s">
        <v>41</v>
      </c>
      <c r="W183" s="1279" t="s">
        <v>308</v>
      </c>
      <c r="X183" s="1279" t="s">
        <v>66</v>
      </c>
      <c r="Y183" s="1279" t="s">
        <v>41</v>
      </c>
      <c r="Z183" s="1279" t="s">
        <v>308</v>
      </c>
      <c r="AA183" s="1279" t="s">
        <v>66</v>
      </c>
      <c r="AB183" s="1279" t="s">
        <v>41</v>
      </c>
      <c r="AC183" s="1279" t="s">
        <v>308</v>
      </c>
      <c r="AD183" s="673"/>
      <c r="AE183" s="854"/>
      <c r="AF183" s="854"/>
      <c r="AG183" s="854"/>
      <c r="AH183" s="854"/>
      <c r="AI183" s="854"/>
      <c r="AJ183" s="854"/>
      <c r="AK183" s="854"/>
      <c r="AL183" s="854"/>
      <c r="AM183" s="854"/>
      <c r="AN183" s="854"/>
      <c r="AO183" s="854"/>
      <c r="AP183" s="854"/>
      <c r="AQ183" s="854"/>
      <c r="AR183" s="854"/>
      <c r="AS183" s="854"/>
      <c r="AT183" s="854"/>
      <c r="AU183" s="854"/>
      <c r="AV183" s="854"/>
      <c r="AW183" s="854"/>
      <c r="AX183" s="854"/>
      <c r="AY183" s="854"/>
      <c r="AZ183" s="854"/>
      <c r="BA183" s="854"/>
      <c r="BB183" s="854"/>
      <c r="BC183" s="854"/>
      <c r="BD183" s="854"/>
      <c r="BE183" s="854"/>
      <c r="BF183" s="854"/>
      <c r="BG183" s="854"/>
      <c r="BH183" s="854"/>
      <c r="BI183" s="854"/>
      <c r="BJ183" s="854"/>
      <c r="BK183" s="854"/>
      <c r="BL183" s="854"/>
      <c r="BM183" s="854"/>
      <c r="BN183" s="1257"/>
      <c r="BO183" s="888"/>
      <c r="BP183" s="888"/>
    </row>
    <row r="184" spans="1:124" ht="24.75" customHeight="1" x14ac:dyDescent="0.3">
      <c r="A184" s="1228">
        <v>1</v>
      </c>
      <c r="B184" s="1233">
        <f>V111</f>
        <v>30</v>
      </c>
      <c r="C184" s="1233">
        <f>V112</f>
        <v>252</v>
      </c>
      <c r="D184" s="1233">
        <f>V113</f>
        <v>3.4</v>
      </c>
      <c r="E184" s="1233">
        <f>V114</f>
        <v>36</v>
      </c>
      <c r="F184" s="1233">
        <f>Y111</f>
        <v>26</v>
      </c>
      <c r="G184" s="1233">
        <f>Y112</f>
        <v>-0.5</v>
      </c>
      <c r="H184" s="1233">
        <f>Y113</f>
        <v>180</v>
      </c>
      <c r="I184" s="1233" t="str">
        <f>Z111</f>
        <v>резерв</v>
      </c>
      <c r="J184" s="1233">
        <f>Z112</f>
        <v>0</v>
      </c>
      <c r="K184" s="1233">
        <f>Z113</f>
        <v>0</v>
      </c>
      <c r="L184" s="1233">
        <f>AA111</f>
        <v>25</v>
      </c>
      <c r="M184" s="1233">
        <f>AA112</f>
        <v>-0.5</v>
      </c>
      <c r="N184" s="1233">
        <f>AA113</f>
        <v>178</v>
      </c>
      <c r="O184" s="1233">
        <f>AB111</f>
        <v>26</v>
      </c>
      <c r="P184" s="1233">
        <f>AB112</f>
        <v>-0.5</v>
      </c>
      <c r="Q184" s="1233">
        <f>AB113</f>
        <v>180</v>
      </c>
      <c r="R184" s="1233">
        <f>AC111</f>
        <v>26</v>
      </c>
      <c r="S184" s="1233">
        <f>AC112</f>
        <v>-0.5</v>
      </c>
      <c r="T184" s="1233">
        <f>AC113</f>
        <v>179</v>
      </c>
      <c r="U184" s="1233">
        <f>AD111</f>
        <v>25</v>
      </c>
      <c r="V184" s="1233">
        <f>AD112</f>
        <v>-0.5</v>
      </c>
      <c r="W184" s="1233">
        <f>AD113</f>
        <v>180</v>
      </c>
      <c r="X184" s="1233">
        <f>AE111</f>
        <v>24</v>
      </c>
      <c r="Y184" s="1233">
        <f>AE112</f>
        <v>-0.5</v>
      </c>
      <c r="Z184" s="1233">
        <f>AE113</f>
        <v>171</v>
      </c>
      <c r="AA184" s="1233" t="str">
        <f>AF111</f>
        <v>ремонт</v>
      </c>
      <c r="AB184" s="1233">
        <f>AF112</f>
        <v>0</v>
      </c>
      <c r="AC184" s="1233">
        <f>AF113</f>
        <v>0</v>
      </c>
      <c r="AD184" s="1271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4"/>
      <c r="AQ184" s="854"/>
      <c r="AR184" s="854"/>
      <c r="AS184" s="854"/>
      <c r="AT184" s="854"/>
      <c r="AU184" s="854"/>
      <c r="AV184" s="854"/>
      <c r="AW184" s="854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7"/>
      <c r="BO184" s="888"/>
      <c r="BP184" s="888"/>
    </row>
    <row r="185" spans="1:124" ht="24.75" customHeight="1" x14ac:dyDescent="0.3">
      <c r="A185" s="1259">
        <v>2</v>
      </c>
      <c r="B185" s="1233">
        <f>BD111</f>
        <v>30</v>
      </c>
      <c r="C185" s="1233">
        <f>BD112</f>
        <v>250</v>
      </c>
      <c r="D185" s="1233">
        <f>BD113</f>
        <v>3.2</v>
      </c>
      <c r="E185" s="1233">
        <f>BD114</f>
        <v>34</v>
      </c>
      <c r="F185" s="1233">
        <f>BG111</f>
        <v>23</v>
      </c>
      <c r="G185" s="1233">
        <f>BG112</f>
        <v>-1</v>
      </c>
      <c r="H185" s="1233">
        <f>BG113</f>
        <v>177</v>
      </c>
      <c r="I185" s="1233" t="str">
        <f>BH111</f>
        <v>рез</v>
      </c>
      <c r="J185" s="1233">
        <f>BH112</f>
        <v>0</v>
      </c>
      <c r="K185" s="1233">
        <f>BH113</f>
        <v>0</v>
      </c>
      <c r="L185" s="1233">
        <f>BI111</f>
        <v>22</v>
      </c>
      <c r="M185" s="1233">
        <f>BI112</f>
        <v>-1</v>
      </c>
      <c r="N185" s="1233">
        <f>BI113</f>
        <v>179</v>
      </c>
      <c r="O185" s="1233">
        <f>BJ111</f>
        <v>23</v>
      </c>
      <c r="P185" s="1233">
        <f>BJ112</f>
        <v>-1</v>
      </c>
      <c r="Q185" s="1233">
        <f>BJ113</f>
        <v>173</v>
      </c>
      <c r="R185" s="1233">
        <f>BK111</f>
        <v>24</v>
      </c>
      <c r="S185" s="1233">
        <f>BK112</f>
        <v>-1</v>
      </c>
      <c r="T185" s="1233">
        <f>BK113</f>
        <v>172</v>
      </c>
      <c r="U185" s="1233">
        <f>BL111</f>
        <v>25</v>
      </c>
      <c r="V185" s="1233">
        <f>BL112</f>
        <v>-1</v>
      </c>
      <c r="W185" s="1233">
        <f>BL113</f>
        <v>178</v>
      </c>
      <c r="X185" s="1233">
        <f>BM111</f>
        <v>22</v>
      </c>
      <c r="Y185" s="1233">
        <f>BM112</f>
        <v>-1</v>
      </c>
      <c r="Z185" s="1233">
        <f>BM113</f>
        <v>175</v>
      </c>
      <c r="AA185" s="1233" t="str">
        <f>BN111</f>
        <v>рем</v>
      </c>
      <c r="AB185" s="1233">
        <f>BN112</f>
        <v>0</v>
      </c>
      <c r="AC185" s="1233">
        <f>BN113</f>
        <v>0</v>
      </c>
      <c r="AD185" s="1271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4"/>
      <c r="AQ185" s="854"/>
      <c r="AR185" s="854"/>
      <c r="AS185" s="854"/>
      <c r="AT185" s="854"/>
      <c r="AU185" s="854"/>
      <c r="AV185" s="854"/>
      <c r="AW185" s="854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7"/>
      <c r="BO185" s="888"/>
      <c r="BP185" s="888"/>
    </row>
    <row r="186" spans="1:124" ht="24.75" customHeight="1" x14ac:dyDescent="0.3"/>
    <row r="187" spans="1:124" ht="24.75" customHeight="1" x14ac:dyDescent="0.2">
      <c r="B187" s="1325" t="s">
        <v>19</v>
      </c>
      <c r="C187" s="2476" t="s">
        <v>1307</v>
      </c>
      <c r="D187" s="2477"/>
      <c r="E187" s="2478" t="s">
        <v>182</v>
      </c>
      <c r="F187" s="2478" t="s">
        <v>779</v>
      </c>
      <c r="G187" s="2479" t="s">
        <v>1713</v>
      </c>
      <c r="H187" s="2476"/>
      <c r="I187" s="2476"/>
      <c r="J187" s="2477"/>
      <c r="K187" s="2479" t="s">
        <v>158</v>
      </c>
      <c r="L187" s="2476"/>
      <c r="M187" s="2476"/>
      <c r="N187" s="2477"/>
      <c r="O187" s="2479" t="s">
        <v>1714</v>
      </c>
      <c r="P187" s="2476"/>
      <c r="Q187" s="2476"/>
      <c r="R187" s="2477"/>
      <c r="S187" s="2479" t="s">
        <v>1715</v>
      </c>
      <c r="T187" s="2476"/>
      <c r="U187" s="2476"/>
      <c r="V187" s="2476"/>
      <c r="W187" s="2477"/>
      <c r="X187" s="2479" t="s">
        <v>1716</v>
      </c>
      <c r="Y187" s="2476"/>
      <c r="Z187" s="2476"/>
      <c r="AA187" s="2476"/>
      <c r="AB187" s="2477"/>
      <c r="AC187" s="2479" t="s">
        <v>1717</v>
      </c>
      <c r="AD187" s="2476"/>
      <c r="AE187" s="2476"/>
      <c r="AF187" s="2476"/>
      <c r="AG187" s="2477"/>
      <c r="AH187" s="2479" t="s">
        <v>1718</v>
      </c>
      <c r="AI187" s="2476"/>
      <c r="AJ187" s="2476"/>
      <c r="AK187" s="2476"/>
      <c r="AL187" s="2476"/>
      <c r="AM187" s="2477"/>
      <c r="AN187" s="2479" t="s">
        <v>1719</v>
      </c>
      <c r="AO187" s="2476"/>
      <c r="AP187" s="2476"/>
      <c r="AQ187" s="2476"/>
      <c r="AR187" s="2476"/>
      <c r="AS187" s="2477"/>
      <c r="AT187" s="2479" t="s">
        <v>1720</v>
      </c>
      <c r="AU187" s="2476"/>
      <c r="AV187" s="2476"/>
      <c r="AW187" s="2476"/>
      <c r="AX187" s="2476"/>
      <c r="AY187" s="2477"/>
      <c r="AZ187" s="2479" t="s">
        <v>23</v>
      </c>
      <c r="BA187" s="2476"/>
      <c r="BB187" s="2476"/>
      <c r="BC187" s="2476"/>
      <c r="BD187" s="2477"/>
      <c r="BE187" s="2480" t="s">
        <v>185</v>
      </c>
      <c r="BF187" s="2480"/>
      <c r="BG187" s="2480"/>
      <c r="BH187" s="2480" t="s">
        <v>1721</v>
      </c>
      <c r="BI187" s="2480"/>
      <c r="BJ187" s="2480"/>
      <c r="BK187" s="2479" t="s">
        <v>1620</v>
      </c>
      <c r="BL187" s="2476"/>
      <c r="BM187" s="2477"/>
      <c r="BN187" s="2479" t="s">
        <v>1621</v>
      </c>
      <c r="BO187" s="2476"/>
      <c r="BP187" s="2477"/>
      <c r="BQ187" s="2479" t="s">
        <v>34</v>
      </c>
      <c r="BR187" s="2477"/>
      <c r="BS187" s="2479" t="s">
        <v>127</v>
      </c>
      <c r="BT187" s="2476"/>
      <c r="BU187" s="2476"/>
      <c r="BV187" s="2477"/>
      <c r="BW187" s="2480" t="s">
        <v>1722</v>
      </c>
      <c r="BX187" s="2480"/>
      <c r="BY187" s="2480"/>
      <c r="BZ187" s="2481"/>
      <c r="CA187" s="2481"/>
      <c r="CB187" s="2481"/>
      <c r="CC187" s="2481"/>
      <c r="CD187" s="2481"/>
      <c r="CE187" s="2481"/>
      <c r="CF187" s="2481"/>
      <c r="CG187" s="2481"/>
      <c r="CH187" s="2481"/>
      <c r="CI187" s="2481"/>
      <c r="CJ187" s="2481"/>
      <c r="CK187" s="2481"/>
      <c r="CL187" s="2481"/>
      <c r="CM187" s="2481"/>
      <c r="CN187" s="2479" t="s">
        <v>1723</v>
      </c>
      <c r="CO187" s="2477"/>
      <c r="CP187" s="2480" t="s">
        <v>1724</v>
      </c>
      <c r="CQ187" s="2480"/>
      <c r="CR187" s="2480"/>
      <c r="CS187" s="2480" t="s">
        <v>1725</v>
      </c>
      <c r="CT187" s="2480"/>
      <c r="CU187" s="2480"/>
      <c r="CV187" s="2482" t="s">
        <v>1333</v>
      </c>
      <c r="CW187" s="2482"/>
      <c r="CX187" s="2482"/>
      <c r="CY187" s="2482"/>
      <c r="CZ187" s="2482"/>
      <c r="DA187" s="2482"/>
      <c r="DB187" s="2482"/>
      <c r="DC187" s="2482"/>
      <c r="DD187" s="2482"/>
      <c r="DE187" s="1325" t="s">
        <v>0</v>
      </c>
      <c r="DF187" s="1325" t="s">
        <v>158</v>
      </c>
      <c r="DG187" s="1325" t="s">
        <v>1726</v>
      </c>
      <c r="DH187" s="1325" t="s">
        <v>1281</v>
      </c>
      <c r="DI187" s="1325" t="s">
        <v>1727</v>
      </c>
      <c r="DJ187" s="1325" t="s">
        <v>1728</v>
      </c>
      <c r="DK187" s="1325" t="s">
        <v>1729</v>
      </c>
      <c r="DL187" s="1325" t="s">
        <v>185</v>
      </c>
      <c r="DM187" s="1325" t="s">
        <v>30</v>
      </c>
      <c r="DN187" s="1325" t="s">
        <v>29</v>
      </c>
      <c r="DO187" s="1325" t="s">
        <v>1325</v>
      </c>
      <c r="DP187" s="1325" t="s">
        <v>1730</v>
      </c>
      <c r="DQ187" s="2483" t="s">
        <v>1731</v>
      </c>
      <c r="DR187" s="1325" t="s">
        <v>127</v>
      </c>
      <c r="DS187" s="1325" t="s">
        <v>959</v>
      </c>
      <c r="DT187" s="1325" t="s">
        <v>8</v>
      </c>
    </row>
    <row r="188" spans="1:124" ht="24.75" customHeight="1" x14ac:dyDescent="0.2">
      <c r="A188" s="2484" t="s">
        <v>1732</v>
      </c>
      <c r="B188" s="1384" t="s">
        <v>1275</v>
      </c>
      <c r="C188" s="1384" t="s">
        <v>1275</v>
      </c>
      <c r="D188" s="1384" t="s">
        <v>1309</v>
      </c>
      <c r="E188" s="1384" t="s">
        <v>1309</v>
      </c>
      <c r="F188" s="1384" t="s">
        <v>1309</v>
      </c>
      <c r="G188" s="1384" t="s">
        <v>1733</v>
      </c>
      <c r="H188" s="2485" t="s">
        <v>1279</v>
      </c>
      <c r="I188" s="1384" t="s">
        <v>1734</v>
      </c>
      <c r="J188" s="2486" t="s">
        <v>1309</v>
      </c>
      <c r="K188" s="2485" t="s">
        <v>1279</v>
      </c>
      <c r="L188" s="1384" t="s">
        <v>1733</v>
      </c>
      <c r="M188" s="2487" t="s">
        <v>1735</v>
      </c>
      <c r="N188" s="2486" t="s">
        <v>1309</v>
      </c>
      <c r="O188" s="2485" t="s">
        <v>1279</v>
      </c>
      <c r="P188" s="1384" t="s">
        <v>1733</v>
      </c>
      <c r="Q188" s="2487" t="s">
        <v>1735</v>
      </c>
      <c r="R188" s="2486" t="s">
        <v>1309</v>
      </c>
      <c r="S188" s="2485" t="s">
        <v>1279</v>
      </c>
      <c r="T188" s="1384" t="s">
        <v>1733</v>
      </c>
      <c r="U188" s="2487" t="s">
        <v>1735</v>
      </c>
      <c r="V188" s="2487" t="s">
        <v>1736</v>
      </c>
      <c r="W188" s="2486" t="s">
        <v>1309</v>
      </c>
      <c r="X188" s="2485" t="s">
        <v>1279</v>
      </c>
      <c r="Y188" s="1384" t="s">
        <v>1733</v>
      </c>
      <c r="Z188" s="2487" t="s">
        <v>1735</v>
      </c>
      <c r="AA188" s="2487" t="s">
        <v>1736</v>
      </c>
      <c r="AB188" s="2486" t="s">
        <v>1309</v>
      </c>
      <c r="AC188" s="2485" t="s">
        <v>1279</v>
      </c>
      <c r="AD188" s="1384" t="s">
        <v>1733</v>
      </c>
      <c r="AE188" s="2487" t="s">
        <v>1735</v>
      </c>
      <c r="AF188" s="2487" t="s">
        <v>1736</v>
      </c>
      <c r="AG188" s="2486" t="s">
        <v>1309</v>
      </c>
      <c r="AH188" s="2485" t="s">
        <v>1279</v>
      </c>
      <c r="AI188" s="1384" t="s">
        <v>1733</v>
      </c>
      <c r="AJ188" s="2487" t="s">
        <v>1735</v>
      </c>
      <c r="AK188" s="2487" t="s">
        <v>1736</v>
      </c>
      <c r="AL188" s="2486" t="s">
        <v>1309</v>
      </c>
      <c r="AM188" s="2486" t="s">
        <v>74</v>
      </c>
      <c r="AN188" s="2485" t="s">
        <v>1279</v>
      </c>
      <c r="AO188" s="1384" t="s">
        <v>1733</v>
      </c>
      <c r="AP188" s="2487" t="s">
        <v>1735</v>
      </c>
      <c r="AQ188" s="2487" t="s">
        <v>1736</v>
      </c>
      <c r="AR188" s="2486" t="s">
        <v>1309</v>
      </c>
      <c r="AS188" s="2486" t="s">
        <v>74</v>
      </c>
      <c r="AT188" s="2485" t="s">
        <v>1279</v>
      </c>
      <c r="AU188" s="1384" t="s">
        <v>1733</v>
      </c>
      <c r="AV188" s="2487" t="s">
        <v>1735</v>
      </c>
      <c r="AW188" s="2487" t="s">
        <v>1736</v>
      </c>
      <c r="AX188" s="2486" t="s">
        <v>1309</v>
      </c>
      <c r="AY188" s="2486" t="s">
        <v>74</v>
      </c>
      <c r="AZ188" s="2485" t="s">
        <v>1279</v>
      </c>
      <c r="BA188" s="1384" t="s">
        <v>1733</v>
      </c>
      <c r="BB188" s="2487" t="s">
        <v>1735</v>
      </c>
      <c r="BC188" s="2487" t="s">
        <v>1736</v>
      </c>
      <c r="BD188" s="2486" t="s">
        <v>1309</v>
      </c>
      <c r="BE188" s="1384" t="s">
        <v>13</v>
      </c>
      <c r="BF188" s="1384" t="s">
        <v>1275</v>
      </c>
      <c r="BG188" s="2485" t="s">
        <v>1279</v>
      </c>
      <c r="BH188" s="1384" t="s">
        <v>13</v>
      </c>
      <c r="BI188" s="1384" t="s">
        <v>1275</v>
      </c>
      <c r="BJ188" s="2485" t="s">
        <v>1279</v>
      </c>
      <c r="BK188" s="1384" t="s">
        <v>1275</v>
      </c>
      <c r="BL188" s="2485" t="s">
        <v>1279</v>
      </c>
      <c r="BM188" s="2486" t="s">
        <v>1309</v>
      </c>
      <c r="BN188" s="1384" t="s">
        <v>1275</v>
      </c>
      <c r="BO188" s="2485" t="s">
        <v>1279</v>
      </c>
      <c r="BP188" s="2486" t="s">
        <v>1309</v>
      </c>
      <c r="BQ188" s="2485" t="s">
        <v>1279</v>
      </c>
      <c r="BR188" s="2486" t="s">
        <v>1309</v>
      </c>
      <c r="BS188" s="2485" t="s">
        <v>1279</v>
      </c>
      <c r="BT188" s="2486" t="s">
        <v>1733</v>
      </c>
      <c r="BU188" s="2488" t="s">
        <v>1735</v>
      </c>
      <c r="BV188" s="2486" t="s">
        <v>1309</v>
      </c>
      <c r="BW188" s="2485" t="s">
        <v>1279</v>
      </c>
      <c r="BX188" s="2486" t="s">
        <v>1733</v>
      </c>
      <c r="BY188" s="2486" t="s">
        <v>1309</v>
      </c>
      <c r="BZ188" s="2489"/>
      <c r="CA188" s="2490"/>
      <c r="CB188" s="2489"/>
      <c r="CC188" s="2490"/>
      <c r="CD188" s="2490"/>
      <c r="CE188" s="2489"/>
      <c r="CF188" s="2490"/>
      <c r="CG188" s="2490"/>
      <c r="CH188" s="2489"/>
      <c r="CI188" s="2490"/>
      <c r="CJ188" s="2490"/>
      <c r="CK188" s="2489"/>
      <c r="CL188" s="2490"/>
      <c r="CM188" s="2490"/>
      <c r="CN188" s="2491" t="s">
        <v>80</v>
      </c>
      <c r="CO188" s="2485" t="s">
        <v>1279</v>
      </c>
      <c r="CP188" s="2491" t="s">
        <v>80</v>
      </c>
      <c r="CQ188" s="2492" t="s">
        <v>1279</v>
      </c>
      <c r="CR188" s="2492" t="s">
        <v>1737</v>
      </c>
      <c r="CS188" s="2491" t="s">
        <v>80</v>
      </c>
      <c r="CT188" s="2492" t="s">
        <v>1279</v>
      </c>
      <c r="CU188" s="2493" t="s">
        <v>1737</v>
      </c>
      <c r="CV188" s="1384">
        <v>1059</v>
      </c>
      <c r="CW188" s="2494" t="s">
        <v>1738</v>
      </c>
      <c r="CX188" s="1384" t="s">
        <v>1739</v>
      </c>
      <c r="CY188" s="1384" t="s">
        <v>1740</v>
      </c>
      <c r="CZ188" s="1384" t="s">
        <v>15</v>
      </c>
      <c r="DA188" s="1384" t="s">
        <v>566</v>
      </c>
      <c r="DB188" s="1384" t="s">
        <v>171</v>
      </c>
      <c r="DC188" s="1384" t="s">
        <v>18</v>
      </c>
      <c r="DD188" s="1384" t="s">
        <v>130</v>
      </c>
      <c r="DE188" s="1384" t="s">
        <v>1741</v>
      </c>
      <c r="DF188" s="1384" t="s">
        <v>1741</v>
      </c>
      <c r="DG188" s="1384" t="s">
        <v>1741</v>
      </c>
      <c r="DH188" s="1384" t="s">
        <v>1741</v>
      </c>
      <c r="DI188" s="1384" t="s">
        <v>1741</v>
      </c>
      <c r="DJ188" s="1384" t="s">
        <v>1741</v>
      </c>
      <c r="DK188" s="1384" t="s">
        <v>1741</v>
      </c>
      <c r="DL188" s="1384" t="s">
        <v>1741</v>
      </c>
      <c r="DM188" s="1384" t="s">
        <v>1741</v>
      </c>
      <c r="DN188" s="1384" t="s">
        <v>1741</v>
      </c>
      <c r="DO188" s="1384" t="s">
        <v>1741</v>
      </c>
      <c r="DP188" s="1384" t="s">
        <v>279</v>
      </c>
      <c r="DQ188" s="1384" t="s">
        <v>1742</v>
      </c>
      <c r="DR188" s="1384" t="s">
        <v>1741</v>
      </c>
      <c r="DS188" s="1384" t="s">
        <v>1741</v>
      </c>
      <c r="DT188" s="1384" t="s">
        <v>62</v>
      </c>
    </row>
    <row r="189" spans="1:124" ht="24.75" customHeight="1" x14ac:dyDescent="0.2">
      <c r="A189" s="2495" t="s">
        <v>1207</v>
      </c>
      <c r="B189" s="2496">
        <f>COUNT(C11:C18,C25:C32,AK11:AK18,AK25:AK32)</f>
        <v>6</v>
      </c>
      <c r="C189" s="2496">
        <f>COUNT(E11:E20,E25:E34,AM11:AM20,AM25:AM34)</f>
        <v>8</v>
      </c>
      <c r="D189" s="2496">
        <f>COUNT(F11:F20,F25:F34,AN11:AN20,AN25:AN34)</f>
        <v>4</v>
      </c>
      <c r="E189" s="2496">
        <f>COUNT(AC78:AC89,BK78:BK89)</f>
        <v>4</v>
      </c>
      <c r="F189" s="2496">
        <f>COUNT(AD78:AD89,BL78:BL89)</f>
        <v>3</v>
      </c>
      <c r="G189" s="2496">
        <f>COUNT(J9:J32,AR9:AR32)</f>
        <v>22</v>
      </c>
      <c r="H189" s="2496">
        <f>COUNT(I9:I32,AQ9:AQ32,AQ35,I35)</f>
        <v>6</v>
      </c>
      <c r="I189" s="2496">
        <f>COUNT(G9:G32,AO9:AO32)</f>
        <v>5</v>
      </c>
      <c r="J189" s="2496">
        <f>COUNT(H9:H35,AP9:AP35)</f>
        <v>2</v>
      </c>
      <c r="K189" s="2496">
        <f>COUNT(K35,AS35)</f>
        <v>1</v>
      </c>
      <c r="L189" s="2496">
        <f t="shared" ref="L189:M189" si="50">COUNT(L35,AT35)</f>
        <v>1</v>
      </c>
      <c r="M189" s="2496">
        <f t="shared" si="50"/>
        <v>1</v>
      </c>
      <c r="N189" s="2496">
        <f>COUNT(K9:M28,AS9:AU28)</f>
        <v>11</v>
      </c>
      <c r="O189" s="2496">
        <f>COUNT(N35,AV35)</f>
        <v>1</v>
      </c>
      <c r="P189" s="2496">
        <f t="shared" ref="P189:Q189" si="51">COUNT(O35,AW35)</f>
        <v>1</v>
      </c>
      <c r="Q189" s="2496">
        <f t="shared" si="51"/>
        <v>1</v>
      </c>
      <c r="R189" s="2496">
        <f>COUNT(N9:P28,AV9:AX28)</f>
        <v>9</v>
      </c>
      <c r="S189" s="2496">
        <f>COUNT(Q9:Q33,AY9:AY33)</f>
        <v>5</v>
      </c>
      <c r="T189" s="2496">
        <f t="shared" ref="T189:U189" si="52">COUNT(R9:R33,AZ9:AZ33)</f>
        <v>6</v>
      </c>
      <c r="U189" s="2496">
        <f t="shared" si="52"/>
        <v>6</v>
      </c>
      <c r="V189" s="2496">
        <f>COUNT(T9:T33,BB9:BB33)</f>
        <v>6</v>
      </c>
      <c r="W189" s="2496">
        <f>COUNT(T34,BB34)</f>
        <v>2</v>
      </c>
      <c r="X189" s="2496">
        <f>COUNT(U9:U33,BC9:BC33)</f>
        <v>5</v>
      </c>
      <c r="Y189" s="2496">
        <f t="shared" ref="Y189:AA189" si="53">COUNT(V9:V33,BD9:BD33)</f>
        <v>6</v>
      </c>
      <c r="Z189" s="2496">
        <f t="shared" si="53"/>
        <v>6</v>
      </c>
      <c r="AA189" s="2496">
        <f t="shared" si="53"/>
        <v>6</v>
      </c>
      <c r="AB189" s="2496">
        <f>COUNT(X34,BF34)</f>
        <v>2</v>
      </c>
      <c r="AC189" s="2496">
        <f>COUNT(Y9:Y33,BG9:BG33)</f>
        <v>5</v>
      </c>
      <c r="AD189" s="2496">
        <f t="shared" ref="AD189:AF189" si="54">COUNT(Z9:Z33,BH9:BH33)</f>
        <v>6</v>
      </c>
      <c r="AE189" s="2496">
        <f t="shared" si="54"/>
        <v>6</v>
      </c>
      <c r="AF189" s="2496">
        <f t="shared" si="54"/>
        <v>6</v>
      </c>
      <c r="AG189" s="2496">
        <f>COUNT(AB34,BJ34)</f>
        <v>2</v>
      </c>
      <c r="AH189" s="2496">
        <f>COUNT(G40:G51,B40,AO40:AO51,AJ40)</f>
        <v>7</v>
      </c>
      <c r="AI189" s="2496">
        <f>COUNT(C40,AK40)</f>
        <v>2</v>
      </c>
      <c r="AJ189" s="2496">
        <f t="shared" ref="AJ189:AK189" si="55">COUNT(D40,AL40)</f>
        <v>2</v>
      </c>
      <c r="AK189" s="2496">
        <f t="shared" si="55"/>
        <v>2</v>
      </c>
      <c r="AL189" s="2496">
        <f>COUNT(F40,AN40)</f>
        <v>2</v>
      </c>
      <c r="AM189" s="2496">
        <f>COUNT(D47,AL47)</f>
        <v>2</v>
      </c>
      <c r="AN189" s="2496">
        <f>COUNT(H40:H51,B41,AP40:AP51,AJ41)</f>
        <v>6</v>
      </c>
      <c r="AO189" s="2496">
        <f>COUNT(C41,AK41)</f>
        <v>2</v>
      </c>
      <c r="AP189" s="2496">
        <f t="shared" ref="AP189:AQ189" si="56">COUNT(D41,AL41)</f>
        <v>2</v>
      </c>
      <c r="AQ189" s="2496">
        <f t="shared" si="56"/>
        <v>2</v>
      </c>
      <c r="AR189" s="2496">
        <f>COUNT(F41,AN41)</f>
        <v>2</v>
      </c>
      <c r="AS189" s="2496">
        <f>COUNT(D48,AL48)</f>
        <v>2</v>
      </c>
      <c r="AT189" s="2496">
        <f>COUNT(I40:I51,B44,AQ40:AQ51,AJ44)</f>
        <v>7</v>
      </c>
      <c r="AU189" s="2496">
        <f>COUNT(C44,AK44)</f>
        <v>2</v>
      </c>
      <c r="AV189" s="2496">
        <f t="shared" ref="AV189:AX189" si="57">COUNT(D44,AL44)</f>
        <v>2</v>
      </c>
      <c r="AW189" s="2496">
        <f t="shared" si="57"/>
        <v>2</v>
      </c>
      <c r="AX189" s="2496">
        <f t="shared" si="57"/>
        <v>2</v>
      </c>
      <c r="AY189" s="2496">
        <f>COUNT(AF60,BN60)</f>
        <v>2</v>
      </c>
      <c r="AZ189" s="2496">
        <f>COUNT(J40:J53,AR40:AR53)</f>
        <v>7</v>
      </c>
      <c r="BA189" s="2496">
        <f t="shared" ref="BA189:BC189" si="58">COUNT(K40:K53,AS40:AS53)</f>
        <v>7</v>
      </c>
      <c r="BB189" s="2496">
        <f t="shared" si="58"/>
        <v>7</v>
      </c>
      <c r="BC189" s="2496">
        <f t="shared" si="58"/>
        <v>7</v>
      </c>
      <c r="BD189" s="2496">
        <f>COUNT(L54,AT54)</f>
        <v>2</v>
      </c>
      <c r="BE189" s="2496">
        <f>COUNT(O40:O54,AW40:AW54)</f>
        <v>12</v>
      </c>
      <c r="BF189" s="2496">
        <f t="shared" ref="BF189:BG189" si="59">COUNT(P40:P54,AX40:AX54)</f>
        <v>12</v>
      </c>
      <c r="BG189" s="2496">
        <f t="shared" si="59"/>
        <v>12</v>
      </c>
      <c r="BH189" s="2496">
        <f>COUNT(R40:R53,AZ40:AZ53)</f>
        <v>14</v>
      </c>
      <c r="BI189" s="2496">
        <f t="shared" ref="BI189:BJ189" si="60">COUNT(S40:S53,BA40:BA53)</f>
        <v>14</v>
      </c>
      <c r="BJ189" s="2496">
        <f t="shared" si="60"/>
        <v>7</v>
      </c>
      <c r="BK189" s="2496">
        <f>COUNT(U40:U53,BC40:BC53)</f>
        <v>4</v>
      </c>
      <c r="BL189" s="2496">
        <f>COUNT(V40:V53,BD40:BD53)</f>
        <v>6</v>
      </c>
      <c r="BM189" s="2496">
        <f>COUNT(U54,BC54)</f>
        <v>2</v>
      </c>
      <c r="BN189" s="2496">
        <f>COUNT(W40:W53,BE40:BE53)</f>
        <v>4</v>
      </c>
      <c r="BO189" s="2496">
        <f>COUNT(X40:X53,BF40:BF53)</f>
        <v>6</v>
      </c>
      <c r="BP189" s="2496">
        <f>COUNT(W54,BE54)</f>
        <v>2</v>
      </c>
      <c r="BQ189" s="2496">
        <f>COUNT(Y56,BG56)</f>
        <v>2</v>
      </c>
      <c r="BR189" s="2496">
        <f>COUNT(Y40:Y54,BG40:BG54)</f>
        <v>6</v>
      </c>
      <c r="BS189" s="2496">
        <f>COUNT(AI54)</f>
        <v>1</v>
      </c>
      <c r="BT189" s="2496">
        <f t="shared" ref="BT189:BV189" si="61">COUNT(AJ54)</f>
        <v>1</v>
      </c>
      <c r="BU189" s="2496">
        <f t="shared" si="61"/>
        <v>1</v>
      </c>
      <c r="BV189" s="2496">
        <f t="shared" si="61"/>
        <v>1</v>
      </c>
      <c r="BW189" s="2496">
        <f>COUNT(C78:C89,AK78:AK89)</f>
        <v>4</v>
      </c>
      <c r="BX189" s="2496">
        <f>COUNT(B78:B89,AJ78:AJ89)</f>
        <v>4</v>
      </c>
      <c r="BY189" s="2496">
        <f>COUNT(D90,AL90)</f>
        <v>2</v>
      </c>
      <c r="BZ189" s="1277"/>
      <c r="CA189" s="1277"/>
      <c r="CB189" s="1277"/>
      <c r="CC189" s="1277"/>
      <c r="CD189" s="1277"/>
      <c r="CE189" s="1277"/>
      <c r="CF189" s="1277"/>
      <c r="CG189" s="1277"/>
      <c r="CH189" s="1277"/>
      <c r="CI189" s="1277"/>
      <c r="CJ189" s="1277"/>
      <c r="CK189" s="1277"/>
      <c r="CL189" s="1277"/>
      <c r="CM189" s="1277"/>
      <c r="CN189" s="2496">
        <f>COUNT(E78:E89,AM78:AM89)</f>
        <v>9</v>
      </c>
      <c r="CO189" s="2496">
        <f>COUNT(K78:K89,AS78:AS89)</f>
        <v>11</v>
      </c>
      <c r="CP189" s="2496">
        <f>COUNT(F78:F89,AN78:AN89)</f>
        <v>8</v>
      </c>
      <c r="CQ189" s="2496">
        <f>COUNT(L78:L89,AT78:AT89)</f>
        <v>10</v>
      </c>
      <c r="CR189" s="2496">
        <f>COUNT(U78:U89,BC78:BC89)</f>
        <v>4</v>
      </c>
      <c r="CS189" s="2496">
        <f>COUNT(G78:G89,AO78:AO89)</f>
        <v>9</v>
      </c>
      <c r="CT189" s="2496">
        <f>COUNT(M78:T89,AU78:BB89)</f>
        <v>15</v>
      </c>
      <c r="CU189" s="2496">
        <f>COUNT(V78:V89,BD78:BD89)</f>
        <v>4</v>
      </c>
      <c r="CV189" s="2496">
        <f>COUNT(B57:B58,AJ57:AJ58)</f>
        <v>4</v>
      </c>
      <c r="CW189" s="2496">
        <f t="shared" ref="CW189:DA189" si="62">COUNT(C57:C58,AK57:AK58)</f>
        <v>4</v>
      </c>
      <c r="CX189" s="2496">
        <f t="shared" si="62"/>
        <v>4</v>
      </c>
      <c r="CY189" s="2496">
        <f t="shared" si="62"/>
        <v>4</v>
      </c>
      <c r="CZ189" s="2496">
        <f t="shared" si="62"/>
        <v>4</v>
      </c>
      <c r="DA189" s="2496">
        <f t="shared" si="62"/>
        <v>4</v>
      </c>
      <c r="DB189" s="2496">
        <f>COUNT(J57:J58,AR57:AR58)</f>
        <v>4</v>
      </c>
      <c r="DC189" s="2496">
        <f t="shared" ref="DC189:DD189" si="63">COUNT(K57:K58,AS57:AS58)</f>
        <v>4</v>
      </c>
      <c r="DD189" s="2496">
        <f t="shared" si="63"/>
        <v>0</v>
      </c>
      <c r="DE189" s="2496">
        <f>COUNT(F73,AN73)</f>
        <v>2</v>
      </c>
      <c r="DF189" s="2496">
        <f>COUNT(K31:M31,AS31:AU31)</f>
        <v>6</v>
      </c>
      <c r="DG189" s="2496">
        <f>COUNT(N31:P31,AV31:AX31)</f>
        <v>6</v>
      </c>
      <c r="DH189" s="2496">
        <f>COUNT(AD4:AD33,BL4:BL33)</f>
        <v>35</v>
      </c>
      <c r="DI189" s="2496">
        <f>COUNT(AE4:AE33,BM4:BM33)</f>
        <v>35</v>
      </c>
      <c r="DJ189" s="2496">
        <f t="shared" ref="DJ189:DK189" si="64">COUNT(AF4:AF33,BN4:BN33)</f>
        <v>35</v>
      </c>
      <c r="DK189" s="2496">
        <f t="shared" si="64"/>
        <v>47</v>
      </c>
      <c r="DL189" s="2496">
        <f>COUNT(AA40:AA46,AA48:AA54,BI40:BI46,BI48:BI54)</f>
        <v>12</v>
      </c>
      <c r="DM189" s="2496">
        <f t="shared" ref="DM189:DQ189" si="65">COUNT(AB40:AB46,AB48:AB54,BJ40:BJ46,BJ48:BJ54)</f>
        <v>12</v>
      </c>
      <c r="DN189" s="2496">
        <f t="shared" si="65"/>
        <v>12</v>
      </c>
      <c r="DO189" s="2496">
        <f t="shared" si="65"/>
        <v>12</v>
      </c>
      <c r="DP189" s="2496">
        <f t="shared" si="65"/>
        <v>12</v>
      </c>
      <c r="DQ189" s="2496">
        <f t="shared" si="65"/>
        <v>12</v>
      </c>
      <c r="DR189" s="2496">
        <f>COUNT(Y120:AC121,BG120:BK121)</f>
        <v>20</v>
      </c>
      <c r="DS189" s="2496">
        <f>COUNT(F72,AN72)</f>
        <v>2</v>
      </c>
      <c r="DT189" s="2496">
        <f>COUNT(H78:H89,AP78:AP89)</f>
        <v>24</v>
      </c>
    </row>
    <row r="190" spans="1:124" s="104" customFormat="1" ht="24.75" customHeight="1" x14ac:dyDescent="0.2">
      <c r="A190" s="2497" t="s">
        <v>151</v>
      </c>
      <c r="B190" s="2498">
        <f>AVERAGE(B150:B151)</f>
        <v>0.16</v>
      </c>
      <c r="C190" s="2498">
        <f>AVERAGE(D150:D151)</f>
        <v>7.0000000000000007E-2</v>
      </c>
      <c r="D190" s="2498">
        <f>AVERAGE(F11:F22,F25:F34,AN11:AN22,AN25:AN34)</f>
        <v>15.2</v>
      </c>
      <c r="E190" s="2499">
        <f>AVERAGE(AC78:AC89,BK78:BK89)</f>
        <v>69</v>
      </c>
      <c r="F190" s="2499">
        <f>AVERAGE(AD78:AD89,BL78:BL89)</f>
        <v>59.666666666666664</v>
      </c>
      <c r="G190" s="2499">
        <f>AVERAGE(I150:I151)</f>
        <v>99.75</v>
      </c>
      <c r="H190" s="2499">
        <f>AVERAGE(J150:J151)</f>
        <v>88.85</v>
      </c>
      <c r="I190" s="2499">
        <f t="shared" ref="I190" si="66">AVERAGE(K150:K151)</f>
        <v>0.43</v>
      </c>
      <c r="J190" s="2499">
        <f>AVERAGE(B156:B157)</f>
        <v>40.650000000000006</v>
      </c>
      <c r="K190" s="2499">
        <f>AVERAGE(AS156:AS157)</f>
        <v>88.8</v>
      </c>
      <c r="L190" s="2499">
        <f t="shared" ref="L190:N190" si="67">AVERAGE(AT156:AT157)</f>
        <v>94.3</v>
      </c>
      <c r="M190" s="2499">
        <f t="shared" si="67"/>
        <v>91.5</v>
      </c>
      <c r="N190" s="2499">
        <f t="shared" si="67"/>
        <v>65.75</v>
      </c>
      <c r="O190" s="2499">
        <f>AVERAGE(D156:D157)</f>
        <v>88.4</v>
      </c>
      <c r="P190" s="2499">
        <f t="shared" ref="P190:R190" si="68">AVERAGE(E156:E157)</f>
        <v>95.1</v>
      </c>
      <c r="Q190" s="2499">
        <f t="shared" si="68"/>
        <v>92.7</v>
      </c>
      <c r="R190" s="2499">
        <f t="shared" si="68"/>
        <v>62.6</v>
      </c>
      <c r="S190" s="2499">
        <f>AVERAGE(V150:V151)</f>
        <v>96.65</v>
      </c>
      <c r="T190" s="2499">
        <f>AVERAGE(N162:N163)</f>
        <v>26</v>
      </c>
      <c r="U190" s="2499">
        <f t="shared" ref="U190:AB190" si="69">AVERAGE(O162:O163)</f>
        <v>94.8</v>
      </c>
      <c r="V190" s="2499">
        <f t="shared" si="69"/>
        <v>68.8</v>
      </c>
      <c r="W190" s="2499">
        <f t="shared" si="69"/>
        <v>35.200000000000003</v>
      </c>
      <c r="X190" s="2499">
        <f t="shared" si="69"/>
        <v>96.45</v>
      </c>
      <c r="Y190" s="2499">
        <f t="shared" si="69"/>
        <v>25.8</v>
      </c>
      <c r="Z190" s="2499">
        <f t="shared" si="69"/>
        <v>93.95</v>
      </c>
      <c r="AA190" s="2499">
        <f t="shared" si="69"/>
        <v>68.150000000000006</v>
      </c>
      <c r="AB190" s="2499">
        <f t="shared" si="69"/>
        <v>35.799999999999997</v>
      </c>
      <c r="AC190" s="2499">
        <f>AVERAGE(H162:H163)</f>
        <v>96.65</v>
      </c>
      <c r="AD190" s="2499">
        <f t="shared" ref="AD190:AG190" si="70">AVERAGE(I162:I163)</f>
        <v>25.799999999999997</v>
      </c>
      <c r="AE190" s="2499">
        <f t="shared" si="70"/>
        <v>94.550000000000011</v>
      </c>
      <c r="AF190" s="2499">
        <f t="shared" si="70"/>
        <v>68.75</v>
      </c>
      <c r="AG190" s="2499">
        <f t="shared" si="70"/>
        <v>36</v>
      </c>
      <c r="AH190" s="2499">
        <f>AVERAGE(AB162:AB163)</f>
        <v>84.85</v>
      </c>
      <c r="AI190" s="2499">
        <f t="shared" ref="AI190:AL190" si="71">AVERAGE(AC162:AC163)</f>
        <v>28.8</v>
      </c>
      <c r="AJ190" s="2499">
        <f t="shared" si="71"/>
        <v>83.05</v>
      </c>
      <c r="AK190" s="2499">
        <f t="shared" si="71"/>
        <v>54.25</v>
      </c>
      <c r="AL190" s="2499">
        <f t="shared" si="71"/>
        <v>39.200000000000003</v>
      </c>
      <c r="AM190" s="2499">
        <f>AVERAGE(BN156:BN157)</f>
        <v>10.35</v>
      </c>
      <c r="AN190" s="2499">
        <f>AVERAGE(AG162:AG163)</f>
        <v>86.25</v>
      </c>
      <c r="AO190" s="2499">
        <f t="shared" ref="AO190:AR190" si="72">AVERAGE(AH162:AH163)</f>
        <v>29.2</v>
      </c>
      <c r="AP190" s="2499">
        <f t="shared" si="72"/>
        <v>83.5</v>
      </c>
      <c r="AQ190" s="2499">
        <f t="shared" si="72"/>
        <v>54.3</v>
      </c>
      <c r="AR190" s="2499">
        <f t="shared" si="72"/>
        <v>38.049999999999997</v>
      </c>
      <c r="AS190" s="2499">
        <f>AVERAGE(BO156:BO157)</f>
        <v>11.05</v>
      </c>
      <c r="AT190" s="2499">
        <f>AVERAGE(W162:W163)</f>
        <v>79.5</v>
      </c>
      <c r="AU190" s="2499">
        <f t="shared" ref="AU190:AX190" si="73">AVERAGE(X162:X163)</f>
        <v>29.6</v>
      </c>
      <c r="AV190" s="2499">
        <f t="shared" si="73"/>
        <v>78.25</v>
      </c>
      <c r="AW190" s="2499">
        <f t="shared" si="73"/>
        <v>48.65</v>
      </c>
      <c r="AX190" s="2499">
        <f t="shared" si="73"/>
        <v>40</v>
      </c>
      <c r="AY190" s="2499">
        <f>AVERAGE(BN60,AF60)</f>
        <v>14.2</v>
      </c>
      <c r="AZ190" s="2499">
        <f>AVERAGE(O156:O157)</f>
        <v>82.25</v>
      </c>
      <c r="BA190" s="2499">
        <f t="shared" ref="BA190:BD190" si="74">AVERAGE(P156:P157)</f>
        <v>31.4</v>
      </c>
      <c r="BB190" s="2499">
        <f t="shared" si="74"/>
        <v>83.25</v>
      </c>
      <c r="BC190" s="2499">
        <f t="shared" si="74"/>
        <v>51.849999999999994</v>
      </c>
      <c r="BD190" s="2499">
        <f t="shared" si="74"/>
        <v>39.200000000000003</v>
      </c>
      <c r="BE190" s="2499">
        <f>AVERAGE(AE156:AE157)</f>
        <v>2.85</v>
      </c>
      <c r="BF190" s="2499">
        <f>AVERAGE(AF156:AF157)</f>
        <v>9.6499999999999986</v>
      </c>
      <c r="BG190" s="2499">
        <f>AVERAGE(AS162:AS163)</f>
        <v>59.1</v>
      </c>
      <c r="BH190" s="2499">
        <f>AVERAGE(AG156:AG157)</f>
        <v>2.2999999999999998</v>
      </c>
      <c r="BI190" s="2499">
        <f t="shared" ref="BI190:BJ190" si="75">AVERAGE(AH156:AH157)</f>
        <v>6.4</v>
      </c>
      <c r="BJ190" s="2499">
        <f t="shared" si="75"/>
        <v>59.1</v>
      </c>
      <c r="BK190" s="2499">
        <f>AVERAGE(AW162:AW163)</f>
        <v>4</v>
      </c>
      <c r="BL190" s="2499">
        <f t="shared" ref="BL190:BM190" si="76">AVERAGE(AX162:AX163)</f>
        <v>0.04</v>
      </c>
      <c r="BM190" s="2499">
        <f t="shared" si="76"/>
        <v>6.4499999999999993</v>
      </c>
      <c r="BN190" s="2499">
        <f>AVERAGE(BF156:BF157)</f>
        <v>5.4</v>
      </c>
      <c r="BO190" s="2499">
        <f>AVERAGE(BG156:BG157)</f>
        <v>0.12</v>
      </c>
      <c r="BP190" s="2499">
        <f>AVERAGE(BE156:BE157)</f>
        <v>3.8000000000000003</v>
      </c>
      <c r="BQ190" s="2499">
        <f>AVERAGE(BA156:BA157)</f>
        <v>70.5</v>
      </c>
      <c r="BR190" s="2498">
        <f>AVERAGE(L167:L168)</f>
        <v>0.52500000000000002</v>
      </c>
      <c r="BS190" s="2497">
        <f>AVERAGE(AZ162:AZ163)</f>
        <v>0.08</v>
      </c>
      <c r="BT190" s="2497">
        <f t="shared" ref="BT190:BV190" si="77">AVERAGE(BA162:BA163)</f>
        <v>26.2</v>
      </c>
      <c r="BU190" s="2497">
        <f t="shared" si="77"/>
        <v>16.5</v>
      </c>
      <c r="BV190" s="2497">
        <f t="shared" si="77"/>
        <v>33.1</v>
      </c>
      <c r="BW190" s="2498">
        <f>-AVERAGE(AO150:AO151)</f>
        <v>-0.06</v>
      </c>
      <c r="BX190" s="2499">
        <f>AVERAGE(AN150:AN151)</f>
        <v>9.6499999999999986</v>
      </c>
      <c r="BY190" s="2499">
        <f>AVERAGE(AB156:AB157)</f>
        <v>12.65</v>
      </c>
      <c r="BZ190" s="2497"/>
      <c r="CA190" s="2497"/>
      <c r="CB190" s="2497"/>
      <c r="CC190" s="2497"/>
      <c r="CD190" s="2497"/>
      <c r="CE190" s="2497"/>
      <c r="CF190" s="2497"/>
      <c r="CG190" s="2497"/>
      <c r="CH190" s="2497"/>
      <c r="CI190" s="2497"/>
      <c r="CJ190" s="2497"/>
      <c r="CK190" s="2497"/>
      <c r="CL190" s="2497"/>
      <c r="CM190" s="2497"/>
      <c r="CN190" s="2499">
        <f>AVERAGE(BH156:BH157)</f>
        <v>16.5</v>
      </c>
      <c r="CO190" s="2498">
        <f>AVERAGE(BJ156:BJ157)</f>
        <v>6.2666666666666676E-2</v>
      </c>
      <c r="CP190" s="2499">
        <f>AVERAGE(BI156:BI157)</f>
        <v>16.5</v>
      </c>
      <c r="CQ190" s="2498">
        <f>AVERAGE(BK156:BK157)</f>
        <v>6.2916666666666676E-2</v>
      </c>
      <c r="CR190" s="2500">
        <f>AVERAGE(U78:U89,BC78:BC89)</f>
        <v>1.0500000000000002E-3</v>
      </c>
      <c r="CS190" s="2499">
        <f>AVERAGE(BJ162:BJ163)</f>
        <v>18.75</v>
      </c>
      <c r="CT190" s="2498">
        <f>AVERAGE(BM162:BM163)</f>
        <v>6.5000000000000002E-2</v>
      </c>
      <c r="CU190" s="2500">
        <f>AVERAGE(V78:V89,BD78:BD89)</f>
        <v>6.9999999999999999E-4</v>
      </c>
      <c r="CV190" s="2499">
        <f>AVERAGE(B57:B58,AJ57:AJ58)</f>
        <v>0.45</v>
      </c>
      <c r="CW190" s="2499">
        <f>AVERAGE(C57:C58,AK57:AK58)</f>
        <v>0.3</v>
      </c>
      <c r="CX190" s="2499">
        <f t="shared" ref="CX190:DA190" si="78">AVERAGE(D57:D58,AL57:AL58)</f>
        <v>0.4</v>
      </c>
      <c r="CY190" s="2499">
        <f t="shared" si="78"/>
        <v>0.45</v>
      </c>
      <c r="CZ190" s="2499">
        <f t="shared" si="78"/>
        <v>0.4</v>
      </c>
      <c r="DA190" s="2499">
        <f t="shared" si="78"/>
        <v>0.3</v>
      </c>
      <c r="DB190" s="2499">
        <f>AVERAGE(J57:J58,AR57:AR58)</f>
        <v>0.6</v>
      </c>
      <c r="DC190" s="2499">
        <f t="shared" ref="DC190:DD190" si="79">AVERAGE(K57:K58,AS57:AS58)</f>
        <v>0.3</v>
      </c>
      <c r="DD190" s="2499" t="e">
        <f t="shared" si="79"/>
        <v>#DIV/0!</v>
      </c>
      <c r="DE190" s="2497">
        <f>AVERAGE(F73,AN73)</f>
        <v>60</v>
      </c>
      <c r="DF190" s="2501">
        <f>AVERAGE(C156:C157)</f>
        <v>59</v>
      </c>
      <c r="DG190" s="2501">
        <f>AVERAGE(H156:H157)</f>
        <v>36.5</v>
      </c>
      <c r="DH190" s="2501">
        <f>AVERAGE(S167:S168)</f>
        <v>30</v>
      </c>
      <c r="DI190" s="2501">
        <f t="shared" ref="DI190:DK190" si="80">AVERAGE(T167:T168)</f>
        <v>49.5</v>
      </c>
      <c r="DJ190" s="2501">
        <f t="shared" si="80"/>
        <v>51</v>
      </c>
      <c r="DK190" s="2501">
        <f t="shared" si="80"/>
        <v>56</v>
      </c>
      <c r="DL190" s="2501">
        <f>AVERAGE(M167:M168)</f>
        <v>95</v>
      </c>
      <c r="DM190" s="2501">
        <f t="shared" ref="DM190:DN190" si="81">AVERAGE(N167:N168)</f>
        <v>76</v>
      </c>
      <c r="DN190" s="2501">
        <f t="shared" si="81"/>
        <v>58.5</v>
      </c>
      <c r="DO190" s="2501">
        <f>AVERAGE(P167:P168)</f>
        <v>58</v>
      </c>
      <c r="DP190" s="2501">
        <f>AVERAGE(Q167:Q168)</f>
        <v>0.24000000000000002</v>
      </c>
      <c r="DQ190" s="2501">
        <f>AVERAGE(AF40:AF46,AF48:AF54,BN40:BN46,BN48:BN54)</f>
        <v>153.25</v>
      </c>
      <c r="DR190" s="2501">
        <f>AVERAGE(R167:R168)</f>
        <v>42.650000000000006</v>
      </c>
      <c r="DS190" s="2497">
        <f>AVERAGE(F72,AN72)</f>
        <v>30.5</v>
      </c>
      <c r="DT190" s="2501">
        <f>AVERAGE(AQ150:AQ151)</f>
        <v>302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42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1804" t="s">
        <v>59</v>
      </c>
      <c r="B192" s="1650" t="s">
        <v>0</v>
      </c>
      <c r="C192" s="1650"/>
      <c r="D192" s="1650"/>
      <c r="E192" s="1650" t="s">
        <v>92</v>
      </c>
      <c r="F192" s="1220" t="s">
        <v>93</v>
      </c>
      <c r="G192" s="1650" t="s">
        <v>94</v>
      </c>
      <c r="H192" s="1650" t="s">
        <v>74</v>
      </c>
      <c r="I192" s="1650"/>
      <c r="J192" s="1650"/>
      <c r="K192" s="1650" t="s">
        <v>95</v>
      </c>
      <c r="L192" s="1802" t="s">
        <v>96</v>
      </c>
      <c r="M192" s="1802" t="s">
        <v>97</v>
      </c>
      <c r="N192" s="1802" t="s">
        <v>98</v>
      </c>
      <c r="O192" s="1802" t="s">
        <v>99</v>
      </c>
      <c r="P192" s="1650" t="s">
        <v>100</v>
      </c>
      <c r="Q192" s="1650" t="s">
        <v>142</v>
      </c>
      <c r="R192" s="1650"/>
      <c r="S192" s="1650"/>
      <c r="T192" s="1650"/>
      <c r="U192" s="1650"/>
      <c r="V192" s="1650" t="s">
        <v>33</v>
      </c>
      <c r="W192" s="1650"/>
      <c r="X192" s="1650"/>
      <c r="Y192" s="1650" t="s">
        <v>101</v>
      </c>
      <c r="Z192" s="1650" t="s">
        <v>102</v>
      </c>
      <c r="AA192" s="1650" t="s">
        <v>74</v>
      </c>
      <c r="AB192" s="1650"/>
      <c r="AC192" s="1650" t="s">
        <v>103</v>
      </c>
      <c r="AD192" s="1650"/>
      <c r="AE192" s="1220"/>
      <c r="AF192" s="1650" t="s">
        <v>104</v>
      </c>
      <c r="AG192" s="160"/>
      <c r="AH192" s="2282" t="s">
        <v>59</v>
      </c>
      <c r="AI192" s="161" t="s">
        <v>10</v>
      </c>
      <c r="AJ192" s="1740" t="s">
        <v>26</v>
      </c>
      <c r="AK192" s="1741"/>
      <c r="AL192" s="1741"/>
      <c r="AM192" s="1741"/>
      <c r="AN192" s="1741"/>
      <c r="AO192" s="1741"/>
      <c r="AP192" s="1742"/>
      <c r="AQ192" s="2312" t="s">
        <v>143</v>
      </c>
      <c r="AR192" s="2284"/>
      <c r="AS192" s="2284" t="s">
        <v>105</v>
      </c>
      <c r="AT192" s="2284"/>
      <c r="AU192" s="162"/>
      <c r="AV192" s="162"/>
      <c r="AW192" s="163"/>
      <c r="AX192" s="2316" t="s">
        <v>106</v>
      </c>
      <c r="AY192" s="2317"/>
      <c r="AZ192" s="2318"/>
      <c r="BA192" s="853" t="s">
        <v>8</v>
      </c>
      <c r="BB192" s="2306" t="s">
        <v>103</v>
      </c>
      <c r="BC192" s="2307"/>
      <c r="BD192" s="2307"/>
      <c r="BE192" s="2307"/>
      <c r="BF192" s="2307"/>
      <c r="BG192" s="2308"/>
      <c r="BH192" s="2287"/>
      <c r="BI192" s="2288"/>
      <c r="BJ192" s="2287"/>
      <c r="BK192" s="2288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1804"/>
      <c r="B193" s="1220" t="s">
        <v>107</v>
      </c>
      <c r="C193" s="1222" t="s">
        <v>108</v>
      </c>
      <c r="D193" s="1220" t="s">
        <v>71</v>
      </c>
      <c r="E193" s="1650"/>
      <c r="F193" s="1220" t="s">
        <v>109</v>
      </c>
      <c r="G193" s="1650"/>
      <c r="H193" s="1221" t="s">
        <v>110</v>
      </c>
      <c r="I193" s="1221" t="s">
        <v>111</v>
      </c>
      <c r="J193" s="1223" t="s">
        <v>112</v>
      </c>
      <c r="K193" s="1650"/>
      <c r="L193" s="1802"/>
      <c r="M193" s="1802"/>
      <c r="N193" s="1802"/>
      <c r="O193" s="1802"/>
      <c r="P193" s="1650"/>
      <c r="Q193" s="1220" t="s">
        <v>113</v>
      </c>
      <c r="R193" s="1220" t="s">
        <v>12</v>
      </c>
      <c r="S193" s="1220" t="s">
        <v>114</v>
      </c>
      <c r="T193" s="1220" t="s">
        <v>52</v>
      </c>
      <c r="U193" s="1220" t="s">
        <v>70</v>
      </c>
      <c r="V193" s="1220" t="s">
        <v>13</v>
      </c>
      <c r="W193" s="1222" t="s">
        <v>144</v>
      </c>
      <c r="X193" s="1220" t="s">
        <v>71</v>
      </c>
      <c r="Y193" s="1650"/>
      <c r="Z193" s="1650"/>
      <c r="AA193" s="1220" t="s">
        <v>73</v>
      </c>
      <c r="AB193" s="1220" t="s">
        <v>115</v>
      </c>
      <c r="AC193" s="1220" t="s">
        <v>9</v>
      </c>
      <c r="AD193" s="1220" t="s">
        <v>71</v>
      </c>
      <c r="AE193" s="1220" t="s">
        <v>116</v>
      </c>
      <c r="AF193" s="1650"/>
      <c r="AG193" s="160"/>
      <c r="AH193" s="2283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1803"/>
      <c r="B194" s="1224">
        <f>AD63</f>
        <v>90</v>
      </c>
      <c r="C194" s="153" t="e">
        <f>#REF!</f>
        <v>#REF!</v>
      </c>
      <c r="D194" s="153" t="str">
        <f>J155</f>
        <v>Общ.щ.</v>
      </c>
      <c r="E194" s="153">
        <f>C71</f>
        <v>-18</v>
      </c>
      <c r="F194" s="153">
        <f>X35</f>
        <v>66.2</v>
      </c>
      <c r="G194" s="153">
        <f>V35</f>
        <v>26.5</v>
      </c>
      <c r="H194" s="153" t="str">
        <f>AJ155</f>
        <v>СL⁻</v>
      </c>
      <c r="I194" s="153">
        <f>AF59</f>
        <v>12.6</v>
      </c>
      <c r="J194" s="153">
        <f>AF61</f>
        <v>13.1</v>
      </c>
      <c r="K194" s="153">
        <f>J53</f>
        <v>79.599999999999994</v>
      </c>
      <c r="L194" s="153" t="e">
        <f>#REF!</f>
        <v>#REF!</v>
      </c>
      <c r="M194" s="153">
        <f>B42</f>
        <v>83</v>
      </c>
      <c r="N194" s="153">
        <f>AD60</f>
        <v>58.5</v>
      </c>
      <c r="O194" s="153">
        <f>AD59</f>
        <v>60.1</v>
      </c>
      <c r="P194" s="153">
        <f>R90</f>
        <v>17.3</v>
      </c>
      <c r="Q194" s="153" t="str">
        <f>F155</f>
        <v>Общ. ам.</v>
      </c>
      <c r="R194" s="153">
        <f>AB90</f>
        <v>82</v>
      </c>
      <c r="S194" s="153">
        <f>AD90</f>
        <v>67</v>
      </c>
      <c r="T194" s="153">
        <f>AG90</f>
        <v>37.4</v>
      </c>
      <c r="U194" s="153" t="e">
        <f>X90</f>
        <v>#DIV/0!</v>
      </c>
      <c r="V194" s="153" t="e">
        <f>#REF!</f>
        <v>#REF!</v>
      </c>
      <c r="W194" s="153">
        <f>MAX(P55,S53,S55)</f>
        <v>9.6999999999999993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5" t="str">
        <f>B155</f>
        <v>СО2</v>
      </c>
      <c r="AB194" s="1225" t="str">
        <f>D155</f>
        <v>СL⁻</v>
      </c>
      <c r="AC194" s="1225">
        <f>C107</f>
        <v>99.45</v>
      </c>
      <c r="AD194" s="1225">
        <f>D107</f>
        <v>0.21</v>
      </c>
      <c r="AE194" s="1225" t="str">
        <f>R155</f>
        <v>Связ. ам.</v>
      </c>
      <c r="AF194" s="153">
        <f>AG113</f>
        <v>178</v>
      </c>
      <c r="AG194" s="160"/>
      <c r="AH194" s="1738"/>
      <c r="AI194" s="179">
        <f>R125</f>
        <v>320</v>
      </c>
      <c r="AJ194" s="180">
        <f>F73</f>
        <v>58</v>
      </c>
      <c r="AK194" s="181" t="str">
        <f>M155</f>
        <v>СО2</v>
      </c>
      <c r="AL194" s="181" t="str">
        <f>H155</f>
        <v>Т0,C</v>
      </c>
      <c r="AM194" s="181">
        <f>S111</f>
        <v>155.9</v>
      </c>
      <c r="AN194" s="181"/>
      <c r="AO194" s="181">
        <f>S115</f>
        <v>416</v>
      </c>
      <c r="AP194" s="181">
        <f>S117</f>
        <v>161.4</v>
      </c>
      <c r="AQ194" s="181"/>
      <c r="AR194" s="181">
        <f>S116</f>
        <v>9.1999999999999993</v>
      </c>
      <c r="AS194" s="181"/>
      <c r="AT194" s="181">
        <f>S119</f>
        <v>527.4</v>
      </c>
      <c r="AU194" s="181">
        <f>O129</f>
        <v>58</v>
      </c>
      <c r="AV194" s="181">
        <f>P129</f>
        <v>56</v>
      </c>
      <c r="AW194" s="181">
        <f>Q129</f>
        <v>54</v>
      </c>
      <c r="AX194" s="181">
        <f>L129</f>
        <v>3.7</v>
      </c>
      <c r="AY194" s="181">
        <f>M129</f>
        <v>3.1</v>
      </c>
      <c r="AZ194" s="181">
        <f>N129</f>
        <v>3.9</v>
      </c>
      <c r="BA194" s="182">
        <f>V113</f>
        <v>3.4</v>
      </c>
      <c r="BB194" s="183">
        <f>CO70+CS70</f>
        <v>12</v>
      </c>
      <c r="BC194" s="184"/>
      <c r="BD194" s="184">
        <f>CP70+CT70</f>
        <v>0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1803"/>
      <c r="B195" s="1226">
        <f>BL63</f>
        <v>220</v>
      </c>
      <c r="C195" s="153" t="e">
        <f>#REF!</f>
        <v>#REF!</v>
      </c>
      <c r="D195" s="153">
        <f>J156</f>
        <v>26.5</v>
      </c>
      <c r="E195" s="155">
        <f>AK71</f>
        <v>-11</v>
      </c>
      <c r="F195" s="155">
        <f>BF35</f>
        <v>70.8</v>
      </c>
      <c r="G195" s="155">
        <f>BD35</f>
        <v>25.3</v>
      </c>
      <c r="H195" s="153">
        <f>AJ156</f>
        <v>83</v>
      </c>
      <c r="I195" s="155">
        <f>BN59</f>
        <v>8.8000000000000007</v>
      </c>
      <c r="J195" s="155">
        <f>BN61</f>
        <v>12.3</v>
      </c>
      <c r="K195" s="155">
        <f>AR53</f>
        <v>84.9</v>
      </c>
      <c r="L195" s="153" t="e">
        <f>#REF!</f>
        <v>#REF!</v>
      </c>
      <c r="M195" s="155">
        <f>AJ42</f>
        <v>88.1</v>
      </c>
      <c r="N195" s="155">
        <f>BL60</f>
        <v>63.6</v>
      </c>
      <c r="O195" s="155">
        <f>BL59</f>
        <v>66.599999999999994</v>
      </c>
      <c r="P195" s="155">
        <f>AZ90</f>
        <v>16.2</v>
      </c>
      <c r="Q195" s="153">
        <f>F156</f>
        <v>0</v>
      </c>
      <c r="R195" s="155">
        <f>BJ90</f>
        <v>81</v>
      </c>
      <c r="S195" s="155">
        <f>BL90</f>
        <v>56</v>
      </c>
      <c r="T195" s="155">
        <f>BO90</f>
        <v>37</v>
      </c>
      <c r="U195" s="155" t="e">
        <f>BF90</f>
        <v>#DIV/0!</v>
      </c>
      <c r="V195" s="153" t="e">
        <f>#REF!</f>
        <v>#REF!</v>
      </c>
      <c r="W195" s="155">
        <f>MAX(AX55,BA53,BA55)</f>
        <v>9.6</v>
      </c>
      <c r="X195" s="153">
        <f>Q156</f>
        <v>79.8</v>
      </c>
      <c r="Y195" s="153" t="e">
        <f>#REF!</f>
        <v>#REF!</v>
      </c>
      <c r="Z195" s="154">
        <f>AQ156</f>
        <v>0</v>
      </c>
      <c r="AA195" s="1225">
        <f>B156</f>
        <v>42.1</v>
      </c>
      <c r="AB195" s="1225">
        <f>D156</f>
        <v>0</v>
      </c>
      <c r="AC195" s="1227">
        <f>AK107</f>
        <v>99.45</v>
      </c>
      <c r="AD195" s="1227">
        <f>AL107</f>
        <v>0.14000000000000001</v>
      </c>
      <c r="AE195" s="1225">
        <f>R156</f>
        <v>48.4</v>
      </c>
      <c r="AF195" s="153">
        <f>BO113</f>
        <v>175.7</v>
      </c>
      <c r="AG195" s="160"/>
      <c r="AH195" s="1739"/>
      <c r="AI195" s="179">
        <f>AZ125</f>
        <v>380</v>
      </c>
      <c r="AJ195" s="189">
        <f>AN73</f>
        <v>62</v>
      </c>
      <c r="AK195" s="181">
        <f>M156</f>
        <v>37.4</v>
      </c>
      <c r="AL195" s="181">
        <f>H156</f>
        <v>36</v>
      </c>
      <c r="AM195" s="151">
        <f>BA111</f>
        <v>153.9</v>
      </c>
      <c r="AN195" s="151"/>
      <c r="AO195" s="151">
        <f>BA115</f>
        <v>386.2</v>
      </c>
      <c r="AP195" s="151">
        <f>BA117</f>
        <v>157.4</v>
      </c>
      <c r="AQ195" s="151"/>
      <c r="AR195" s="151" t="e">
        <f>BA116</f>
        <v>#DIV/0!</v>
      </c>
      <c r="AS195" s="151"/>
      <c r="AT195" s="151">
        <f>BA119</f>
        <v>530</v>
      </c>
      <c r="AU195" s="151">
        <f>AW129</f>
        <v>61</v>
      </c>
      <c r="AV195" s="158">
        <f>AX129</f>
        <v>54</v>
      </c>
      <c r="AW195" s="158">
        <f>AY129</f>
        <v>57</v>
      </c>
      <c r="AX195" s="158">
        <f>AT129</f>
        <v>3.6</v>
      </c>
      <c r="AY195" s="158">
        <f>AU129</f>
        <v>3</v>
      </c>
      <c r="AZ195" s="158">
        <f>AV129</f>
        <v>3.8</v>
      </c>
      <c r="BA195" s="190">
        <f>BD113</f>
        <v>3.2</v>
      </c>
      <c r="BB195" s="191">
        <f>CO71+CS71</f>
        <v>12</v>
      </c>
      <c r="BC195" s="188"/>
      <c r="BD195" s="188">
        <f>CP71+CT71</f>
        <v>0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2" t="s">
        <v>188</v>
      </c>
      <c r="B196" s="1202">
        <f>COUNT(C9:C30,AK9:AK30)</f>
        <v>9</v>
      </c>
      <c r="C196" s="1202">
        <f>COUNT(E9:E30,AM9:AM30)</f>
        <v>10</v>
      </c>
      <c r="D196" s="1202">
        <f>COUNT(F9:F30,AN9:AN30)</f>
        <v>5</v>
      </c>
      <c r="E196" s="1202">
        <f>COUNT(AC78:AC89,BK78:BK89)</f>
        <v>4</v>
      </c>
      <c r="F196" s="1202">
        <f>COUNT(AE78:AE89,BM78:BM89)</f>
        <v>0</v>
      </c>
      <c r="G196" s="1202">
        <f>COUNT(G9:G34,AO9:AO34)</f>
        <v>5</v>
      </c>
      <c r="H196" s="1202">
        <f>COUNT(H9:H35,AP9:AP35)</f>
        <v>2</v>
      </c>
      <c r="I196" s="1202">
        <f>COUNT(I9:I35,AQ9:AQ35)</f>
        <v>6</v>
      </c>
      <c r="J196" s="1202">
        <f>COUNT(J9:J34,AR9:AR34)</f>
        <v>22</v>
      </c>
      <c r="K196" s="1202">
        <f>COUNT(B57:G58,J57:K58,AJ57:AO58,AR57:AS58)</f>
        <v>32</v>
      </c>
      <c r="L196" s="1202">
        <f>COUNT(L57:L58,AT5:AT57)</f>
        <v>10</v>
      </c>
      <c r="M196" s="1202">
        <f>COUNT(K35,AS35)</f>
        <v>1</v>
      </c>
      <c r="N196" s="1202">
        <f>COUNT(L35,AT35)</f>
        <v>1</v>
      </c>
      <c r="O196" s="1202">
        <f>COUNT(M35,AU35)</f>
        <v>1</v>
      </c>
      <c r="P196" s="1202">
        <f>COUNT(K9:M28,AS9:AU28)</f>
        <v>11</v>
      </c>
      <c r="Q196" s="1202">
        <f>COUNT(N35,AV35)</f>
        <v>1</v>
      </c>
      <c r="R196" s="1202">
        <f>COUNT(O35,AW35)</f>
        <v>1</v>
      </c>
      <c r="S196" s="1202">
        <f>COUNT(P35,AX35)</f>
        <v>1</v>
      </c>
      <c r="T196" s="1202">
        <f>COUNT(N9:P28,AV9:AX28)</f>
        <v>9</v>
      </c>
      <c r="U196" s="1202">
        <f>COUNT(Q9:Q33,AY9:AY33)</f>
        <v>5</v>
      </c>
      <c r="V196" s="1202">
        <f>COUNT(R9:R33,AZ9:AZ33)</f>
        <v>6</v>
      </c>
      <c r="W196" s="1202">
        <f>COUNT(S9:S33,BA9:BA33)</f>
        <v>6</v>
      </c>
      <c r="X196" s="1202">
        <f>COUNT(T9:T33,BB9:BB33)</f>
        <v>6</v>
      </c>
      <c r="Y196" s="1202">
        <f>COUNT(T34,BB34)</f>
        <v>2</v>
      </c>
      <c r="Z196" s="1202">
        <f>COUNT(U9:U33,BC9:BC33)</f>
        <v>5</v>
      </c>
      <c r="AA196" s="1202">
        <f>COUNT(V9:V33,BD9:BD33)</f>
        <v>6</v>
      </c>
      <c r="AB196" s="1202">
        <f>COUNT(W9:W33,BE9:BE33)</f>
        <v>6</v>
      </c>
      <c r="AC196" s="1202">
        <f>COUNT(X9:X33,BF9:BF33)</f>
        <v>6</v>
      </c>
      <c r="AD196" s="1202">
        <f>COUNT(X34,BF34)</f>
        <v>2</v>
      </c>
      <c r="AE196" s="1202">
        <f>COUNT(Y9:Y33,BG9:BG33)</f>
        <v>5</v>
      </c>
      <c r="AF196" s="1202">
        <f>COUNT(Z9:Z33,BH9:BH33)</f>
        <v>6</v>
      </c>
      <c r="AG196" s="1219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11</v>
      </c>
      <c r="AK196" s="159">
        <f>COUNT(L78:L89,AT78:AT89)</f>
        <v>10</v>
      </c>
      <c r="AL196" s="159">
        <f>COUNT(M78:T89,AU78:BB89)</f>
        <v>15</v>
      </c>
      <c r="AM196" s="159">
        <f>COUNT(E78:E89,AM78:AM89)</f>
        <v>9</v>
      </c>
      <c r="AN196" s="159">
        <f>COUNT(F78:F89,AN78:AN89)</f>
        <v>8</v>
      </c>
      <c r="AO196" s="159">
        <f>COUNT(G78:G89,AO78:AO89)</f>
        <v>9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7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6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7</v>
      </c>
      <c r="BL196" s="159">
        <f>COUNT(K40:K53,AS40:AS53)</f>
        <v>7</v>
      </c>
      <c r="BM196" s="159">
        <f>COUNT(L40:L53,AT40:AT53)</f>
        <v>7</v>
      </c>
      <c r="BN196" s="159">
        <f>COUNT(M40:M53,AU40:AU53)</f>
        <v>7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6</v>
      </c>
      <c r="BV196" s="159">
        <f>COUNT(O40:O54,AW40:AW54)</f>
        <v>12</v>
      </c>
      <c r="BW196" s="159">
        <f>COUNT(P40:P54,AX40:AX54)</f>
        <v>12</v>
      </c>
      <c r="BX196" s="159">
        <f>COUNT(Q40:Q54,AY40:AY54)</f>
        <v>12</v>
      </c>
      <c r="BY196" s="159">
        <f t="shared" ref="BY196:CD196" si="82">COUNT(R40:R53,AZ40:AZ53)</f>
        <v>14</v>
      </c>
      <c r="BZ196" s="159">
        <f t="shared" si="82"/>
        <v>14</v>
      </c>
      <c r="CA196" s="159">
        <f t="shared" si="82"/>
        <v>7</v>
      </c>
      <c r="CB196" s="159">
        <f>COUNT(U40:U54,BC40:BC54)</f>
        <v>6</v>
      </c>
      <c r="CC196" s="159">
        <f t="shared" si="82"/>
        <v>6</v>
      </c>
      <c r="CD196" s="159">
        <f t="shared" si="82"/>
        <v>4</v>
      </c>
      <c r="CE196" s="159">
        <f>COUNT(X40:X53,BF40:BF53)</f>
        <v>6</v>
      </c>
      <c r="CF196" s="159">
        <f>COUNT(Y40:Y55,BG40:BG55)</f>
        <v>8</v>
      </c>
      <c r="CG196" s="159">
        <f t="shared" ref="CG196:CL196" si="83">COUNT(Z40:Z53,BH40:BH53)</f>
        <v>26</v>
      </c>
      <c r="CH196" s="159">
        <f t="shared" si="83"/>
        <v>14</v>
      </c>
      <c r="CI196" s="159">
        <f t="shared" si="83"/>
        <v>14</v>
      </c>
      <c r="CJ196" s="159">
        <f t="shared" si="83"/>
        <v>14</v>
      </c>
      <c r="CK196" s="159">
        <f t="shared" si="83"/>
        <v>14</v>
      </c>
      <c r="CL196" s="159">
        <f t="shared" si="83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276" t="s">
        <v>1026</v>
      </c>
      <c r="B198" s="2276"/>
      <c r="C198" s="2276"/>
      <c r="D198" s="1209" t="s">
        <v>1027</v>
      </c>
      <c r="E198" s="2277" t="s">
        <v>1028</v>
      </c>
      <c r="F198" s="2277"/>
      <c r="G198" s="2277"/>
      <c r="H198" s="2277"/>
      <c r="I198" s="2277"/>
      <c r="J198" s="2277"/>
      <c r="K198" s="2277" t="s">
        <v>1029</v>
      </c>
      <c r="L198" s="2277"/>
      <c r="M198" s="2277"/>
      <c r="N198" s="2277" t="s">
        <v>1030</v>
      </c>
      <c r="O198" s="2277"/>
      <c r="P198" s="2277"/>
      <c r="Q198" s="1210" t="s">
        <v>1031</v>
      </c>
      <c r="R198" s="2278" t="s">
        <v>1032</v>
      </c>
      <c r="S198" s="2278"/>
      <c r="T198" s="2278"/>
      <c r="U198" s="2277" t="s">
        <v>1033</v>
      </c>
      <c r="V198" s="2277"/>
      <c r="W198" s="2277"/>
      <c r="X198" s="2276" t="s">
        <v>1034</v>
      </c>
      <c r="Y198" s="2276"/>
      <c r="Z198" s="2276"/>
      <c r="AA198" s="1209" t="s">
        <v>1035</v>
      </c>
      <c r="AB198" s="2278" t="s">
        <v>1036</v>
      </c>
      <c r="AC198" s="2278"/>
      <c r="AD198" s="2278"/>
      <c r="AE198" s="2279" t="s">
        <v>1037</v>
      </c>
      <c r="AF198" s="2279"/>
      <c r="AG198" s="2279"/>
      <c r="AH198" s="1208" t="s">
        <v>1038</v>
      </c>
      <c r="AI198" s="2280" t="s">
        <v>1420</v>
      </c>
      <c r="AJ198" s="2280"/>
      <c r="AK198" s="2280"/>
      <c r="AL198" s="2280"/>
      <c r="AM198" s="2280"/>
      <c r="AN198" s="2280"/>
      <c r="AO198" s="2280"/>
      <c r="AP198" s="2280"/>
      <c r="AQ198" s="2280"/>
      <c r="AR198" s="2281" t="s">
        <v>1039</v>
      </c>
      <c r="AS198" s="2281"/>
      <c r="AT198" s="2281"/>
      <c r="AU198" s="2281"/>
      <c r="AV198" s="2281"/>
      <c r="AW198" s="2281"/>
      <c r="AX198" s="2281"/>
      <c r="AY198" s="2281"/>
      <c r="AZ198" s="2281"/>
      <c r="BA198" s="2278" t="s">
        <v>1040</v>
      </c>
      <c r="BB198" s="2278"/>
      <c r="BC198" s="2278"/>
      <c r="BD198" s="2286" t="s">
        <v>1041</v>
      </c>
    </row>
    <row r="199" spans="1:105" ht="33.75" customHeight="1" x14ac:dyDescent="0.3">
      <c r="A199" s="1211" t="s">
        <v>129</v>
      </c>
      <c r="B199" s="1211" t="s">
        <v>1042</v>
      </c>
      <c r="C199" s="1211" t="s">
        <v>1043</v>
      </c>
      <c r="D199" s="1212" t="s">
        <v>1043</v>
      </c>
      <c r="E199" s="1213" t="s">
        <v>9</v>
      </c>
      <c r="F199" s="1211" t="s">
        <v>1042</v>
      </c>
      <c r="G199" s="1214" t="s">
        <v>1043</v>
      </c>
      <c r="H199" s="1213" t="s">
        <v>1044</v>
      </c>
      <c r="I199" s="1211" t="s">
        <v>1042</v>
      </c>
      <c r="J199" s="1214" t="s">
        <v>1043</v>
      </c>
      <c r="K199" s="1211" t="s">
        <v>1045</v>
      </c>
      <c r="L199" s="1211" t="s">
        <v>1042</v>
      </c>
      <c r="M199" s="1211" t="s">
        <v>1043</v>
      </c>
      <c r="N199" s="1211" t="s">
        <v>274</v>
      </c>
      <c r="O199" s="1211" t="s">
        <v>1042</v>
      </c>
      <c r="P199" s="1211" t="s">
        <v>1043</v>
      </c>
      <c r="Q199" s="1211" t="s">
        <v>274</v>
      </c>
      <c r="R199" s="1211" t="s">
        <v>1045</v>
      </c>
      <c r="S199" s="1211" t="s">
        <v>1042</v>
      </c>
      <c r="T199" s="1211" t="s">
        <v>1043</v>
      </c>
      <c r="U199" s="1211" t="s">
        <v>1045</v>
      </c>
      <c r="V199" s="1211" t="s">
        <v>1046</v>
      </c>
      <c r="W199" s="1211" t="s">
        <v>1043</v>
      </c>
      <c r="X199" s="1211" t="s">
        <v>129</v>
      </c>
      <c r="Y199" s="1211" t="s">
        <v>1042</v>
      </c>
      <c r="Z199" s="1211" t="s">
        <v>1043</v>
      </c>
      <c r="AA199" s="1212" t="s">
        <v>1043</v>
      </c>
      <c r="AB199" s="1211" t="s">
        <v>151</v>
      </c>
      <c r="AC199" s="1211" t="s">
        <v>1042</v>
      </c>
      <c r="AD199" s="1211" t="s">
        <v>1043</v>
      </c>
      <c r="AE199" s="1211" t="s">
        <v>129</v>
      </c>
      <c r="AF199" s="1211" t="s">
        <v>1042</v>
      </c>
      <c r="AG199" s="1211" t="s">
        <v>1043</v>
      </c>
      <c r="AH199" s="1212" t="s">
        <v>1043</v>
      </c>
      <c r="AI199" s="1215" t="s">
        <v>1047</v>
      </c>
      <c r="AJ199" s="1211" t="s">
        <v>1042</v>
      </c>
      <c r="AK199" s="1211" t="s">
        <v>1043</v>
      </c>
      <c r="AL199" s="1215" t="s">
        <v>1048</v>
      </c>
      <c r="AM199" s="1211" t="s">
        <v>1042</v>
      </c>
      <c r="AN199" s="1211" t="s">
        <v>1043</v>
      </c>
      <c r="AO199" s="1211" t="s">
        <v>53</v>
      </c>
      <c r="AP199" s="1211" t="s">
        <v>1042</v>
      </c>
      <c r="AQ199" s="1211" t="s">
        <v>1043</v>
      </c>
      <c r="AR199" s="1215" t="s">
        <v>1049</v>
      </c>
      <c r="AS199" s="1211" t="s">
        <v>1042</v>
      </c>
      <c r="AT199" s="1211" t="s">
        <v>1043</v>
      </c>
      <c r="AU199" s="1215" t="s">
        <v>1050</v>
      </c>
      <c r="AV199" s="1211" t="s">
        <v>1042</v>
      </c>
      <c r="AW199" s="1211" t="s">
        <v>1043</v>
      </c>
      <c r="AX199" s="1215" t="s">
        <v>1051</v>
      </c>
      <c r="AY199" s="1211" t="s">
        <v>1042</v>
      </c>
      <c r="AZ199" s="1211" t="s">
        <v>1043</v>
      </c>
      <c r="BA199" s="1211" t="s">
        <v>151</v>
      </c>
      <c r="BB199" s="1211" t="s">
        <v>1042</v>
      </c>
      <c r="BC199" s="1211" t="s">
        <v>1043</v>
      </c>
      <c r="BD199" s="2286"/>
    </row>
    <row r="200" spans="1:105" ht="33.75" customHeight="1" x14ac:dyDescent="0.3">
      <c r="A200" s="1207">
        <f>AA90</f>
        <v>80</v>
      </c>
      <c r="B200" s="1216">
        <f>COUNT(AA78:AA89)</f>
        <v>1</v>
      </c>
      <c r="C200" s="1216">
        <f>COUNTIF(AA78:AA89,"&lt;75,0")</f>
        <v>0</v>
      </c>
      <c r="D200" s="1216">
        <f>COUNTIF(AA78:AA89,"&lt;80,0")</f>
        <v>0</v>
      </c>
      <c r="E200" s="1206">
        <f>C107</f>
        <v>99.45</v>
      </c>
      <c r="F200" s="1206">
        <f>COUNT(C95:C106,G95:G106,K95:K106,S95:S106,O95:O106)</f>
        <v>18</v>
      </c>
      <c r="G200" s="1217">
        <f>COUNTIF(C95:C106,"&lt;99,00")+COUNTIF(G95:G106,"&lt;99,00")+COUNTIF(K95:K106,"&lt;99,00")+COUNTIF(S95:S106,"&lt;99,00")</f>
        <v>0</v>
      </c>
      <c r="H200" s="1206">
        <f>D107</f>
        <v>0.21</v>
      </c>
      <c r="I200" s="1206">
        <f>F200</f>
        <v>18</v>
      </c>
      <c r="J200" s="1217">
        <f>COUNTIF(D95:D106,"&gt;0,15")+COUNTIF(H95:H106,"&gt;0,15")+COUNTIF(L95:L106,"&gt;0,15")+COUNTIF(T95:T106,"&gt;0,15")</f>
        <v>12</v>
      </c>
      <c r="K200" s="1206">
        <f>AG113</f>
        <v>178</v>
      </c>
      <c r="L200" s="1206">
        <f>AG114</f>
        <v>6</v>
      </c>
      <c r="M200" s="1216">
        <f>COUNTIF(Y113:AF113,"&lt;165")+COUNTIF(Y113:AF113,"&gt;185")</f>
        <v>0</v>
      </c>
      <c r="N200" s="1206">
        <f>S116</f>
        <v>9.1999999999999993</v>
      </c>
      <c r="O200" s="1206">
        <f>T116</f>
        <v>10</v>
      </c>
      <c r="P200" s="1216">
        <f>COUNTIF(AK116:AZ116,"&lt;8,5")</f>
        <v>0</v>
      </c>
      <c r="Q200" s="1206">
        <f>S117</f>
        <v>161.4</v>
      </c>
      <c r="R200" s="1206">
        <f>S115</f>
        <v>416</v>
      </c>
      <c r="S200" s="1206">
        <f>T115</f>
        <v>10</v>
      </c>
      <c r="T200" s="1216">
        <f>COUNTIF(C115:R115,"&gt;550")</f>
        <v>0</v>
      </c>
      <c r="U200" s="1206">
        <f>S111</f>
        <v>155.9</v>
      </c>
      <c r="V200" s="1206">
        <f>T111</f>
        <v>10</v>
      </c>
      <c r="W200" s="1216">
        <f>COUNTIF(C111:R111,"&lt;145")+COUNTIF(C111:R111,"&gt;165")</f>
        <v>0</v>
      </c>
      <c r="X200" s="1207">
        <f>AB90</f>
        <v>82</v>
      </c>
      <c r="Y200" s="1216">
        <f>COUNT(AB78:AB89)</f>
        <v>1</v>
      </c>
      <c r="Z200" s="1216">
        <f>COUNTIF(AB78:AB89,"&lt;84,0")</f>
        <v>1</v>
      </c>
      <c r="AA200" s="1216">
        <f>COUNTIF(AB78:AB89,"&lt;90,0")</f>
        <v>1</v>
      </c>
      <c r="AB200" s="1206"/>
      <c r="AC200" s="1206"/>
      <c r="AD200" s="1206"/>
      <c r="AE200" s="1206"/>
      <c r="AF200" s="1206"/>
      <c r="AG200" s="1206"/>
      <c r="AH200" s="1206"/>
      <c r="AI200" s="1206">
        <f>O125</f>
        <v>58</v>
      </c>
      <c r="AJ200" s="1206">
        <v>1</v>
      </c>
      <c r="AK200" s="1218">
        <f>COUNTIF(O129,"&lt;50")+COUNTIF(O129,"&gt;70")</f>
        <v>0</v>
      </c>
      <c r="AL200" s="1206">
        <f>P125</f>
        <v>56</v>
      </c>
      <c r="AM200" s="1206">
        <v>1</v>
      </c>
      <c r="AN200" s="1218">
        <f>COUNTIF(P129,"&lt;50")+COUNTIF(P129,"&gt;70")</f>
        <v>0</v>
      </c>
      <c r="AO200" s="1206">
        <f>Q125</f>
        <v>54</v>
      </c>
      <c r="AP200" s="1206">
        <v>1</v>
      </c>
      <c r="AQ200" s="1218">
        <f>COUNTIF(Q129,"&lt;50")+COUNTIF(Q129,"&gt;70")</f>
        <v>0</v>
      </c>
      <c r="AR200" s="1206">
        <f>L125</f>
        <v>3.7</v>
      </c>
      <c r="AS200" s="1206">
        <v>1</v>
      </c>
      <c r="AT200" s="1218">
        <f>COUNTIF(L129,"&lt;3,6")+COUNTIF(L129,"&gt;4,2")</f>
        <v>0</v>
      </c>
      <c r="AU200" s="1206">
        <f>M125</f>
        <v>3.1</v>
      </c>
      <c r="AV200" s="1206">
        <v>1</v>
      </c>
      <c r="AW200" s="1218">
        <f>COUNTIF(M129,"&lt;2,5")+COUNTIF(M129,"&gt;3,3")</f>
        <v>0</v>
      </c>
      <c r="AX200" s="1206">
        <f>N125</f>
        <v>3.9</v>
      </c>
      <c r="AY200" s="1206">
        <v>1</v>
      </c>
      <c r="AZ200" s="1218">
        <f>COUNTIF(N129,"&lt;3,4")+COUNTIF(N129,"&gt;4,2")</f>
        <v>0</v>
      </c>
      <c r="BA200" s="1206">
        <f>R125</f>
        <v>320</v>
      </c>
      <c r="BB200" s="1206">
        <v>1</v>
      </c>
      <c r="BC200" s="1216">
        <f>COUNTIF(R125,"&lt;380")</f>
        <v>1</v>
      </c>
      <c r="BD200" s="1206">
        <f>E107</f>
        <v>2.5000000000000001E-3</v>
      </c>
    </row>
    <row r="201" spans="1:105" ht="33.75" customHeight="1" x14ac:dyDescent="0.3">
      <c r="A201" s="1207">
        <f>BI90</f>
        <v>80</v>
      </c>
      <c r="B201" s="1216">
        <f>COUNT(BI78:BI89)</f>
        <v>1</v>
      </c>
      <c r="C201" s="1216">
        <f>COUNTIF(BI78:BI89,"&lt;75,0")</f>
        <v>0</v>
      </c>
      <c r="D201" s="1216">
        <f>COUNTIF(BI78:BI89,"&lt;80,0")</f>
        <v>0</v>
      </c>
      <c r="E201" s="1206">
        <f>AK107</f>
        <v>99.45</v>
      </c>
      <c r="F201" s="1206">
        <f>COUNT(AK95:AK106,AO95:AO106,AS95:AS106,AW95:AW106,BA95:BA106)</f>
        <v>36</v>
      </c>
      <c r="G201" s="1217">
        <f>COUNTIF(AK95:AK106,"&lt;99,00")+COUNTIF(AO95:AO106,"&lt;99,00")+COUNTIF(AS95:AS106,"&lt;99,00")+COUNTIF(BA95:BA106,"&lt;99,00")</f>
        <v>0</v>
      </c>
      <c r="H201" s="1206">
        <f>AL107</f>
        <v>0.14000000000000001</v>
      </c>
      <c r="I201" s="1206">
        <f>F201</f>
        <v>36</v>
      </c>
      <c r="J201" s="1217">
        <f>COUNTIF(AL95:AL106,"&gt;0,15")+COUNTIF(AP95:AP106,"&gt;0,15")+COUNTIF(AT95:AT106,"&gt;0,15")+COUNTIF(BB95:BB106,"&gt;0,15")</f>
        <v>2</v>
      </c>
      <c r="K201" s="1206">
        <f>BO113</f>
        <v>175.7</v>
      </c>
      <c r="L201" s="1206">
        <f>BO114</f>
        <v>6</v>
      </c>
      <c r="M201" s="1216">
        <f>COUNTIF(BG113:BN113,"&lt;165")+COUNTIF(BG113:BN113,"&gt;185")</f>
        <v>0</v>
      </c>
      <c r="N201" s="1207" t="e">
        <f>BA116</f>
        <v>#DIV/0!</v>
      </c>
      <c r="O201" s="1554">
        <f>BB116</f>
        <v>0</v>
      </c>
      <c r="P201" s="1216">
        <f>COUNTIF(C117:R117,"&lt;8,5")</f>
        <v>0</v>
      </c>
      <c r="Q201" s="1206">
        <f>BA117</f>
        <v>157.4</v>
      </c>
      <c r="R201" s="1206">
        <f>BA115</f>
        <v>386.2</v>
      </c>
      <c r="S201" s="1206">
        <f>BB115</f>
        <v>9</v>
      </c>
      <c r="T201" s="1216">
        <f>COUNTIF(AK115:AZ115,"&gt;550")</f>
        <v>0</v>
      </c>
      <c r="U201" s="1206">
        <f>BA111</f>
        <v>153.9</v>
      </c>
      <c r="V201" s="1206">
        <f>BB111</f>
        <v>9</v>
      </c>
      <c r="W201" s="1216">
        <f>COUNTIF(AK111:AZ111,"&lt;145")+COUNTIF(AK111:AZ111,"&gt;165")</f>
        <v>0</v>
      </c>
      <c r="X201" s="1207">
        <f>BJ90</f>
        <v>81</v>
      </c>
      <c r="Y201" s="1216">
        <f>COUNT(BJ78:BJ89)</f>
        <v>1</v>
      </c>
      <c r="Z201" s="1216">
        <f>COUNTIF(BJ78:BJ89,"&lt;84,0")</f>
        <v>1</v>
      </c>
      <c r="AA201" s="1216">
        <f>COUNTIF(BJ78:BJ89,"&lt;90,0")</f>
        <v>1</v>
      </c>
      <c r="AB201" s="1206">
        <f>BA112</f>
        <v>94.8</v>
      </c>
      <c r="AC201" s="1206">
        <f>BB112</f>
        <v>9</v>
      </c>
      <c r="AD201" s="1216">
        <f>COUNTIF(AK112:AZ112,"&gt;120")</f>
        <v>0</v>
      </c>
      <c r="AE201" s="1206"/>
      <c r="AF201" s="1206"/>
      <c r="AG201" s="1206"/>
      <c r="AH201" s="1206"/>
      <c r="AI201" s="1206">
        <f>AW125</f>
        <v>61</v>
      </c>
      <c r="AJ201" s="1206">
        <v>1</v>
      </c>
      <c r="AK201" s="1218">
        <f>COUNTIF(AW129,"&lt;50")+COUNTIF(AW129,"&gt;70")</f>
        <v>0</v>
      </c>
      <c r="AL201" s="1206">
        <f>AX125</f>
        <v>54</v>
      </c>
      <c r="AM201" s="1206">
        <v>1</v>
      </c>
      <c r="AN201" s="1218">
        <f>COUNTIF(AX129,"&lt;50")+COUNTIF(AX129,"&gt;70")</f>
        <v>0</v>
      </c>
      <c r="AO201" s="1206">
        <f>AY125</f>
        <v>57</v>
      </c>
      <c r="AP201" s="1206">
        <v>1</v>
      </c>
      <c r="AQ201" s="1218">
        <f>COUNTIF(AY129,"&lt;50")+COUNTIF(AY129,"&gt;70")</f>
        <v>0</v>
      </c>
      <c r="AR201" s="1206">
        <f>AT125</f>
        <v>3.6</v>
      </c>
      <c r="AS201" s="1206">
        <v>1</v>
      </c>
      <c r="AT201" s="1218">
        <f>COUNTIF(AT129,"&lt;3,6")+COUNTIF(AT129,"&gt;4,2")</f>
        <v>0</v>
      </c>
      <c r="AU201" s="1206">
        <f>AU125</f>
        <v>3</v>
      </c>
      <c r="AV201" s="1206">
        <v>1</v>
      </c>
      <c r="AW201" s="1218">
        <f>COUNTIF(AU129,"&lt;2,5")+COUNTIF(AU129,"&gt;3,3")</f>
        <v>0</v>
      </c>
      <c r="AX201" s="1206">
        <f>AV125</f>
        <v>3.8</v>
      </c>
      <c r="AY201" s="1206">
        <v>1</v>
      </c>
      <c r="AZ201" s="1218">
        <f>COUNTIF(AV129,"&lt;3,4")+COUNTIF(AV129,"&gt;4,2")</f>
        <v>0</v>
      </c>
      <c r="BA201" s="1206">
        <f>AZ125</f>
        <v>380</v>
      </c>
      <c r="BB201" s="1206">
        <v>1</v>
      </c>
      <c r="BC201" s="1216">
        <f>COUNTIF(AZ125,"&lt;380")</f>
        <v>0</v>
      </c>
      <c r="BD201" s="1206">
        <f>AM107</f>
        <v>2.2000000000000001E-3</v>
      </c>
      <c r="BE201" s="25"/>
      <c r="BF201" s="25"/>
      <c r="BG201" s="25"/>
    </row>
    <row r="203" spans="1:105" x14ac:dyDescent="0.3">
      <c r="A203" s="1206" t="s">
        <v>129</v>
      </c>
      <c r="B203" s="1206"/>
      <c r="C203" s="1206" t="s">
        <v>1052</v>
      </c>
      <c r="D203" s="1206"/>
      <c r="E203" s="1206"/>
      <c r="F203" s="1206"/>
      <c r="G203" s="1206"/>
      <c r="BP203" s="3"/>
    </row>
    <row r="204" spans="1:105" x14ac:dyDescent="0.3">
      <c r="A204" s="1206" t="s">
        <v>1053</v>
      </c>
      <c r="B204" s="1206" t="s">
        <v>1054</v>
      </c>
      <c r="C204" s="1206" t="s">
        <v>1055</v>
      </c>
      <c r="D204" s="1206" t="s">
        <v>394</v>
      </c>
      <c r="E204" s="1206" t="s">
        <v>1056</v>
      </c>
      <c r="F204" s="1206" t="s">
        <v>1057</v>
      </c>
      <c r="G204" s="1206" t="s">
        <v>1058</v>
      </c>
      <c r="BP204" s="3"/>
    </row>
    <row r="205" spans="1:105" x14ac:dyDescent="0.3">
      <c r="A205" s="1207" t="e">
        <f>X90</f>
        <v>#DIV/0!</v>
      </c>
      <c r="B205" s="1207">
        <f>AVERAGE(AG78:AG89)</f>
        <v>37.4</v>
      </c>
      <c r="C205" s="1206">
        <f>V111</f>
        <v>30</v>
      </c>
      <c r="D205" s="1206">
        <f>V112</f>
        <v>252</v>
      </c>
      <c r="E205" s="1206">
        <f>V114</f>
        <v>36</v>
      </c>
      <c r="F205" s="1207">
        <f>AG112</f>
        <v>-0.5</v>
      </c>
      <c r="G205" s="1207">
        <f>AG111</f>
        <v>25.3</v>
      </c>
      <c r="BP205" s="3"/>
    </row>
    <row r="206" spans="1:105" x14ac:dyDescent="0.3">
      <c r="A206" s="1207" t="e">
        <f>BF90</f>
        <v>#DIV/0!</v>
      </c>
      <c r="B206" s="1207">
        <f>AVERAGE(BO78:BO89)</f>
        <v>37</v>
      </c>
      <c r="C206" s="1206">
        <f>BD111</f>
        <v>30</v>
      </c>
      <c r="D206" s="1206">
        <f>BD112</f>
        <v>250</v>
      </c>
      <c r="E206" s="1206">
        <f>BD114</f>
        <v>34</v>
      </c>
      <c r="F206" s="1207">
        <f>BO112</f>
        <v>-1</v>
      </c>
      <c r="G206" s="1207">
        <f>BO111</f>
        <v>23.2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48"/>
      <c r="DA211" s="1168"/>
    </row>
    <row r="212" spans="1:105" s="1265" customFormat="1" ht="28.5" customHeight="1" x14ac:dyDescent="0.2">
      <c r="A212" s="1302" t="s">
        <v>0</v>
      </c>
      <c r="B212" s="1791" t="s">
        <v>1324</v>
      </c>
      <c r="C212" s="1792"/>
      <c r="D212" s="1792"/>
      <c r="E212" s="1792"/>
      <c r="F212" s="1791" t="s">
        <v>1322</v>
      </c>
      <c r="G212" s="1792"/>
      <c r="H212" s="1792"/>
      <c r="I212" s="1792"/>
      <c r="J212" s="1793"/>
      <c r="K212" s="1737" t="s">
        <v>1312</v>
      </c>
      <c r="L212" s="1737"/>
      <c r="M212" s="1737"/>
      <c r="N212" s="1737"/>
      <c r="O212" s="1737"/>
      <c r="P212" s="1737" t="s">
        <v>1313</v>
      </c>
      <c r="Q212" s="1737"/>
      <c r="R212" s="1737"/>
      <c r="S212" s="1737"/>
      <c r="T212" s="1737"/>
      <c r="U212" s="1737" t="s">
        <v>1311</v>
      </c>
      <c r="V212" s="1737"/>
      <c r="W212" s="1737"/>
      <c r="X212" s="1737"/>
      <c r="Y212" s="1737"/>
      <c r="Z212" s="1743" t="s">
        <v>1400</v>
      </c>
      <c r="AA212" s="1744"/>
      <c r="AB212" s="1745" t="s">
        <v>1403</v>
      </c>
      <c r="AC212" s="1745"/>
      <c r="AD212" s="1336" t="s">
        <v>1401</v>
      </c>
      <c r="AE212" s="1743" t="s">
        <v>1393</v>
      </c>
      <c r="AF212" s="1744"/>
      <c r="AG212" s="1746"/>
      <c r="AH212" s="1336" t="s">
        <v>1402</v>
      </c>
      <c r="AI212" s="1670" t="s">
        <v>1315</v>
      </c>
      <c r="AJ212" s="1671"/>
      <c r="AK212" s="1671"/>
      <c r="AL212" s="1671"/>
      <c r="AM212" s="1672"/>
      <c r="AN212" s="1670" t="s">
        <v>1316</v>
      </c>
      <c r="AO212" s="1671"/>
      <c r="AP212" s="1671"/>
      <c r="AQ212" s="1671"/>
      <c r="AR212" s="1672"/>
      <c r="AS212" s="1670" t="s">
        <v>1314</v>
      </c>
      <c r="AT212" s="1671"/>
      <c r="AU212" s="1671"/>
      <c r="AV212" s="1671"/>
      <c r="AW212" s="1672"/>
      <c r="AX212" s="1743" t="s">
        <v>1287</v>
      </c>
      <c r="AY212" s="1744"/>
      <c r="AZ212" s="1746"/>
    </row>
    <row r="213" spans="1:105" s="1265" customFormat="1" ht="28.5" customHeight="1" x14ac:dyDescent="0.2">
      <c r="A213" s="1330" t="s">
        <v>1309</v>
      </c>
      <c r="B213" s="1301" t="s">
        <v>1279</v>
      </c>
      <c r="C213" s="1203" t="s">
        <v>1209</v>
      </c>
      <c r="D213" s="1330" t="s">
        <v>128</v>
      </c>
      <c r="E213" s="1203" t="s">
        <v>1277</v>
      </c>
      <c r="F213" s="1301" t="s">
        <v>1279</v>
      </c>
      <c r="G213" s="1203" t="s">
        <v>1209</v>
      </c>
      <c r="H213" s="1330" t="s">
        <v>128</v>
      </c>
      <c r="I213" s="1330" t="s">
        <v>1309</v>
      </c>
      <c r="J213" s="1203" t="s">
        <v>1277</v>
      </c>
      <c r="K213" s="1280" t="s">
        <v>1</v>
      </c>
      <c r="L213" s="1279" t="s">
        <v>1209</v>
      </c>
      <c r="M213" s="1279" t="s">
        <v>2</v>
      </c>
      <c r="N213" s="1279" t="s">
        <v>3</v>
      </c>
      <c r="O213" s="1279" t="s">
        <v>1309</v>
      </c>
      <c r="P213" s="1280" t="s">
        <v>1</v>
      </c>
      <c r="Q213" s="1279" t="s">
        <v>1209</v>
      </c>
      <c r="R213" s="1279" t="s">
        <v>2</v>
      </c>
      <c r="S213" s="1279" t="s">
        <v>3</v>
      </c>
      <c r="T213" s="1279" t="s">
        <v>1309</v>
      </c>
      <c r="U213" s="1280" t="s">
        <v>1</v>
      </c>
      <c r="V213" s="1279" t="s">
        <v>1209</v>
      </c>
      <c r="W213" s="1279" t="s">
        <v>2</v>
      </c>
      <c r="X213" s="1279" t="s">
        <v>3</v>
      </c>
      <c r="Y213" s="1279" t="s">
        <v>1309</v>
      </c>
      <c r="Z213" s="1272" t="s">
        <v>80</v>
      </c>
      <c r="AA213" s="1280" t="s">
        <v>1</v>
      </c>
      <c r="AB213" s="1336" t="s">
        <v>80</v>
      </c>
      <c r="AC213" s="1280" t="s">
        <v>1</v>
      </c>
      <c r="AD213" s="1279" t="s">
        <v>1387</v>
      </c>
      <c r="AE213" s="1272" t="s">
        <v>80</v>
      </c>
      <c r="AF213" s="1280" t="s">
        <v>1</v>
      </c>
      <c r="AG213" s="1279" t="s">
        <v>1387</v>
      </c>
      <c r="AH213" s="1279" t="s">
        <v>1309</v>
      </c>
      <c r="AI213" s="1280" t="s">
        <v>1</v>
      </c>
      <c r="AJ213" s="1279" t="s">
        <v>1209</v>
      </c>
      <c r="AK213" s="1279" t="s">
        <v>2</v>
      </c>
      <c r="AL213" s="1279" t="s">
        <v>3</v>
      </c>
      <c r="AM213" s="1279" t="s">
        <v>1309</v>
      </c>
      <c r="AN213" s="1280" t="s">
        <v>1</v>
      </c>
      <c r="AO213" s="1279" t="s">
        <v>1209</v>
      </c>
      <c r="AP213" s="1279" t="s">
        <v>2</v>
      </c>
      <c r="AQ213" s="1279" t="s">
        <v>3</v>
      </c>
      <c r="AR213" s="1279" t="s">
        <v>1309</v>
      </c>
      <c r="AS213" s="1280" t="s">
        <v>1</v>
      </c>
      <c r="AT213" s="1279" t="s">
        <v>1209</v>
      </c>
      <c r="AU213" s="1279" t="s">
        <v>2</v>
      </c>
      <c r="AV213" s="1279" t="s">
        <v>3</v>
      </c>
      <c r="AW213" s="1279" t="s">
        <v>1309</v>
      </c>
      <c r="AX213" s="1272" t="s">
        <v>133</v>
      </c>
      <c r="AY213" s="1335" t="s">
        <v>134</v>
      </c>
      <c r="AZ213" s="1336" t="s">
        <v>81</v>
      </c>
    </row>
    <row r="214" spans="1:105" s="1265" customFormat="1" ht="28.5" customHeight="1" x14ac:dyDescent="0.2">
      <c r="A214" s="1354">
        <f>H35</f>
        <v>42.1</v>
      </c>
      <c r="B214" s="1352"/>
      <c r="C214" s="1352"/>
      <c r="D214" s="1352"/>
      <c r="E214" s="1353">
        <f>L33</f>
        <v>57</v>
      </c>
      <c r="F214" s="1352"/>
      <c r="G214" s="1353"/>
      <c r="H214" s="1354"/>
      <c r="I214" s="1354"/>
      <c r="J214" s="1353">
        <f>O33</f>
        <v>36</v>
      </c>
      <c r="K214" s="1355">
        <f>Q33</f>
        <v>96.3</v>
      </c>
      <c r="L214" s="1355">
        <f t="shared" ref="L214:N214" si="84">R33</f>
        <v>26.6</v>
      </c>
      <c r="M214" s="1355">
        <f t="shared" si="84"/>
        <v>93.6</v>
      </c>
      <c r="N214" s="1355">
        <f t="shared" si="84"/>
        <v>67</v>
      </c>
      <c r="O214" s="1356">
        <f>T34</f>
        <v>36.5</v>
      </c>
      <c r="P214" s="1355">
        <f>U33</f>
        <v>95.9</v>
      </c>
      <c r="Q214" s="1355">
        <f t="shared" ref="Q214:S214" si="85">V33</f>
        <v>26.6</v>
      </c>
      <c r="R214" s="1355">
        <f t="shared" si="85"/>
        <v>91.9</v>
      </c>
      <c r="S214" s="1355">
        <f t="shared" si="85"/>
        <v>65.3</v>
      </c>
      <c r="T214" s="1356">
        <f>X34</f>
        <v>37.5</v>
      </c>
      <c r="U214" s="1355">
        <f>Y33</f>
        <v>96.3</v>
      </c>
      <c r="V214" s="1355">
        <f t="shared" ref="V214:X214" si="86">Z33</f>
        <v>26.2</v>
      </c>
      <c r="W214" s="1355">
        <f t="shared" si="86"/>
        <v>92.7</v>
      </c>
      <c r="X214" s="1355">
        <f t="shared" si="86"/>
        <v>66.5</v>
      </c>
      <c r="Y214" s="1356">
        <f>AB34</f>
        <v>38.1</v>
      </c>
      <c r="Z214" s="1357">
        <f>E90</f>
        <v>17</v>
      </c>
      <c r="AA214" s="1355">
        <f>AVERAGE(K78:K89)</f>
        <v>6.2E-2</v>
      </c>
      <c r="AB214" s="1356">
        <f>F90</f>
        <v>17.100000000000001</v>
      </c>
      <c r="AC214" s="1357">
        <f>AVERAGE(L78:L89)</f>
        <v>6.25E-2</v>
      </c>
      <c r="AD214" s="1355">
        <f>AVERAGE(U78:U89)</f>
        <v>1.15E-3</v>
      </c>
      <c r="AE214" s="1357">
        <f>G90</f>
        <v>19.100000000000001</v>
      </c>
      <c r="AF214" s="1355">
        <f>N90</f>
        <v>0.06</v>
      </c>
      <c r="AG214" s="1356">
        <f>AVERAGE(V78:V89)</f>
        <v>7.5000000000000002E-4</v>
      </c>
      <c r="AH214" s="1358">
        <f>D90</f>
        <v>12</v>
      </c>
      <c r="AI214" s="1356">
        <f>B40</f>
        <v>83.2</v>
      </c>
      <c r="AJ214" s="1356">
        <f t="shared" ref="AJ214:AL214" si="87">C40</f>
        <v>29.8</v>
      </c>
      <c r="AK214" s="1356">
        <f t="shared" si="87"/>
        <v>79.8</v>
      </c>
      <c r="AL214" s="1356">
        <f t="shared" si="87"/>
        <v>50</v>
      </c>
      <c r="AM214" s="1356">
        <f>F40</f>
        <v>40.5</v>
      </c>
      <c r="AN214" s="1356">
        <f>B41</f>
        <v>82.8</v>
      </c>
      <c r="AO214" s="1356">
        <f t="shared" ref="AO214:AR214" si="88">C41</f>
        <v>31</v>
      </c>
      <c r="AP214" s="1356">
        <f t="shared" si="88"/>
        <v>80.7</v>
      </c>
      <c r="AQ214" s="1356">
        <f t="shared" si="88"/>
        <v>49.7</v>
      </c>
      <c r="AR214" s="1356">
        <f t="shared" si="88"/>
        <v>38.299999999999997</v>
      </c>
      <c r="AS214" s="1356">
        <f>B44</f>
        <v>74.5</v>
      </c>
      <c r="AT214" s="1356">
        <f t="shared" ref="AT214:AW214" si="89">C44</f>
        <v>30.2</v>
      </c>
      <c r="AU214" s="1356">
        <f t="shared" si="89"/>
        <v>73.8</v>
      </c>
      <c r="AV214" s="1356">
        <f t="shared" si="89"/>
        <v>43.599999999999994</v>
      </c>
      <c r="AW214" s="1356">
        <f t="shared" si="89"/>
        <v>42.1</v>
      </c>
      <c r="AX214" s="1356">
        <f>D47</f>
        <v>13.6</v>
      </c>
      <c r="AY214" s="1359">
        <f>D48</f>
        <v>11.9</v>
      </c>
      <c r="AZ214" s="1357">
        <f>AF60</f>
        <v>15.3</v>
      </c>
      <c r="BA214" s="116"/>
      <c r="BB214" s="116"/>
    </row>
    <row r="215" spans="1:105" s="1265" customFormat="1" ht="28.5" customHeight="1" x14ac:dyDescent="0.2">
      <c r="A215" s="1354">
        <f>AP35</f>
        <v>39.200000000000003</v>
      </c>
      <c r="B215" s="1352">
        <f>AS35</f>
        <v>88.8</v>
      </c>
      <c r="C215" s="1352">
        <f t="shared" ref="C215:D215" si="90">AT35</f>
        <v>94.3</v>
      </c>
      <c r="D215" s="1352">
        <f t="shared" si="90"/>
        <v>91.5</v>
      </c>
      <c r="E215" s="1353">
        <f>AT33</f>
        <v>61</v>
      </c>
      <c r="F215" s="1352">
        <f>AV35</f>
        <v>88.4</v>
      </c>
      <c r="G215" s="1352">
        <f t="shared" ref="G215:H215" si="91">AW35</f>
        <v>95.1</v>
      </c>
      <c r="H215" s="1352">
        <f t="shared" si="91"/>
        <v>92.7</v>
      </c>
      <c r="I215" s="1354">
        <f>AW29</f>
        <v>63.7</v>
      </c>
      <c r="J215" s="1353">
        <f>AW33</f>
        <v>37</v>
      </c>
      <c r="K215" s="1355">
        <f>AY33</f>
        <v>97</v>
      </c>
      <c r="L215" s="1355">
        <f t="shared" ref="L215:N215" si="92">AZ33</f>
        <v>25.4</v>
      </c>
      <c r="M215" s="1355">
        <f t="shared" si="92"/>
        <v>96</v>
      </c>
      <c r="N215" s="1355">
        <f t="shared" si="92"/>
        <v>70.599999999999994</v>
      </c>
      <c r="O215" s="1355">
        <f>BB34</f>
        <v>33.9</v>
      </c>
      <c r="P215" s="1355">
        <f>BC33</f>
        <v>97</v>
      </c>
      <c r="Q215" s="1355">
        <f t="shared" ref="Q215:S215" si="93">BD33</f>
        <v>25</v>
      </c>
      <c r="R215" s="1355">
        <f t="shared" si="93"/>
        <v>96</v>
      </c>
      <c r="S215" s="1355">
        <f t="shared" si="93"/>
        <v>71</v>
      </c>
      <c r="T215" s="1356">
        <f>BF34</f>
        <v>34.1</v>
      </c>
      <c r="U215" s="1355">
        <f>BG33</f>
        <v>97</v>
      </c>
      <c r="V215" s="1355">
        <f t="shared" ref="V215:X215" si="94">BH33</f>
        <v>25.4</v>
      </c>
      <c r="W215" s="1355">
        <f t="shared" si="94"/>
        <v>96.4</v>
      </c>
      <c r="X215" s="1355">
        <f t="shared" si="94"/>
        <v>71</v>
      </c>
      <c r="Y215" s="1356">
        <f>BJ34</f>
        <v>33.9</v>
      </c>
      <c r="Z215" s="1357">
        <f>AM90</f>
        <v>16</v>
      </c>
      <c r="AA215" s="1355">
        <f>AVERAGE(AS78:AS89)</f>
        <v>6.3333333333333339E-2</v>
      </c>
      <c r="AB215" s="1356">
        <f>AN90</f>
        <v>15.9</v>
      </c>
      <c r="AC215" s="1357">
        <f>AVERAGE(AT78:AT89)</f>
        <v>6.3333333333333339E-2</v>
      </c>
      <c r="AD215" s="1355">
        <f>AVERAGE(BC78:BC89)</f>
        <v>9.5000000000000011E-4</v>
      </c>
      <c r="AE215" s="1356">
        <f>AO90</f>
        <v>18.399999999999999</v>
      </c>
      <c r="AF215" s="1357">
        <f>AV90</f>
        <v>7.0000000000000007E-2</v>
      </c>
      <c r="AG215" s="1355">
        <f>AVERAGE(BD78:BD89)</f>
        <v>6.4999999999999997E-4</v>
      </c>
      <c r="AH215" s="1356">
        <f>AL90</f>
        <v>13.3</v>
      </c>
      <c r="AI215" s="1356">
        <f>AJ40</f>
        <v>86.5</v>
      </c>
      <c r="AJ215" s="1356">
        <f t="shared" ref="AJ215:AM215" si="95">AK40</f>
        <v>27.8</v>
      </c>
      <c r="AK215" s="1356">
        <f t="shared" si="95"/>
        <v>86.3</v>
      </c>
      <c r="AL215" s="1356">
        <f t="shared" si="95"/>
        <v>58.5</v>
      </c>
      <c r="AM215" s="1356">
        <f t="shared" si="95"/>
        <v>37.9</v>
      </c>
      <c r="AN215" s="1356">
        <f>AJ41</f>
        <v>89.7</v>
      </c>
      <c r="AO215" s="1356">
        <f t="shared" ref="AO215:AR215" si="96">AK41</f>
        <v>27.4</v>
      </c>
      <c r="AP215" s="1356">
        <f t="shared" si="96"/>
        <v>86.3</v>
      </c>
      <c r="AQ215" s="1356">
        <f t="shared" si="96"/>
        <v>58.9</v>
      </c>
      <c r="AR215" s="1356">
        <f t="shared" si="96"/>
        <v>37.799999999999997</v>
      </c>
      <c r="AS215" s="1356">
        <f>AJ44</f>
        <v>84.5</v>
      </c>
      <c r="AT215" s="1356">
        <f t="shared" ref="AT215:AW215" si="97">AK44</f>
        <v>29</v>
      </c>
      <c r="AU215" s="1356">
        <f t="shared" si="97"/>
        <v>82.7</v>
      </c>
      <c r="AV215" s="1356">
        <f t="shared" si="97"/>
        <v>53.7</v>
      </c>
      <c r="AW215" s="1356">
        <f t="shared" si="97"/>
        <v>37.9</v>
      </c>
      <c r="AX215" s="1356">
        <f>AL47</f>
        <v>7.1</v>
      </c>
      <c r="AY215" s="1359">
        <f>AL48</f>
        <v>10.199999999999999</v>
      </c>
      <c r="AZ215" s="1357">
        <f>BN60</f>
        <v>13.1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91" t="s">
        <v>1318</v>
      </c>
      <c r="B217" s="1792"/>
      <c r="C217" s="1792"/>
      <c r="D217" s="1792"/>
      <c r="E217" s="1793"/>
      <c r="F217" s="1737" t="s">
        <v>435</v>
      </c>
      <c r="G217" s="1737"/>
      <c r="H217" s="1737"/>
      <c r="I217" s="1670" t="s">
        <v>460</v>
      </c>
      <c r="J217" s="1671"/>
      <c r="K217" s="1672"/>
      <c r="L217" s="1745" t="s">
        <v>1394</v>
      </c>
      <c r="M217" s="1745"/>
      <c r="N217" s="1743" t="s">
        <v>1388</v>
      </c>
      <c r="O217" s="1744"/>
      <c r="P217" s="1746"/>
      <c r="Q217" s="1272" t="s">
        <v>1397</v>
      </c>
      <c r="R217" s="1272" t="s">
        <v>411</v>
      </c>
      <c r="S217" s="1745" t="s">
        <v>1395</v>
      </c>
      <c r="T217" s="1745"/>
      <c r="U217" s="1745"/>
      <c r="V217" s="1743" t="s">
        <v>1398</v>
      </c>
      <c r="W217" s="1746"/>
      <c r="X217" s="1743" t="s">
        <v>26</v>
      </c>
      <c r="Y217" s="1744"/>
      <c r="Z217" s="1746"/>
      <c r="AA217" s="1743" t="s">
        <v>1396</v>
      </c>
      <c r="AB217" s="1744"/>
      <c r="AC217" s="1744"/>
      <c r="AD217" s="1744"/>
      <c r="AE217" s="1744"/>
      <c r="AF217" s="1744"/>
      <c r="AG217" s="1744"/>
      <c r="AH217" s="1744"/>
      <c r="AI217" s="1746"/>
      <c r="AJ217" s="1755" t="s">
        <v>1072</v>
      </c>
      <c r="AK217" s="1755"/>
      <c r="AL217" s="1755"/>
      <c r="AM217" s="1755" t="s">
        <v>1073</v>
      </c>
      <c r="AN217" s="1755"/>
      <c r="AO217" s="1755"/>
      <c r="AP217" s="1755" t="s">
        <v>1074</v>
      </c>
      <c r="AQ217" s="1755"/>
      <c r="AR217" s="1755"/>
      <c r="BP217" s="3"/>
    </row>
    <row r="218" spans="1:105" ht="28.5" customHeight="1" x14ac:dyDescent="0.3">
      <c r="A218" s="1332" t="s">
        <v>1279</v>
      </c>
      <c r="B218" s="1333" t="s">
        <v>1209</v>
      </c>
      <c r="C218" s="1303" t="s">
        <v>128</v>
      </c>
      <c r="D218" s="1334" t="s">
        <v>1309</v>
      </c>
      <c r="E218" s="1203" t="s">
        <v>1277</v>
      </c>
      <c r="F218" s="1279" t="s">
        <v>13</v>
      </c>
      <c r="G218" s="1279" t="s">
        <v>1275</v>
      </c>
      <c r="H218" s="1280" t="s">
        <v>1</v>
      </c>
      <c r="I218" s="1279" t="s">
        <v>13</v>
      </c>
      <c r="J218" s="1279" t="s">
        <v>1275</v>
      </c>
      <c r="K218" s="1280" t="s">
        <v>1</v>
      </c>
      <c r="L218" s="1203" t="s">
        <v>1</v>
      </c>
      <c r="M218" s="1304" t="s">
        <v>1326</v>
      </c>
      <c r="N218" s="1305" t="s">
        <v>1275</v>
      </c>
      <c r="O218" s="1203" t="s">
        <v>1</v>
      </c>
      <c r="P218" s="1304" t="s">
        <v>1326</v>
      </c>
      <c r="Q218" s="1203" t="s">
        <v>1</v>
      </c>
      <c r="R218" s="1304" t="s">
        <v>1326</v>
      </c>
      <c r="S218" s="1349" t="s">
        <v>1390</v>
      </c>
      <c r="T218" s="1349" t="s">
        <v>1389</v>
      </c>
      <c r="U218" s="1349" t="s">
        <v>1325</v>
      </c>
      <c r="V218" s="1331" t="s">
        <v>1391</v>
      </c>
      <c r="W218" s="1350" t="s">
        <v>1399</v>
      </c>
      <c r="X218" s="1350" t="s">
        <v>1399</v>
      </c>
      <c r="Y218" s="1272" t="s">
        <v>1392</v>
      </c>
      <c r="Z218" s="1237" t="s">
        <v>1296</v>
      </c>
      <c r="AA218" s="1349">
        <v>1059</v>
      </c>
      <c r="AB218" s="1351" t="s">
        <v>14</v>
      </c>
      <c r="AC218" s="1349" t="s">
        <v>7</v>
      </c>
      <c r="AD218" s="1349" t="s">
        <v>164</v>
      </c>
      <c r="AE218" s="1349" t="s">
        <v>15</v>
      </c>
      <c r="AF218" s="1349" t="s">
        <v>566</v>
      </c>
      <c r="AG218" s="1349" t="s">
        <v>171</v>
      </c>
      <c r="AH218" s="1349" t="s">
        <v>18</v>
      </c>
      <c r="AI218" s="1349" t="s">
        <v>130</v>
      </c>
      <c r="AJ218" s="759" t="s">
        <v>1158</v>
      </c>
      <c r="AK218" s="759" t="s">
        <v>1159</v>
      </c>
      <c r="AL218" s="759" t="s">
        <v>1160</v>
      </c>
      <c r="AM218" s="759" t="s">
        <v>1158</v>
      </c>
      <c r="AN218" s="759" t="s">
        <v>1159</v>
      </c>
      <c r="AO218" s="759" t="s">
        <v>1160</v>
      </c>
      <c r="AP218" s="759" t="s">
        <v>1158</v>
      </c>
      <c r="AQ218" s="759" t="s">
        <v>1159</v>
      </c>
      <c r="AR218" s="759" t="s">
        <v>1160</v>
      </c>
      <c r="BP218" s="3"/>
    </row>
    <row r="219" spans="1:105" ht="28.5" customHeight="1" x14ac:dyDescent="0.3">
      <c r="A219" s="1354"/>
      <c r="B219" s="1352"/>
      <c r="C219" s="1353"/>
      <c r="D219" s="1354"/>
      <c r="E219" s="1353">
        <f>AG120</f>
        <v>39.700000000000003</v>
      </c>
      <c r="F219" s="1352">
        <f>O55</f>
        <v>3.2</v>
      </c>
      <c r="G219" s="1352">
        <f t="shared" ref="G219:H219" si="98">P55</f>
        <v>9.6999999999999993</v>
      </c>
      <c r="H219" s="1352">
        <f t="shared" si="98"/>
        <v>56.2</v>
      </c>
      <c r="I219" s="1354">
        <f>R53</f>
        <v>2.6</v>
      </c>
      <c r="J219" s="1354">
        <f t="shared" ref="J219:K219" si="99">S53</f>
        <v>8.4</v>
      </c>
      <c r="K219" s="1354">
        <f t="shared" si="99"/>
        <v>56.5</v>
      </c>
      <c r="L219" s="1356">
        <f>V53</f>
        <v>0.04</v>
      </c>
      <c r="M219" s="1356">
        <f>U54</f>
        <v>6.3</v>
      </c>
      <c r="N219" s="1356">
        <f>W53</f>
        <v>6</v>
      </c>
      <c r="O219" s="1356">
        <f>X53</f>
        <v>0.12</v>
      </c>
      <c r="P219" s="1355">
        <f>W54</f>
        <v>4.4000000000000004</v>
      </c>
      <c r="Q219" s="1356">
        <f>Y56</f>
        <v>70.099999999999994</v>
      </c>
      <c r="R219" s="1356">
        <f>AD90</f>
        <v>67</v>
      </c>
      <c r="S219" s="1356">
        <f>AF34</f>
        <v>50</v>
      </c>
      <c r="T219" s="1356">
        <f>AG34</f>
        <v>55</v>
      </c>
      <c r="U219" s="1355">
        <f>AD55</f>
        <v>57</v>
      </c>
      <c r="V219" s="1356">
        <f>AE55</f>
        <v>0.2</v>
      </c>
      <c r="W219" s="1356">
        <f>C70</f>
        <v>753</v>
      </c>
      <c r="X219" s="1356">
        <f>C71</f>
        <v>-18</v>
      </c>
      <c r="Y219" s="1356">
        <f>C72</f>
        <v>1</v>
      </c>
      <c r="Z219" s="1357">
        <f>C73</f>
        <v>18</v>
      </c>
      <c r="AA219" s="1355">
        <f>B60</f>
        <v>0</v>
      </c>
      <c r="AB219" s="1355">
        <f t="shared" ref="AB219:AF219" si="100">C60</f>
        <v>0</v>
      </c>
      <c r="AC219" s="1355">
        <f t="shared" si="100"/>
        <v>0</v>
      </c>
      <c r="AD219" s="1355">
        <f t="shared" si="100"/>
        <v>0</v>
      </c>
      <c r="AE219" s="1355">
        <f t="shared" si="100"/>
        <v>0</v>
      </c>
      <c r="AF219" s="1355">
        <f t="shared" si="100"/>
        <v>0</v>
      </c>
      <c r="AG219" s="1355">
        <f>J60</f>
        <v>0</v>
      </c>
      <c r="AH219" s="1355">
        <f t="shared" ref="AH219:AI219" si="101">K60</f>
        <v>0</v>
      </c>
      <c r="AI219" s="1355">
        <f t="shared" si="101"/>
        <v>0</v>
      </c>
      <c r="AJ219" s="1353"/>
      <c r="AK219" s="1353"/>
      <c r="AL219" s="1353"/>
      <c r="AM219" s="1353"/>
      <c r="AN219" s="1353"/>
      <c r="AO219" s="1353"/>
      <c r="AP219" s="1353"/>
      <c r="AQ219" s="1353"/>
      <c r="AR219" s="1353"/>
      <c r="BP219" s="3"/>
    </row>
    <row r="220" spans="1:105" ht="28.5" customHeight="1" x14ac:dyDescent="0.3">
      <c r="A220" s="1354">
        <f>AI54</f>
        <v>0.08</v>
      </c>
      <c r="B220" s="1354">
        <f t="shared" ref="B220:D220" si="102">AJ54</f>
        <v>26.2</v>
      </c>
      <c r="C220" s="1354">
        <f t="shared" si="102"/>
        <v>16.5</v>
      </c>
      <c r="D220" s="1354">
        <f t="shared" si="102"/>
        <v>33.1</v>
      </c>
      <c r="E220" s="1353">
        <f>BO120</f>
        <v>45.6</v>
      </c>
      <c r="F220" s="1352">
        <f>AW55</f>
        <v>2.5</v>
      </c>
      <c r="G220" s="1352">
        <f t="shared" ref="G220:H220" si="103">AX55</f>
        <v>9.6</v>
      </c>
      <c r="H220" s="1352">
        <f t="shared" si="103"/>
        <v>62</v>
      </c>
      <c r="I220" s="1354">
        <f>AZ53</f>
        <v>2</v>
      </c>
      <c r="J220" s="1354">
        <f t="shared" ref="J220:K220" si="104">BA53</f>
        <v>4.4000000000000004</v>
      </c>
      <c r="K220" s="1354">
        <f t="shared" si="104"/>
        <v>61.7</v>
      </c>
      <c r="L220" s="1356">
        <f>BD53</f>
        <v>0.04</v>
      </c>
      <c r="M220" s="1356">
        <f>BC54</f>
        <v>6.6</v>
      </c>
      <c r="N220" s="1356">
        <f>BE53</f>
        <v>4.8</v>
      </c>
      <c r="O220" s="1356">
        <f>BF53</f>
        <v>0.12</v>
      </c>
      <c r="P220" s="1355">
        <f>BE54</f>
        <v>3.2</v>
      </c>
      <c r="Q220" s="1356">
        <f>BG56</f>
        <v>70.900000000000006</v>
      </c>
      <c r="R220" s="1356">
        <f>BL90</f>
        <v>56</v>
      </c>
      <c r="S220" s="1356">
        <f>BN34</f>
        <v>52</v>
      </c>
      <c r="T220" s="1356">
        <f>BO34</f>
        <v>57</v>
      </c>
      <c r="U220" s="1355">
        <f>BL55</f>
        <v>59</v>
      </c>
      <c r="V220" s="1356">
        <f>BM55</f>
        <v>0.28000000000000003</v>
      </c>
      <c r="W220" s="1356">
        <f>AK70</f>
        <v>756.1</v>
      </c>
      <c r="X220" s="1356">
        <f>AK71</f>
        <v>-11</v>
      </c>
      <c r="Y220" s="1356">
        <f>AK72</f>
        <v>1.4</v>
      </c>
      <c r="Z220" s="1356">
        <f>AK73</f>
        <v>15</v>
      </c>
      <c r="AA220" s="1355">
        <f>AJ60</f>
        <v>0</v>
      </c>
      <c r="AB220" s="1355">
        <f t="shared" ref="AB220:AF220" si="105">AK60</f>
        <v>0</v>
      </c>
      <c r="AC220" s="1355">
        <f t="shared" si="105"/>
        <v>0</v>
      </c>
      <c r="AD220" s="1355">
        <f t="shared" si="105"/>
        <v>0</v>
      </c>
      <c r="AE220" s="1355">
        <f t="shared" si="105"/>
        <v>0</v>
      </c>
      <c r="AF220" s="1355">
        <f t="shared" si="105"/>
        <v>0</v>
      </c>
      <c r="AG220" s="1355">
        <f>AR60</f>
        <v>0</v>
      </c>
      <c r="AH220" s="1355">
        <f t="shared" ref="AH220:AI220" si="106">AS60</f>
        <v>0</v>
      </c>
      <c r="AI220" s="1355">
        <f t="shared" si="106"/>
        <v>0</v>
      </c>
      <c r="AJ220" s="1353">
        <f>'Анализ возд.среды '!B4</f>
        <v>0</v>
      </c>
      <c r="AK220" s="1353">
        <f>'Анализ возд.среды '!C4</f>
        <v>0</v>
      </c>
      <c r="AL220" s="1353">
        <f>'Анализ возд.среды '!D4</f>
        <v>0</v>
      </c>
      <c r="AM220" s="1353">
        <f>'Анализ возд.среды '!E4</f>
        <v>0</v>
      </c>
      <c r="AN220" s="1353">
        <f>'Анализ возд.среды '!F4</f>
        <v>0</v>
      </c>
      <c r="AO220" s="1353">
        <f>'Анализ возд.среды '!G4</f>
        <v>0</v>
      </c>
      <c r="AP220" s="1353">
        <f>'Анализ возд.среды '!H4</f>
        <v>0</v>
      </c>
      <c r="AQ220" s="1353">
        <f>'Анализ возд.среды '!I4</f>
        <v>0</v>
      </c>
      <c r="AR220" s="1353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1652" t="s">
        <v>1014</v>
      </c>
      <c r="C222" s="1652"/>
      <c r="D222" s="1652"/>
      <c r="E222" s="1652"/>
      <c r="F222" s="1652"/>
      <c r="G222" s="1652"/>
      <c r="H222" s="1652"/>
      <c r="I222" s="1652"/>
      <c r="J222" s="1652"/>
      <c r="K222" s="1652"/>
      <c r="L222" s="1652"/>
      <c r="M222" s="1652"/>
      <c r="N222" s="1652"/>
      <c r="O222" s="1652"/>
      <c r="P222" s="898"/>
    </row>
    <row r="223" spans="1:105" ht="47.25" x14ac:dyDescent="0.3">
      <c r="A223" s="35"/>
      <c r="B223" s="1411" t="s">
        <v>626</v>
      </c>
      <c r="C223" s="1412" t="s">
        <v>627</v>
      </c>
      <c r="D223" s="1412" t="s">
        <v>625</v>
      </c>
      <c r="E223" s="1411" t="s">
        <v>179</v>
      </c>
      <c r="F223" s="1411" t="s">
        <v>12</v>
      </c>
      <c r="G223" s="1411" t="s">
        <v>412</v>
      </c>
      <c r="H223" s="1411" t="s">
        <v>1427</v>
      </c>
      <c r="I223" s="1411" t="s">
        <v>1428</v>
      </c>
      <c r="J223" s="1413" t="s">
        <v>1429</v>
      </c>
      <c r="K223" s="1414"/>
      <c r="L223" s="1414"/>
      <c r="M223" s="1414"/>
      <c r="N223" s="1414"/>
      <c r="O223" s="1415"/>
    </row>
    <row r="224" spans="1:105" ht="31.5" x14ac:dyDescent="0.3">
      <c r="A224" s="1350" t="s">
        <v>1430</v>
      </c>
      <c r="B224" s="73">
        <f>COUNT(C95:C106,G95:G106,K95:K106,O95:O106,S95:S106,AK95:AK106,AO95:AO106,AS95:AS106,AW95:AW106,BA95:BA106)</f>
        <v>54</v>
      </c>
      <c r="C224" s="73">
        <f>COUNT(D95:D106,H95:H106,L95:L106,P95:P106,T95:T106,AL95:AL106,AP95:AP106,AT95:AT106,AX95:AX106,BB95:BB106)</f>
        <v>54</v>
      </c>
      <c r="D224" s="73">
        <f>COUNT(E95:E106,I95:I106,M95:M106,Q95:Q106,U95:U106,AM95:AM106,AQ95:AQ106,AU95:AU106,AY95:AY106,BC95:BC106)</f>
        <v>31</v>
      </c>
      <c r="E224" s="1416">
        <f>COUNT(AA78:AA89,BI78:BI89)</f>
        <v>2</v>
      </c>
      <c r="F224" s="1416">
        <f>COUNT(AB78:AB89,BJ78:BJ89)</f>
        <v>2</v>
      </c>
      <c r="G224" s="1416">
        <f>COUNT(AG78:AG89,BO78:BO89)</f>
        <v>2</v>
      </c>
      <c r="H224" s="73">
        <f>COUNT(C116:R116,AK116:AZ116)</f>
        <v>10</v>
      </c>
      <c r="I224" s="73">
        <f>COUNT(H57:I59,AP57:AQ59)</f>
        <v>2</v>
      </c>
      <c r="J224" s="1417">
        <f>SUM(B224:I224)</f>
        <v>157</v>
      </c>
      <c r="K224" s="73"/>
      <c r="L224" s="73"/>
      <c r="M224" s="73"/>
      <c r="N224" s="73"/>
      <c r="O224" s="73"/>
      <c r="AB224" s="1167"/>
      <c r="AC224" s="1167"/>
      <c r="AD224" s="1167"/>
      <c r="AE224" s="1167"/>
    </row>
    <row r="225" spans="1:79" x14ac:dyDescent="0.3">
      <c r="A225" s="1415" t="s">
        <v>1431</v>
      </c>
      <c r="B225" s="73">
        <f>B224*1.5</f>
        <v>81</v>
      </c>
      <c r="C225" s="73">
        <f>C224*1.5</f>
        <v>81</v>
      </c>
      <c r="D225" s="73">
        <f>D224*2</f>
        <v>62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40</v>
      </c>
      <c r="I225" s="73">
        <f>I224*3</f>
        <v>6</v>
      </c>
      <c r="J225" s="1418">
        <f>SUM(B225:I225)</f>
        <v>306</v>
      </c>
      <c r="K225" s="73"/>
      <c r="L225" s="73"/>
      <c r="M225" s="73"/>
      <c r="N225" s="73"/>
      <c r="O225" s="1017"/>
      <c r="AB225" s="1167"/>
      <c r="AC225" s="1167"/>
      <c r="AD225" s="1167"/>
      <c r="AE225" s="1167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4"/>
      <c r="G227" s="894"/>
      <c r="H227" s="894"/>
      <c r="I227" s="894"/>
      <c r="J227" s="894"/>
      <c r="K227" s="894"/>
      <c r="L227" s="894"/>
      <c r="M227" s="894"/>
      <c r="N227" s="894"/>
      <c r="O227" s="894"/>
      <c r="P227" s="894"/>
      <c r="Q227" s="894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651" t="s">
        <v>1015</v>
      </c>
      <c r="C228" s="1651"/>
      <c r="D228" s="1651"/>
      <c r="E228" s="1651"/>
      <c r="F228" s="1651"/>
      <c r="G228" s="1651"/>
      <c r="H228" s="1651"/>
      <c r="I228" s="1651"/>
      <c r="J228" s="1651"/>
      <c r="K228" s="1652"/>
      <c r="L228" s="1652"/>
      <c r="M228" s="1652"/>
      <c r="N228" s="1652"/>
      <c r="O228" s="1652"/>
      <c r="P228" s="1652"/>
      <c r="Q228" s="900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653" t="s">
        <v>1432</v>
      </c>
      <c r="C229" s="1654"/>
      <c r="D229" s="1654"/>
      <c r="E229" s="1654"/>
      <c r="F229" s="1654"/>
      <c r="G229" s="1654"/>
      <c r="H229" s="1655"/>
      <c r="I229" s="1419" t="s">
        <v>1433</v>
      </c>
      <c r="J229" s="1420" t="s">
        <v>1434</v>
      </c>
      <c r="K229" s="1656" t="s">
        <v>65</v>
      </c>
      <c r="L229" s="1657"/>
      <c r="M229" s="1658"/>
      <c r="N229" s="1659" t="s">
        <v>63</v>
      </c>
      <c r="O229" s="1660" t="s">
        <v>1429</v>
      </c>
      <c r="P229" s="1733" t="s">
        <v>1017</v>
      </c>
      <c r="Q229" s="1734"/>
      <c r="R229" s="894"/>
      <c r="S229" s="5"/>
      <c r="T229" s="1696" t="s">
        <v>1019</v>
      </c>
      <c r="U229" s="1697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1" t="s">
        <v>1435</v>
      </c>
      <c r="C230" s="1422" t="s">
        <v>440</v>
      </c>
      <c r="D230" s="1421" t="s">
        <v>132</v>
      </c>
      <c r="E230" s="1421" t="s">
        <v>1436</v>
      </c>
      <c r="F230" s="1421" t="s">
        <v>1437</v>
      </c>
      <c r="G230" s="1421" t="s">
        <v>1438</v>
      </c>
      <c r="H230" s="1423" t="s">
        <v>1439</v>
      </c>
      <c r="I230" s="1424" t="s">
        <v>1440</v>
      </c>
      <c r="J230" s="1424" t="s">
        <v>1440</v>
      </c>
      <c r="K230" s="1411" t="s">
        <v>240</v>
      </c>
      <c r="L230" s="1411" t="s">
        <v>442</v>
      </c>
      <c r="M230" s="1411" t="s">
        <v>1435</v>
      </c>
      <c r="N230" s="1659"/>
      <c r="O230" s="1661"/>
      <c r="P230" s="1735"/>
      <c r="Q230" s="1736"/>
      <c r="R230" s="894"/>
      <c r="T230" s="1698"/>
      <c r="U230" s="1699"/>
    </row>
    <row r="231" spans="1:79" ht="31.5" x14ac:dyDescent="0.3">
      <c r="A231" s="1350" t="s">
        <v>1430</v>
      </c>
      <c r="B231" s="1425">
        <f>COUNT(C111:R111,AK111:AZ111)</f>
        <v>19</v>
      </c>
      <c r="C231" s="1425">
        <f>COUNT(C112:R112,AK112:AZ112)</f>
        <v>9</v>
      </c>
      <c r="D231" s="1425">
        <f>COUNT(C113:R113,AK113:AZ113)</f>
        <v>9</v>
      </c>
      <c r="E231" s="1425">
        <f>COUNT(C115:R115,AK115:AZ115)</f>
        <v>19</v>
      </c>
      <c r="F231" s="1425">
        <f>COUNT(C117:R117,AK117:AZ117)</f>
        <v>19</v>
      </c>
      <c r="G231" s="1425">
        <f>COUNT(C119:R119,AK119:AZ119)</f>
        <v>19</v>
      </c>
      <c r="H231" s="1425">
        <f>COUNT(C120:R120,AK120:AZ120)</f>
        <v>9</v>
      </c>
      <c r="I231" s="1425">
        <f>COUNT(L125:N128,AT125:AV128,R125,AZ125)</f>
        <v>8</v>
      </c>
      <c r="J231" s="1425">
        <f>COUNT(O125:Q128,AW126:AY128)</f>
        <v>3</v>
      </c>
      <c r="K231" s="1426">
        <f>COUNT(Y111:AF111,BG111:BN111)</f>
        <v>12</v>
      </c>
      <c r="L231" s="1426">
        <f>COUNT(Y112:AF112,BG112:BN112)</f>
        <v>12</v>
      </c>
      <c r="M231" s="1426">
        <f>COUNT(Y113:AF113,BG113:BN113)</f>
        <v>12</v>
      </c>
      <c r="N231" s="1426">
        <f>COUNT(C125:J129,AK125:AR129)</f>
        <v>15</v>
      </c>
      <c r="O231" s="1417">
        <f>SUM(B231:N231)</f>
        <v>165</v>
      </c>
      <c r="P231" s="1692">
        <f>J224+O231</f>
        <v>322</v>
      </c>
      <c r="Q231" s="1693"/>
      <c r="R231" s="1427" t="s">
        <v>1010</v>
      </c>
      <c r="T231" s="1429" t="s">
        <v>1441</v>
      </c>
      <c r="U231" s="1430"/>
      <c r="BP231" s="3"/>
    </row>
    <row r="232" spans="1:79" ht="19.5" customHeight="1" x14ac:dyDescent="0.3">
      <c r="A232" s="1415" t="s">
        <v>1431</v>
      </c>
      <c r="B232" s="1415">
        <f t="shared" ref="B232" si="107">B231*1</f>
        <v>19</v>
      </c>
      <c r="C232" s="1415">
        <f>C231*1</f>
        <v>9</v>
      </c>
      <c r="D232" s="1415">
        <f t="shared" ref="D232:N232" si="108">D231*1</f>
        <v>9</v>
      </c>
      <c r="E232" s="1415">
        <f t="shared" si="108"/>
        <v>19</v>
      </c>
      <c r="F232" s="1415">
        <f t="shared" si="108"/>
        <v>19</v>
      </c>
      <c r="G232" s="1415">
        <f t="shared" si="108"/>
        <v>19</v>
      </c>
      <c r="H232" s="1415">
        <f t="shared" si="108"/>
        <v>9</v>
      </c>
      <c r="I232" s="1415">
        <f t="shared" si="108"/>
        <v>8</v>
      </c>
      <c r="J232" s="1415">
        <f t="shared" si="108"/>
        <v>3</v>
      </c>
      <c r="K232" s="1415">
        <f t="shared" si="108"/>
        <v>12</v>
      </c>
      <c r="L232" s="1415">
        <f t="shared" si="108"/>
        <v>12</v>
      </c>
      <c r="M232" s="1415">
        <f t="shared" si="108"/>
        <v>12</v>
      </c>
      <c r="N232" s="1415">
        <f t="shared" si="108"/>
        <v>15</v>
      </c>
      <c r="O232" s="1418">
        <f>SUM(B232:N232)</f>
        <v>165</v>
      </c>
      <c r="P232" s="1694">
        <f>J225+O232</f>
        <v>471</v>
      </c>
      <c r="Q232" s="1695"/>
      <c r="R232" s="1428">
        <f>ROUND(P232/60,1)</f>
        <v>7.9</v>
      </c>
      <c r="T232" s="1431" t="s">
        <v>1442</v>
      </c>
      <c r="U232" s="1432"/>
      <c r="BP232" s="3"/>
    </row>
    <row r="233" spans="1:79" x14ac:dyDescent="0.3">
      <c r="T233" s="902" t="s">
        <v>1020</v>
      </c>
      <c r="U233" s="1429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89"/>
      <c r="J237" s="25"/>
    </row>
    <row r="238" spans="1:79" x14ac:dyDescent="0.3">
      <c r="E238" s="25"/>
      <c r="H238" s="25"/>
      <c r="I238" s="889"/>
      <c r="J238" s="25"/>
    </row>
    <row r="239" spans="1:79" x14ac:dyDescent="0.3">
      <c r="E239" s="25"/>
      <c r="H239" s="25"/>
      <c r="I239" s="889"/>
      <c r="J239" s="25"/>
    </row>
    <row r="240" spans="1:79" x14ac:dyDescent="0.3">
      <c r="E240" s="25"/>
      <c r="H240" s="25"/>
      <c r="I240" s="889"/>
      <c r="J240" s="25"/>
    </row>
    <row r="241" spans="5:10" x14ac:dyDescent="0.3">
      <c r="E241" s="25"/>
      <c r="H241" s="25"/>
      <c r="I241" s="890"/>
      <c r="J241" s="25"/>
    </row>
    <row r="242" spans="5:10" ht="18.75" customHeight="1" x14ac:dyDescent="0.3">
      <c r="E242" s="25"/>
      <c r="H242" s="25"/>
      <c r="I242" s="889"/>
      <c r="J242" s="25"/>
    </row>
    <row r="243" spans="5:10" x14ac:dyDescent="0.3">
      <c r="H243" s="25"/>
      <c r="I243" s="889"/>
      <c r="J243" s="25"/>
    </row>
    <row r="244" spans="5:10" x14ac:dyDescent="0.3">
      <c r="H244" s="25"/>
      <c r="I244" s="889"/>
      <c r="J244" s="25"/>
    </row>
    <row r="245" spans="5:10" ht="15" customHeight="1" x14ac:dyDescent="0.3">
      <c r="H245" s="25"/>
      <c r="I245" s="891"/>
      <c r="J245" s="25"/>
    </row>
    <row r="246" spans="5:10" x14ac:dyDescent="0.3">
      <c r="H246" s="25"/>
      <c r="I246" s="889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2">
    <mergeCell ref="CH187:CJ187"/>
    <mergeCell ref="CK187:CM187"/>
    <mergeCell ref="CN187:CO187"/>
    <mergeCell ref="CP187:CR187"/>
    <mergeCell ref="CS187:CU187"/>
    <mergeCell ref="CV187:DD187"/>
    <mergeCell ref="S187:W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194:A195"/>
    <mergeCell ref="A192:A193"/>
    <mergeCell ref="C187:D187"/>
    <mergeCell ref="K187:N187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BF137:BF138"/>
    <mergeCell ref="BG137:BG138"/>
    <mergeCell ref="BE116:BF116"/>
    <mergeCell ref="AJ217:AL217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AF192:AF193"/>
    <mergeCell ref="A111:B111"/>
    <mergeCell ref="B222:O222"/>
    <mergeCell ref="O187:R187"/>
    <mergeCell ref="N58:N59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N4" sqref="N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34" t="s">
        <v>254</v>
      </c>
      <c r="B1" s="2336" t="s">
        <v>1071</v>
      </c>
      <c r="C1" s="2336"/>
      <c r="D1" s="2336"/>
      <c r="E1" s="2336"/>
      <c r="F1" s="2336"/>
      <c r="G1" s="2336"/>
      <c r="H1" s="2336"/>
      <c r="I1" s="2336"/>
      <c r="J1" s="2336"/>
      <c r="K1" s="2336" t="s">
        <v>1447</v>
      </c>
      <c r="L1" s="2336"/>
      <c r="M1" s="2336"/>
      <c r="N1" s="892"/>
      <c r="O1" s="892"/>
      <c r="P1" s="892"/>
      <c r="W1" s="2332"/>
      <c r="X1" s="2332"/>
      <c r="Y1" s="2332"/>
      <c r="Z1" s="2333"/>
    </row>
    <row r="2" spans="1:26" ht="22.5" customHeight="1" x14ac:dyDescent="0.2">
      <c r="A2" s="2335"/>
      <c r="B2" s="2337" t="s">
        <v>1072</v>
      </c>
      <c r="C2" s="2338"/>
      <c r="D2" s="2339"/>
      <c r="E2" s="2337" t="s">
        <v>1073</v>
      </c>
      <c r="F2" s="2338"/>
      <c r="G2" s="2339"/>
      <c r="H2" s="2337" t="s">
        <v>1074</v>
      </c>
      <c r="I2" s="2338"/>
      <c r="J2" s="2339"/>
      <c r="K2" s="1444" t="s">
        <v>1444</v>
      </c>
      <c r="L2" s="1444" t="s">
        <v>1445</v>
      </c>
      <c r="M2" s="1444" t="s">
        <v>1446</v>
      </c>
      <c r="N2" s="892"/>
      <c r="O2" s="892"/>
      <c r="P2" s="892"/>
      <c r="Q2" s="587"/>
      <c r="W2" s="758"/>
      <c r="X2" s="758"/>
      <c r="Y2" s="758"/>
      <c r="Z2" s="2333"/>
    </row>
    <row r="3" spans="1:26" ht="37.5" customHeight="1" x14ac:dyDescent="0.2">
      <c r="A3" s="2335"/>
      <c r="B3" s="759" t="s">
        <v>1158</v>
      </c>
      <c r="C3" s="759" t="s">
        <v>1159</v>
      </c>
      <c r="D3" s="759" t="s">
        <v>1160</v>
      </c>
      <c r="E3" s="759" t="s">
        <v>1158</v>
      </c>
      <c r="F3" s="759" t="s">
        <v>1159</v>
      </c>
      <c r="G3" s="759" t="s">
        <v>1160</v>
      </c>
      <c r="H3" s="759" t="s">
        <v>1158</v>
      </c>
      <c r="I3" s="759" t="s">
        <v>1159</v>
      </c>
      <c r="J3" s="759" t="s">
        <v>1160</v>
      </c>
      <c r="K3" s="759" t="s">
        <v>1158</v>
      </c>
      <c r="L3" s="759" t="s">
        <v>1158</v>
      </c>
      <c r="M3" s="759" t="s">
        <v>1158</v>
      </c>
      <c r="N3" s="892"/>
      <c r="O3" s="892"/>
      <c r="P3" s="892"/>
      <c r="Q3" s="587"/>
      <c r="W3" s="756"/>
      <c r="X3" s="756"/>
      <c r="Y3" s="756"/>
      <c r="Z3" s="2333"/>
    </row>
    <row r="4" spans="1:26" ht="27" customHeight="1" x14ac:dyDescent="0.25">
      <c r="A4" s="1030"/>
      <c r="B4" s="1031"/>
      <c r="C4" s="1031"/>
      <c r="D4" s="1031"/>
      <c r="E4" s="1031"/>
      <c r="F4" s="1031"/>
      <c r="G4" s="1031"/>
      <c r="H4" s="1031"/>
      <c r="I4" s="1031"/>
      <c r="J4" s="1031"/>
      <c r="K4" s="1031"/>
      <c r="L4" s="1446"/>
      <c r="M4" s="1446"/>
      <c r="N4" s="1445"/>
      <c r="O4" s="758">
        <f>K4</f>
        <v>0</v>
      </c>
      <c r="P4" s="758">
        <f>L4</f>
        <v>0</v>
      </c>
      <c r="Q4" s="758">
        <f t="shared" ref="Q4" si="0">M4</f>
        <v>0</v>
      </c>
      <c r="R4" s="1447">
        <f>B4</f>
        <v>0</v>
      </c>
      <c r="S4" s="1447">
        <f>E4</f>
        <v>0</v>
      </c>
      <c r="T4" s="1447">
        <f>H4</f>
        <v>0</v>
      </c>
      <c r="W4" s="757"/>
      <c r="X4" s="757"/>
      <c r="Y4" s="757"/>
      <c r="Z4" s="757"/>
    </row>
    <row r="5" spans="1:26" ht="18.75" x14ac:dyDescent="0.25">
      <c r="A5" s="1029"/>
      <c r="B5" s="1029"/>
      <c r="C5" s="757"/>
      <c r="D5" s="757"/>
      <c r="E5" s="757"/>
      <c r="F5" s="757"/>
      <c r="G5" s="757"/>
      <c r="H5" s="757"/>
      <c r="I5" s="757"/>
      <c r="J5" s="757"/>
      <c r="K5" s="757"/>
      <c r="L5" s="892"/>
      <c r="M5" s="892"/>
      <c r="N5" s="892"/>
      <c r="O5" s="892"/>
      <c r="P5" s="892"/>
      <c r="Q5" s="587"/>
      <c r="W5" s="757"/>
      <c r="X5" s="757"/>
      <c r="Y5" s="757"/>
      <c r="Z5" s="757"/>
    </row>
    <row r="6" spans="1:26" ht="18.75" x14ac:dyDescent="0.25">
      <c r="A6" s="1029"/>
      <c r="B6" s="1029"/>
      <c r="C6" s="757"/>
      <c r="D6" s="757"/>
      <c r="E6" s="757"/>
      <c r="F6" s="757"/>
      <c r="G6" s="757"/>
      <c r="H6" s="757"/>
      <c r="I6" s="757"/>
      <c r="J6" s="757"/>
      <c r="K6" s="757"/>
      <c r="L6" s="892"/>
      <c r="M6" s="892"/>
      <c r="N6" s="892"/>
      <c r="O6" s="892"/>
      <c r="P6" s="892"/>
      <c r="Q6" s="587"/>
      <c r="W6" s="757"/>
      <c r="X6" s="757"/>
      <c r="Y6" s="757"/>
      <c r="Z6" s="757"/>
    </row>
    <row r="7" spans="1:26" ht="18.75" x14ac:dyDescent="0.25">
      <c r="L7" s="892"/>
      <c r="M7" s="892"/>
      <c r="N7" s="892"/>
      <c r="O7" s="892"/>
      <c r="P7" s="892"/>
      <c r="Q7" s="587"/>
    </row>
    <row r="8" spans="1:26" ht="15" customHeight="1" x14ac:dyDescent="0.2">
      <c r="A8" s="2344" t="s">
        <v>253</v>
      </c>
      <c r="B8" s="1755" t="s">
        <v>254</v>
      </c>
      <c r="C8" s="2346" t="s">
        <v>255</v>
      </c>
      <c r="D8" s="2346"/>
      <c r="E8" s="2346"/>
      <c r="F8" s="2346"/>
      <c r="G8" s="848"/>
      <c r="H8" s="848"/>
      <c r="I8" s="848"/>
      <c r="J8" s="892"/>
      <c r="K8" s="892"/>
      <c r="L8" s="892"/>
      <c r="M8" s="892"/>
      <c r="N8" s="892"/>
      <c r="O8" s="587"/>
    </row>
    <row r="9" spans="1:26" ht="32.25" customHeight="1" x14ac:dyDescent="0.2">
      <c r="A9" s="2345"/>
      <c r="B9" s="2345"/>
      <c r="C9" s="2347"/>
      <c r="D9" s="2347"/>
      <c r="E9" s="2347"/>
      <c r="F9" s="2347"/>
      <c r="G9" s="848"/>
      <c r="H9" s="848"/>
      <c r="I9" s="848"/>
      <c r="J9" s="892"/>
      <c r="K9" s="892"/>
      <c r="L9" s="892"/>
      <c r="M9" s="892"/>
      <c r="N9" s="892"/>
      <c r="O9" s="587"/>
    </row>
    <row r="10" spans="1:26" ht="29.25" customHeight="1" x14ac:dyDescent="0.2">
      <c r="A10" s="2345"/>
      <c r="B10" s="2345"/>
      <c r="C10" s="2348" t="s">
        <v>256</v>
      </c>
      <c r="D10" s="2348"/>
      <c r="E10" s="2348" t="s">
        <v>257</v>
      </c>
      <c r="F10" s="2348"/>
      <c r="G10" s="849"/>
      <c r="H10" s="849"/>
      <c r="I10" s="849"/>
      <c r="J10" s="849"/>
    </row>
    <row r="11" spans="1:26" ht="28.5" customHeight="1" x14ac:dyDescent="0.25">
      <c r="A11" s="2345"/>
      <c r="B11" s="2345"/>
      <c r="C11" s="1082" t="s">
        <v>259</v>
      </c>
      <c r="D11" s="1082" t="s">
        <v>258</v>
      </c>
      <c r="E11" s="1082" t="s">
        <v>259</v>
      </c>
      <c r="F11" s="1082" t="s">
        <v>258</v>
      </c>
      <c r="G11" s="849"/>
      <c r="H11" s="849"/>
      <c r="I11" s="849"/>
      <c r="J11" s="849"/>
    </row>
    <row r="12" spans="1:26" ht="26.25" customHeight="1" x14ac:dyDescent="0.25">
      <c r="A12" s="82"/>
      <c r="B12" s="1028"/>
      <c r="C12" s="77"/>
      <c r="D12" s="77"/>
      <c r="E12" s="77"/>
      <c r="F12" s="77"/>
      <c r="G12" s="849"/>
      <c r="H12" s="849"/>
      <c r="I12" s="849"/>
      <c r="J12" s="849"/>
    </row>
    <row r="16" spans="1:26" ht="34.5" customHeight="1" x14ac:dyDescent="0.2">
      <c r="A16" s="1086" t="s">
        <v>59</v>
      </c>
      <c r="B16" s="759" t="s">
        <v>254</v>
      </c>
      <c r="C16" s="2340" t="s">
        <v>403</v>
      </c>
      <c r="D16" s="2340"/>
      <c r="E16" s="2340"/>
      <c r="F16" s="2340" t="s">
        <v>404</v>
      </c>
      <c r="G16" s="2340"/>
      <c r="H16" s="759" t="s">
        <v>1158</v>
      </c>
      <c r="I16" s="759" t="s">
        <v>1159</v>
      </c>
      <c r="J16" s="759" t="s">
        <v>1160</v>
      </c>
      <c r="K16" s="759" t="s">
        <v>1161</v>
      </c>
    </row>
    <row r="17" spans="1:11" x14ac:dyDescent="0.25">
      <c r="A17" s="83"/>
      <c r="B17" s="194"/>
      <c r="C17" s="2341"/>
      <c r="D17" s="2342"/>
      <c r="E17" s="2343"/>
      <c r="F17" s="2329"/>
      <c r="G17" s="2331"/>
      <c r="H17" s="81"/>
      <c r="I17" s="74"/>
      <c r="J17" s="74"/>
      <c r="K17" s="74"/>
    </row>
    <row r="18" spans="1:11" x14ac:dyDescent="0.25">
      <c r="A18" s="83"/>
      <c r="B18" s="194"/>
      <c r="C18" s="2323"/>
      <c r="D18" s="2324"/>
      <c r="E18" s="2325"/>
      <c r="F18" s="2319"/>
      <c r="G18" s="2319"/>
      <c r="H18" s="77"/>
      <c r="I18" s="72"/>
      <c r="J18" s="72"/>
      <c r="K18" s="72"/>
    </row>
    <row r="19" spans="1:11" ht="15" customHeight="1" x14ac:dyDescent="0.25">
      <c r="A19" s="83"/>
      <c r="B19" s="194"/>
      <c r="C19" s="2323"/>
      <c r="D19" s="2324"/>
      <c r="E19" s="2325"/>
      <c r="F19" s="2319"/>
      <c r="G19" s="2319"/>
      <c r="H19" s="77"/>
      <c r="I19" s="72"/>
      <c r="J19" s="72"/>
      <c r="K19" s="72"/>
    </row>
    <row r="20" spans="1:11" x14ac:dyDescent="0.25">
      <c r="A20" s="83"/>
      <c r="B20" s="194"/>
      <c r="C20" s="2323"/>
      <c r="D20" s="2324"/>
      <c r="E20" s="2325"/>
      <c r="F20" s="2319"/>
      <c r="G20" s="2319"/>
      <c r="H20" s="77"/>
      <c r="I20" s="72"/>
      <c r="J20" s="72"/>
      <c r="K20" s="72"/>
    </row>
    <row r="21" spans="1:11" x14ac:dyDescent="0.25">
      <c r="A21" s="83"/>
      <c r="B21" s="194"/>
      <c r="C21" s="2326"/>
      <c r="D21" s="2327"/>
      <c r="E21" s="2328"/>
      <c r="F21" s="2319"/>
      <c r="G21" s="2319"/>
      <c r="H21" s="77"/>
      <c r="I21" s="72"/>
      <c r="J21" s="72"/>
      <c r="K21" s="72"/>
    </row>
    <row r="22" spans="1:11" x14ac:dyDescent="0.25">
      <c r="A22" s="83"/>
      <c r="B22" s="194"/>
      <c r="C22" s="2319"/>
      <c r="D22" s="2319"/>
      <c r="E22" s="2319"/>
      <c r="F22" s="2319"/>
      <c r="G22" s="2319"/>
      <c r="H22" s="77"/>
      <c r="I22" s="72"/>
      <c r="J22" s="72"/>
      <c r="K22" s="72"/>
    </row>
    <row r="23" spans="1:11" x14ac:dyDescent="0.25">
      <c r="A23" s="83"/>
      <c r="B23" s="194"/>
      <c r="C23" s="2319"/>
      <c r="D23" s="2319"/>
      <c r="E23" s="2319"/>
      <c r="F23" s="2319"/>
      <c r="G23" s="2319"/>
      <c r="H23" s="77"/>
      <c r="I23" s="72"/>
      <c r="J23" s="72"/>
      <c r="K23" s="72"/>
    </row>
    <row r="24" spans="1:11" x14ac:dyDescent="0.25">
      <c r="A24" s="83"/>
      <c r="B24" s="194"/>
      <c r="C24" s="2329"/>
      <c r="D24" s="2330"/>
      <c r="E24" s="2331"/>
      <c r="F24" s="2319"/>
      <c r="G24" s="2319"/>
      <c r="H24" s="77"/>
      <c r="I24" s="72"/>
      <c r="J24" s="72"/>
      <c r="K24" s="72"/>
    </row>
    <row r="25" spans="1:11" x14ac:dyDescent="0.25">
      <c r="A25" s="82"/>
      <c r="B25" s="77"/>
      <c r="C25" s="2319"/>
      <c r="D25" s="2319"/>
      <c r="E25" s="2319"/>
      <c r="F25" s="2319"/>
      <c r="G25" s="2319"/>
      <c r="H25" s="77"/>
      <c r="I25" s="72"/>
      <c r="J25" s="72"/>
      <c r="K25" s="72"/>
    </row>
    <row r="26" spans="1:11" x14ac:dyDescent="0.25">
      <c r="A26" s="82"/>
      <c r="B26" s="77"/>
      <c r="C26" s="2320"/>
      <c r="D26" s="2321"/>
      <c r="E26" s="2322"/>
      <c r="F26" s="2320"/>
      <c r="G26" s="2322"/>
      <c r="H26" s="77"/>
      <c r="I26" s="72"/>
      <c r="J26" s="72"/>
      <c r="K26" s="72"/>
    </row>
    <row r="27" spans="1:11" x14ac:dyDescent="0.25">
      <c r="A27" s="82"/>
      <c r="B27" s="77"/>
      <c r="C27" s="2320"/>
      <c r="D27" s="2321"/>
      <c r="E27" s="2322"/>
      <c r="F27" s="2320"/>
      <c r="G27" s="2322"/>
      <c r="H27" s="77"/>
      <c r="I27" s="72"/>
      <c r="J27" s="72"/>
      <c r="K27" s="72"/>
    </row>
    <row r="28" spans="1:11" x14ac:dyDescent="0.25">
      <c r="A28" s="82"/>
      <c r="B28" s="77"/>
      <c r="C28" s="2320"/>
      <c r="D28" s="2321"/>
      <c r="E28" s="2322"/>
      <c r="F28" s="2320"/>
      <c r="G28" s="2322"/>
      <c r="H28" s="77"/>
      <c r="I28" s="72"/>
      <c r="J28" s="72"/>
      <c r="K28" s="72"/>
    </row>
    <row r="29" spans="1:11" x14ac:dyDescent="0.25">
      <c r="A29" s="82"/>
      <c r="B29" s="77"/>
      <c r="C29" s="2320"/>
      <c r="D29" s="2321"/>
      <c r="E29" s="2322"/>
      <c r="F29" s="2320"/>
      <c r="G29" s="2322"/>
      <c r="H29" s="77"/>
      <c r="I29" s="72"/>
      <c r="J29" s="72"/>
      <c r="K29" s="72"/>
    </row>
    <row r="30" spans="1:11" x14ac:dyDescent="0.25">
      <c r="A30" s="82"/>
      <c r="B30" s="77"/>
      <c r="C30" s="2320"/>
      <c r="D30" s="2321"/>
      <c r="E30" s="2322"/>
      <c r="F30" s="2320"/>
      <c r="G30" s="2322"/>
      <c r="H30" s="77"/>
      <c r="I30" s="72"/>
      <c r="J30" s="72"/>
      <c r="K30" s="72"/>
    </row>
    <row r="31" spans="1:11" x14ac:dyDescent="0.25">
      <c r="A31" s="82"/>
      <c r="B31" s="77"/>
      <c r="C31" s="2320"/>
      <c r="D31" s="2321"/>
      <c r="E31" s="2322"/>
      <c r="F31" s="2320"/>
      <c r="G31" s="2322"/>
      <c r="H31" s="77"/>
      <c r="I31" s="72"/>
      <c r="J31" s="72"/>
      <c r="K31" s="72"/>
    </row>
    <row r="32" spans="1:11" x14ac:dyDescent="0.25">
      <c r="A32" s="82"/>
      <c r="B32" s="77"/>
      <c r="C32" s="2320"/>
      <c r="D32" s="2321"/>
      <c r="E32" s="2322"/>
      <c r="F32" s="2320"/>
      <c r="G32" s="2322"/>
      <c r="H32" s="77"/>
      <c r="I32" s="72"/>
      <c r="J32" s="72"/>
      <c r="K32" s="72"/>
    </row>
    <row r="33" spans="1:11" x14ac:dyDescent="0.25">
      <c r="A33" s="82"/>
      <c r="B33" s="77"/>
      <c r="C33" s="2320"/>
      <c r="D33" s="2321"/>
      <c r="E33" s="2322"/>
      <c r="F33" s="2320"/>
      <c r="G33" s="2322"/>
      <c r="H33" s="77"/>
      <c r="I33" s="72"/>
      <c r="J33" s="72"/>
      <c r="K33" s="72"/>
    </row>
    <row r="34" spans="1:11" x14ac:dyDescent="0.25">
      <c r="A34" s="82"/>
      <c r="B34" s="77"/>
      <c r="C34" s="2320"/>
      <c r="D34" s="2321"/>
      <c r="E34" s="2322"/>
      <c r="F34" s="2320"/>
      <c r="G34" s="2322"/>
      <c r="H34" s="77"/>
      <c r="I34" s="72"/>
      <c r="J34" s="72"/>
      <c r="K34" s="72"/>
    </row>
    <row r="35" spans="1:11" x14ac:dyDescent="0.25">
      <c r="A35" s="82"/>
      <c r="B35" s="77"/>
      <c r="C35" s="2320"/>
      <c r="D35" s="2321"/>
      <c r="E35" s="2322"/>
      <c r="F35" s="2320"/>
      <c r="G35" s="2322"/>
      <c r="H35" s="77"/>
      <c r="I35" s="72"/>
      <c r="J35" s="72"/>
      <c r="K35" s="72"/>
    </row>
    <row r="36" spans="1:11" x14ac:dyDescent="0.25">
      <c r="A36" s="82"/>
      <c r="B36" s="77"/>
      <c r="C36" s="2320"/>
      <c r="D36" s="2321"/>
      <c r="E36" s="2322"/>
      <c r="F36" s="2320"/>
      <c r="G36" s="2322"/>
      <c r="H36" s="77"/>
      <c r="I36" s="72"/>
      <c r="J36" s="72"/>
      <c r="K36" s="72"/>
    </row>
    <row r="37" spans="1:11" x14ac:dyDescent="0.25">
      <c r="A37" s="82"/>
      <c r="B37" s="77"/>
      <c r="C37" s="2320"/>
      <c r="D37" s="2321"/>
      <c r="E37" s="2322"/>
      <c r="F37" s="2320"/>
      <c r="G37" s="2322"/>
      <c r="H37" s="77"/>
      <c r="I37" s="72"/>
      <c r="J37" s="72"/>
      <c r="K37" s="72"/>
    </row>
    <row r="38" spans="1:11" x14ac:dyDescent="0.25">
      <c r="A38" s="82"/>
      <c r="B38" s="77"/>
      <c r="C38" s="2320"/>
      <c r="D38" s="2321"/>
      <c r="E38" s="2322"/>
      <c r="F38" s="2320"/>
      <c r="G38" s="2322"/>
      <c r="H38" s="77"/>
      <c r="I38" s="72"/>
      <c r="J38" s="72"/>
      <c r="K38" s="72"/>
    </row>
    <row r="39" spans="1:11" x14ac:dyDescent="0.25">
      <c r="A39" s="82"/>
      <c r="B39" s="77"/>
      <c r="C39" s="2320"/>
      <c r="D39" s="2321"/>
      <c r="E39" s="2322"/>
      <c r="F39" s="2320"/>
      <c r="G39" s="2322"/>
      <c r="H39" s="77"/>
      <c r="I39" s="72"/>
      <c r="J39" s="72"/>
      <c r="K39" s="72"/>
    </row>
    <row r="40" spans="1:11" x14ac:dyDescent="0.25">
      <c r="A40" s="82"/>
      <c r="B40" s="77"/>
      <c r="C40" s="2320"/>
      <c r="D40" s="2321"/>
      <c r="E40" s="2322"/>
      <c r="F40" s="2320"/>
      <c r="G40" s="2322"/>
      <c r="H40" s="77"/>
      <c r="I40" s="72"/>
      <c r="J40" s="72"/>
      <c r="K40" s="72"/>
    </row>
    <row r="41" spans="1:11" x14ac:dyDescent="0.25">
      <c r="A41" s="82"/>
      <c r="B41" s="77"/>
      <c r="C41" s="2320"/>
      <c r="D41" s="2321"/>
      <c r="E41" s="2322"/>
      <c r="F41" s="2320"/>
      <c r="G41" s="2322"/>
      <c r="H41" s="77"/>
      <c r="I41" s="72"/>
      <c r="J41" s="72"/>
      <c r="K41" s="72"/>
    </row>
    <row r="42" spans="1:11" x14ac:dyDescent="0.25">
      <c r="A42" s="82"/>
      <c r="B42" s="77"/>
      <c r="C42" s="2320"/>
      <c r="D42" s="2321"/>
      <c r="E42" s="2322"/>
      <c r="F42" s="2320"/>
      <c r="G42" s="2322"/>
      <c r="H42" s="77"/>
      <c r="I42" s="72"/>
      <c r="J42" s="72"/>
      <c r="K42" s="72"/>
    </row>
    <row r="43" spans="1:11" x14ac:dyDescent="0.25">
      <c r="A43" s="82"/>
      <c r="B43" s="77"/>
      <c r="C43" s="2320"/>
      <c r="D43" s="2321"/>
      <c r="E43" s="2322"/>
      <c r="F43" s="2320"/>
      <c r="G43" s="2322"/>
      <c r="H43" s="77"/>
      <c r="I43" s="72"/>
      <c r="J43" s="72"/>
      <c r="K43" s="72"/>
    </row>
    <row r="44" spans="1:11" x14ac:dyDescent="0.25">
      <c r="A44" s="82"/>
      <c r="B44" s="77"/>
      <c r="C44" s="2320"/>
      <c r="D44" s="2321"/>
      <c r="E44" s="2322"/>
      <c r="F44" s="2320"/>
      <c r="G44" s="2322"/>
      <c r="H44" s="77"/>
      <c r="I44" s="72"/>
      <c r="J44" s="72"/>
      <c r="K44" s="72"/>
    </row>
    <row r="45" spans="1:11" x14ac:dyDescent="0.25">
      <c r="A45" s="82"/>
      <c r="B45" s="77"/>
      <c r="C45" s="2320"/>
      <c r="D45" s="2321"/>
      <c r="E45" s="2322"/>
      <c r="F45" s="2320"/>
      <c r="G45" s="2322"/>
      <c r="H45" s="77"/>
      <c r="I45" s="72"/>
      <c r="J45" s="72"/>
      <c r="K45" s="72"/>
    </row>
    <row r="46" spans="1:11" x14ac:dyDescent="0.25">
      <c r="A46" s="82"/>
      <c r="B46" s="77"/>
      <c r="C46" s="2320"/>
      <c r="D46" s="2321"/>
      <c r="E46" s="2322"/>
      <c r="F46" s="2320"/>
      <c r="G46" s="2322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5"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7" customFormat="1" ht="25.5" customHeight="1" x14ac:dyDescent="0.2">
      <c r="A1" s="2349" t="s">
        <v>59</v>
      </c>
      <c r="B1" s="2354" t="s">
        <v>1190</v>
      </c>
      <c r="C1" s="2351" t="s">
        <v>1172</v>
      </c>
      <c r="D1" s="2353"/>
      <c r="E1" s="2351" t="s">
        <v>1173</v>
      </c>
      <c r="F1" s="2353"/>
      <c r="G1" s="2351" t="s">
        <v>1180</v>
      </c>
      <c r="H1" s="2352"/>
      <c r="I1" s="2352"/>
      <c r="J1" s="2352"/>
      <c r="K1" s="2352"/>
      <c r="L1" s="2352"/>
      <c r="M1" s="2353"/>
      <c r="N1" s="2351" t="s">
        <v>1179</v>
      </c>
      <c r="O1" s="2352"/>
      <c r="P1" s="2352"/>
      <c r="Q1" s="2352"/>
      <c r="R1" s="2352"/>
      <c r="S1" s="2352"/>
      <c r="T1" s="2353"/>
    </row>
    <row r="2" spans="1:20" ht="95.25" customHeight="1" x14ac:dyDescent="0.2">
      <c r="A2" s="2350"/>
      <c r="B2" s="2355"/>
      <c r="C2" s="1117" t="s">
        <v>1182</v>
      </c>
      <c r="D2" s="1118" t="s">
        <v>1174</v>
      </c>
      <c r="E2" s="1117" t="s">
        <v>1182</v>
      </c>
      <c r="F2" s="1118" t="s">
        <v>1175</v>
      </c>
      <c r="G2" s="1117" t="s">
        <v>1181</v>
      </c>
      <c r="H2" s="1111" t="s">
        <v>1176</v>
      </c>
      <c r="I2" s="1112" t="s">
        <v>1182</v>
      </c>
      <c r="J2" s="1111" t="s">
        <v>1175</v>
      </c>
      <c r="K2" s="1112" t="s">
        <v>1182</v>
      </c>
      <c r="L2" s="1111" t="s">
        <v>1177</v>
      </c>
      <c r="M2" s="1118" t="s">
        <v>1178</v>
      </c>
      <c r="N2" s="1117" t="s">
        <v>1181</v>
      </c>
      <c r="O2" s="1111" t="s">
        <v>1176</v>
      </c>
      <c r="P2" s="1112" t="s">
        <v>1182</v>
      </c>
      <c r="Q2" s="1111" t="s">
        <v>1175</v>
      </c>
      <c r="R2" s="1112" t="s">
        <v>1182</v>
      </c>
      <c r="S2" s="1111" t="s">
        <v>1177</v>
      </c>
      <c r="T2" s="1118" t="s">
        <v>1178</v>
      </c>
    </row>
    <row r="3" spans="1:20" s="1085" customFormat="1" ht="21.75" customHeight="1" x14ac:dyDescent="0.25">
      <c r="A3" s="1121"/>
      <c r="B3" s="1120" t="s">
        <v>1183</v>
      </c>
      <c r="C3" s="1119"/>
      <c r="D3" s="1120"/>
      <c r="E3" s="1119"/>
      <c r="F3" s="1120"/>
      <c r="G3" s="1119"/>
      <c r="H3" s="1113"/>
      <c r="I3" s="1113"/>
      <c r="J3" s="1113"/>
      <c r="K3" s="1113"/>
      <c r="L3" s="1113"/>
      <c r="M3" s="1127">
        <f>L3-J3</f>
        <v>0</v>
      </c>
      <c r="N3" s="1129"/>
      <c r="O3" s="1114"/>
      <c r="P3" s="1114"/>
      <c r="Q3" s="1114"/>
      <c r="R3" s="1114"/>
      <c r="S3" s="1114"/>
      <c r="T3" s="1130">
        <f>S3-Q3</f>
        <v>0</v>
      </c>
    </row>
    <row r="4" spans="1:20" s="1085" customFormat="1" ht="21.75" customHeight="1" x14ac:dyDescent="0.25">
      <c r="A4" s="1165"/>
      <c r="B4" s="1122" t="s">
        <v>1184</v>
      </c>
      <c r="C4" s="1121"/>
      <c r="D4" s="1122"/>
      <c r="E4" s="1121"/>
      <c r="F4" s="1122"/>
      <c r="G4" s="1121"/>
      <c r="H4" s="1084"/>
      <c r="I4" s="1084"/>
      <c r="J4" s="1084"/>
      <c r="K4" s="1084"/>
      <c r="L4" s="1084"/>
      <c r="M4" s="1128">
        <f t="shared" ref="M4:M9" si="0">L4-J4</f>
        <v>0</v>
      </c>
      <c r="N4" s="1131"/>
      <c r="O4" s="1115"/>
      <c r="P4" s="1115"/>
      <c r="Q4" s="1115"/>
      <c r="R4" s="1115"/>
      <c r="S4" s="1115"/>
      <c r="T4" s="1132">
        <f t="shared" ref="T4:T9" si="1">S4-Q4</f>
        <v>0</v>
      </c>
    </row>
    <row r="5" spans="1:20" s="1085" customFormat="1" ht="21.75" customHeight="1" x14ac:dyDescent="0.25">
      <c r="A5" s="1165"/>
      <c r="B5" s="1120" t="s">
        <v>1185</v>
      </c>
      <c r="C5" s="1121"/>
      <c r="D5" s="1122"/>
      <c r="E5" s="1121"/>
      <c r="F5" s="1122"/>
      <c r="G5" s="1121"/>
      <c r="H5" s="1084"/>
      <c r="I5" s="1084"/>
      <c r="J5" s="1084"/>
      <c r="K5" s="1084"/>
      <c r="L5" s="1084"/>
      <c r="M5" s="1128">
        <f t="shared" si="0"/>
        <v>0</v>
      </c>
      <c r="N5" s="1131"/>
      <c r="O5" s="1115"/>
      <c r="P5" s="1115"/>
      <c r="Q5" s="1115"/>
      <c r="R5" s="1115"/>
      <c r="S5" s="1115"/>
      <c r="T5" s="1132">
        <f t="shared" si="1"/>
        <v>0</v>
      </c>
    </row>
    <row r="6" spans="1:20" s="1085" customFormat="1" ht="21.75" customHeight="1" x14ac:dyDescent="0.25">
      <c r="A6" s="1165"/>
      <c r="B6" s="1122" t="s">
        <v>1186</v>
      </c>
      <c r="C6" s="1121"/>
      <c r="D6" s="1122"/>
      <c r="E6" s="1121"/>
      <c r="F6" s="1122"/>
      <c r="G6" s="1121"/>
      <c r="H6" s="1084"/>
      <c r="I6" s="1084"/>
      <c r="J6" s="1084"/>
      <c r="K6" s="1084"/>
      <c r="L6" s="1084"/>
      <c r="M6" s="1128">
        <f t="shared" si="0"/>
        <v>0</v>
      </c>
      <c r="N6" s="1131"/>
      <c r="O6" s="1115"/>
      <c r="P6" s="1115"/>
      <c r="Q6" s="1115"/>
      <c r="R6" s="1115"/>
      <c r="S6" s="1115"/>
      <c r="T6" s="1132">
        <f t="shared" si="1"/>
        <v>0</v>
      </c>
    </row>
    <row r="7" spans="1:20" s="1085" customFormat="1" ht="21.75" customHeight="1" x14ac:dyDescent="0.25">
      <c r="A7" s="1165"/>
      <c r="B7" s="1120" t="s">
        <v>1187</v>
      </c>
      <c r="C7" s="1121"/>
      <c r="D7" s="1122"/>
      <c r="E7" s="1121"/>
      <c r="F7" s="1122"/>
      <c r="G7" s="1121"/>
      <c r="H7" s="1084"/>
      <c r="I7" s="1084"/>
      <c r="J7" s="1084"/>
      <c r="K7" s="1084"/>
      <c r="L7" s="1084"/>
      <c r="M7" s="1128">
        <f t="shared" si="0"/>
        <v>0</v>
      </c>
      <c r="N7" s="1131"/>
      <c r="O7" s="1115"/>
      <c r="P7" s="1115"/>
      <c r="Q7" s="1115"/>
      <c r="R7" s="1115"/>
      <c r="S7" s="1115"/>
      <c r="T7" s="1132">
        <f t="shared" si="1"/>
        <v>0</v>
      </c>
    </row>
    <row r="8" spans="1:20" s="1085" customFormat="1" ht="21.75" customHeight="1" x14ac:dyDescent="0.25">
      <c r="A8" s="1165"/>
      <c r="B8" s="1122" t="s">
        <v>1188</v>
      </c>
      <c r="C8" s="1121"/>
      <c r="D8" s="1122"/>
      <c r="E8" s="1121"/>
      <c r="F8" s="1122"/>
      <c r="G8" s="1121"/>
      <c r="H8" s="1084"/>
      <c r="I8" s="1084"/>
      <c r="J8" s="1084"/>
      <c r="K8" s="1084"/>
      <c r="L8" s="1084"/>
      <c r="M8" s="1128">
        <f t="shared" si="0"/>
        <v>0</v>
      </c>
      <c r="N8" s="1131"/>
      <c r="O8" s="1115"/>
      <c r="P8" s="1115"/>
      <c r="Q8" s="1115"/>
      <c r="R8" s="1115"/>
      <c r="S8" s="1115"/>
      <c r="T8" s="1132">
        <f t="shared" si="1"/>
        <v>0</v>
      </c>
    </row>
    <row r="9" spans="1:20" s="1085" customFormat="1" ht="21.75" customHeight="1" thickBot="1" x14ac:dyDescent="0.3">
      <c r="A9" s="1165"/>
      <c r="B9" s="1120" t="s">
        <v>1189</v>
      </c>
      <c r="C9" s="1124"/>
      <c r="D9" s="1125"/>
      <c r="E9" s="1124"/>
      <c r="F9" s="1125"/>
      <c r="G9" s="1124"/>
      <c r="H9" s="1133"/>
      <c r="I9" s="1133"/>
      <c r="J9" s="1133"/>
      <c r="K9" s="1133"/>
      <c r="L9" s="1133"/>
      <c r="M9" s="1134">
        <f t="shared" si="0"/>
        <v>0</v>
      </c>
      <c r="N9" s="1135"/>
      <c r="O9" s="1136"/>
      <c r="P9" s="1136"/>
      <c r="Q9" s="1136"/>
      <c r="R9" s="1136"/>
      <c r="S9" s="1136"/>
      <c r="T9" s="1137">
        <f t="shared" si="1"/>
        <v>0</v>
      </c>
    </row>
    <row r="10" spans="1:20" s="1116" customFormat="1" ht="24" customHeight="1" thickBot="1" x14ac:dyDescent="0.3">
      <c r="A10" s="1159"/>
      <c r="B10" s="1123"/>
      <c r="C10" s="1126"/>
      <c r="D10" s="1160" t="e">
        <f>AVERAGE(D3:D9)</f>
        <v>#DIV/0!</v>
      </c>
      <c r="E10" s="1161"/>
      <c r="F10" s="1160" t="e">
        <f>AVERAGE(F3:F9)</f>
        <v>#DIV/0!</v>
      </c>
      <c r="G10" s="1161"/>
      <c r="H10" s="1162" t="e">
        <f>AVERAGE(H3:H9)</f>
        <v>#DIV/0!</v>
      </c>
      <c r="I10" s="1163"/>
      <c r="J10" s="1162" t="e">
        <f>AVERAGE(J3:J9)</f>
        <v>#DIV/0!</v>
      </c>
      <c r="K10" s="1163"/>
      <c r="L10" s="1162" t="e">
        <f>AVERAGE(L3:L9)</f>
        <v>#DIV/0!</v>
      </c>
      <c r="M10" s="1164">
        <f>AVERAGE(M3:M9)</f>
        <v>0</v>
      </c>
      <c r="N10" s="1161"/>
      <c r="O10" s="1162" t="e">
        <f>AVERAGE(O3:O9)</f>
        <v>#DIV/0!</v>
      </c>
      <c r="P10" s="1163"/>
      <c r="Q10" s="1162" t="e">
        <f>AVERAGE(Q3:Q9)</f>
        <v>#DIV/0!</v>
      </c>
      <c r="R10" s="1163"/>
      <c r="S10" s="1162" t="e">
        <f>AVERAGE(S3:S9)</f>
        <v>#DIV/0!</v>
      </c>
      <c r="T10" s="1164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56" t="s">
        <v>956</v>
      </c>
      <c r="B1" s="2356"/>
      <c r="C1" s="2356"/>
      <c r="D1" s="2356"/>
      <c r="E1" s="2356"/>
      <c r="F1" s="2356"/>
      <c r="G1" s="2356"/>
      <c r="H1" s="2356"/>
      <c r="I1" s="2356"/>
      <c r="J1" s="2356"/>
      <c r="K1" s="2356"/>
    </row>
    <row r="2" spans="1:11" ht="25.5" customHeight="1" x14ac:dyDescent="0.3">
      <c r="A2" s="1073" t="s">
        <v>1130</v>
      </c>
      <c r="B2" s="1074"/>
      <c r="C2" s="927"/>
      <c r="D2" s="1072" t="s">
        <v>246</v>
      </c>
      <c r="E2" s="1075">
        <v>1</v>
      </c>
      <c r="F2" s="927"/>
      <c r="G2" s="927"/>
      <c r="H2" s="1072" t="s">
        <v>61</v>
      </c>
      <c r="I2" s="1076"/>
      <c r="J2" s="723"/>
    </row>
    <row r="3" spans="1:11" s="587" customFormat="1" ht="25.5" customHeight="1" x14ac:dyDescent="0.3">
      <c r="A3" s="4"/>
      <c r="B3" s="926"/>
      <c r="C3" s="927"/>
      <c r="D3" s="928"/>
      <c r="E3" s="927"/>
      <c r="F3" s="927"/>
      <c r="G3" s="78"/>
      <c r="H3" s="723"/>
      <c r="I3" s="723"/>
      <c r="J3" s="723"/>
      <c r="K3" s="78"/>
    </row>
    <row r="4" spans="1:11" ht="25.5" customHeight="1" x14ac:dyDescent="0.3">
      <c r="A4" s="929" t="s">
        <v>4</v>
      </c>
      <c r="B4" s="930">
        <v>1059</v>
      </c>
      <c r="C4" s="931" t="s">
        <v>14</v>
      </c>
      <c r="D4" s="930" t="s">
        <v>7</v>
      </c>
      <c r="E4" s="930" t="s">
        <v>164</v>
      </c>
      <c r="F4" s="930" t="s">
        <v>15</v>
      </c>
      <c r="G4" s="930" t="s">
        <v>574</v>
      </c>
      <c r="H4" s="930">
        <v>12</v>
      </c>
      <c r="I4" s="930">
        <v>1859</v>
      </c>
      <c r="J4" s="930" t="s">
        <v>171</v>
      </c>
      <c r="K4" s="930" t="s">
        <v>18</v>
      </c>
    </row>
    <row r="5" spans="1:11" ht="25.5" customHeight="1" x14ac:dyDescent="0.3">
      <c r="A5" s="726">
        <v>0.83333333333333337</v>
      </c>
      <c r="B5" s="228"/>
      <c r="C5" s="228"/>
      <c r="D5" s="228"/>
      <c r="E5" s="228"/>
      <c r="F5" s="228"/>
      <c r="G5" s="228"/>
      <c r="H5" s="228"/>
      <c r="I5" s="228"/>
      <c r="J5" s="405"/>
      <c r="K5" s="362"/>
    </row>
    <row r="6" spans="1:11" s="587" customFormat="1" ht="25.5" customHeight="1" x14ac:dyDescent="0.3">
      <c r="A6" s="726">
        <v>0.875</v>
      </c>
      <c r="B6" s="228"/>
      <c r="C6" s="228"/>
      <c r="D6" s="228"/>
      <c r="E6" s="228"/>
      <c r="F6" s="228"/>
      <c r="G6" s="228"/>
      <c r="H6" s="228"/>
      <c r="I6" s="228"/>
      <c r="J6" s="405"/>
      <c r="K6" s="362"/>
    </row>
    <row r="7" spans="1:11" s="587" customFormat="1" ht="25.5" customHeight="1" x14ac:dyDescent="0.3">
      <c r="A7" s="726">
        <v>0.91666666666666696</v>
      </c>
      <c r="B7" s="228"/>
      <c r="C7" s="228"/>
      <c r="D7" s="228"/>
      <c r="E7" s="228"/>
      <c r="F7" s="228"/>
      <c r="G7" s="228"/>
      <c r="H7" s="228"/>
      <c r="I7" s="228"/>
      <c r="J7" s="405"/>
      <c r="K7" s="362"/>
    </row>
    <row r="8" spans="1:11" s="587" customFormat="1" ht="25.5" customHeight="1" x14ac:dyDescent="0.3">
      <c r="A8" s="726">
        <v>0.95833333333333304</v>
      </c>
      <c r="B8" s="228"/>
      <c r="C8" s="228"/>
      <c r="D8" s="228"/>
      <c r="E8" s="228"/>
      <c r="F8" s="228"/>
      <c r="G8" s="228"/>
      <c r="H8" s="228"/>
      <c r="I8" s="228"/>
      <c r="J8" s="405"/>
      <c r="K8" s="362"/>
    </row>
    <row r="9" spans="1:11" s="587" customFormat="1" ht="25.5" customHeight="1" x14ac:dyDescent="0.3">
      <c r="A9" s="726">
        <v>1</v>
      </c>
      <c r="B9" s="228"/>
      <c r="C9" s="228"/>
      <c r="D9" s="228"/>
      <c r="E9" s="228"/>
      <c r="F9" s="228"/>
      <c r="G9" s="228"/>
      <c r="H9" s="228"/>
      <c r="I9" s="228"/>
      <c r="J9" s="405"/>
      <c r="K9" s="362"/>
    </row>
    <row r="10" spans="1:11" ht="25.5" customHeight="1" x14ac:dyDescent="0.3">
      <c r="A10" s="726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5"/>
      <c r="K10" s="362"/>
    </row>
    <row r="11" spans="1:11" ht="25.5" customHeight="1" x14ac:dyDescent="0.3">
      <c r="A11" s="726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5"/>
      <c r="K11" s="362"/>
    </row>
    <row r="12" spans="1:11" ht="25.5" customHeight="1" x14ac:dyDescent="0.3">
      <c r="A12" s="726">
        <v>1.125</v>
      </c>
      <c r="B12" s="228"/>
      <c r="C12" s="228"/>
      <c r="D12" s="228"/>
      <c r="E12" s="228"/>
      <c r="F12" s="228"/>
      <c r="G12" s="228"/>
      <c r="H12" s="228"/>
      <c r="I12" s="228"/>
      <c r="J12" s="405"/>
      <c r="K12" s="362"/>
    </row>
    <row r="13" spans="1:11" ht="25.5" customHeight="1" x14ac:dyDescent="0.3">
      <c r="A13" s="726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5"/>
      <c r="K13" s="362"/>
    </row>
    <row r="14" spans="1:11" ht="25.5" customHeight="1" x14ac:dyDescent="0.3">
      <c r="A14" s="726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5"/>
      <c r="K14" s="362"/>
    </row>
    <row r="15" spans="1:11" ht="25.5" customHeight="1" x14ac:dyDescent="0.3">
      <c r="A15" s="726">
        <v>1.25</v>
      </c>
      <c r="B15" s="228"/>
      <c r="C15" s="228"/>
      <c r="D15" s="228"/>
      <c r="E15" s="228"/>
      <c r="F15" s="228"/>
      <c r="G15" s="228"/>
      <c r="H15" s="228"/>
      <c r="I15" s="228"/>
      <c r="J15" s="405"/>
      <c r="K15" s="362"/>
    </row>
    <row r="16" spans="1:11" ht="25.5" customHeight="1" thickBot="1" x14ac:dyDescent="0.35">
      <c r="A16" s="936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7"/>
      <c r="K16" s="362"/>
    </row>
    <row r="17" spans="1:11" ht="25.5" customHeight="1" thickBot="1" x14ac:dyDescent="0.35">
      <c r="A17" s="932" t="s">
        <v>151</v>
      </c>
      <c r="B17" s="933" t="e">
        <f>AVERAGE(B5:B16)</f>
        <v>#DIV/0!</v>
      </c>
      <c r="C17" s="933" t="e">
        <f t="shared" ref="C17:J17" si="0">AVERAGE(C5:C16)</f>
        <v>#DIV/0!</v>
      </c>
      <c r="D17" s="933" t="e">
        <f t="shared" si="0"/>
        <v>#DIV/0!</v>
      </c>
      <c r="E17" s="933" t="e">
        <f t="shared" si="0"/>
        <v>#DIV/0!</v>
      </c>
      <c r="F17" s="933" t="e">
        <f t="shared" si="0"/>
        <v>#DIV/0!</v>
      </c>
      <c r="G17" s="933" t="e">
        <f t="shared" si="0"/>
        <v>#DIV/0!</v>
      </c>
      <c r="H17" s="933" t="e">
        <f t="shared" si="0"/>
        <v>#DIV/0!</v>
      </c>
      <c r="I17" s="933" t="e">
        <f t="shared" si="0"/>
        <v>#DIV/0!</v>
      </c>
      <c r="J17" s="1078" t="e">
        <f t="shared" si="0"/>
        <v>#DIV/0!</v>
      </c>
      <c r="K17" s="934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57" t="s">
        <v>1131</v>
      </c>
      <c r="D19" s="2357"/>
      <c r="F19" s="725"/>
      <c r="G19" s="2357" t="s">
        <v>199</v>
      </c>
      <c r="H19" s="2357"/>
    </row>
    <row r="20" spans="1:11" ht="25.5" customHeight="1" x14ac:dyDescent="0.3">
      <c r="A20" s="2358" t="s">
        <v>1132</v>
      </c>
      <c r="B20" s="2358"/>
      <c r="C20" s="2359"/>
      <c r="D20" s="2359"/>
      <c r="F20" s="725"/>
      <c r="G20" s="2229"/>
      <c r="H20" s="2229"/>
    </row>
    <row r="21" spans="1:11" ht="25.5" customHeight="1" x14ac:dyDescent="0.3">
      <c r="C21" s="2359"/>
      <c r="D21" s="2359"/>
      <c r="F21" s="725"/>
      <c r="G21" s="2229"/>
      <c r="H21" s="2229"/>
    </row>
    <row r="22" spans="1:11" ht="25.5" customHeight="1" x14ac:dyDescent="0.3">
      <c r="C22" s="2359"/>
      <c r="D22" s="2359"/>
      <c r="G22" s="2357"/>
      <c r="H22" s="2357"/>
    </row>
    <row r="23" spans="1:11" ht="25.5" customHeight="1" x14ac:dyDescent="0.3"/>
    <row r="24" spans="1:11" ht="45" customHeight="1" x14ac:dyDescent="0.2">
      <c r="A24" s="2356" t="s">
        <v>956</v>
      </c>
      <c r="B24" s="2356"/>
      <c r="C24" s="2356"/>
      <c r="D24" s="2356"/>
      <c r="E24" s="2356"/>
      <c r="F24" s="2356"/>
      <c r="G24" s="2356"/>
      <c r="H24" s="2356"/>
      <c r="I24" s="2356"/>
      <c r="J24" s="2356"/>
      <c r="K24" s="2356"/>
    </row>
    <row r="25" spans="1:11" ht="25.5" customHeight="1" x14ac:dyDescent="0.3">
      <c r="A25" s="1073" t="s">
        <v>1130</v>
      </c>
      <c r="B25" s="1074">
        <f>B2</f>
        <v>0</v>
      </c>
      <c r="C25" s="927"/>
      <c r="D25" s="1072" t="s">
        <v>246</v>
      </c>
      <c r="E25" s="1075">
        <v>2</v>
      </c>
      <c r="F25" s="927"/>
      <c r="G25" s="927"/>
      <c r="H25" s="1072" t="s">
        <v>61</v>
      </c>
      <c r="I25" s="1076"/>
      <c r="J25" s="723"/>
    </row>
    <row r="26" spans="1:11" ht="25.5" customHeight="1" x14ac:dyDescent="0.3"/>
    <row r="27" spans="1:11" ht="25.5" customHeight="1" x14ac:dyDescent="0.3">
      <c r="A27" s="935" t="s">
        <v>4</v>
      </c>
      <c r="B27" s="930">
        <v>1059</v>
      </c>
      <c r="C27" s="931" t="s">
        <v>14</v>
      </c>
      <c r="D27" s="930" t="s">
        <v>7</v>
      </c>
      <c r="E27" s="930" t="s">
        <v>164</v>
      </c>
      <c r="F27" s="930" t="s">
        <v>15</v>
      </c>
      <c r="G27" s="930" t="s">
        <v>574</v>
      </c>
      <c r="H27" s="930">
        <v>12</v>
      </c>
      <c r="I27" s="930">
        <v>1859</v>
      </c>
      <c r="J27" s="930" t="s">
        <v>171</v>
      </c>
      <c r="K27" s="930" t="s">
        <v>18</v>
      </c>
    </row>
    <row r="28" spans="1:11" ht="25.5" customHeight="1" x14ac:dyDescent="0.3">
      <c r="A28" s="726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">
      <c r="A29" s="726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7" customFormat="1" ht="25.5" customHeight="1" x14ac:dyDescent="0.3">
      <c r="A30" s="726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7" customFormat="1" ht="25.5" customHeight="1" x14ac:dyDescent="0.3">
      <c r="A31" s="726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7" customFormat="1" ht="25.5" customHeight="1" x14ac:dyDescent="0.3">
      <c r="A32" s="726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7" customFormat="1" ht="25.5" customHeight="1" x14ac:dyDescent="0.3">
      <c r="A33" s="726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">
      <c r="A34" s="726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">
      <c r="A35" s="726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">
      <c r="A36" s="726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">
      <c r="A37" s="726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">
      <c r="A38" s="726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35">
      <c r="A39" s="936">
        <v>0.79166666666666696</v>
      </c>
      <c r="B39" s="937"/>
      <c r="C39" s="365"/>
      <c r="D39" s="365"/>
      <c r="E39" s="365"/>
      <c r="F39" s="365"/>
      <c r="G39" s="937"/>
      <c r="H39" s="365"/>
      <c r="I39" s="365"/>
      <c r="J39" s="365"/>
      <c r="K39" s="937"/>
    </row>
    <row r="40" spans="1:11" ht="25.5" customHeight="1" thickBot="1" x14ac:dyDescent="0.35">
      <c r="A40" s="932" t="s">
        <v>151</v>
      </c>
      <c r="B40" s="938" t="e">
        <f>AVERAGE(B28:B39)</f>
        <v>#DIV/0!</v>
      </c>
      <c r="C40" s="938" t="e">
        <f t="shared" ref="C40:K40" si="2">AVERAGE(C28:C39)</f>
        <v>#DIV/0!</v>
      </c>
      <c r="D40" s="938" t="e">
        <f t="shared" si="2"/>
        <v>#DIV/0!</v>
      </c>
      <c r="E40" s="938" t="e">
        <f t="shared" si="2"/>
        <v>#DIV/0!</v>
      </c>
      <c r="F40" s="938" t="e">
        <f t="shared" si="2"/>
        <v>#DIV/0!</v>
      </c>
      <c r="G40" s="938" t="e">
        <f t="shared" si="2"/>
        <v>#DIV/0!</v>
      </c>
      <c r="H40" s="938" t="e">
        <f t="shared" si="2"/>
        <v>#DIV/0!</v>
      </c>
      <c r="I40" s="938" t="e">
        <f t="shared" si="2"/>
        <v>#DIV/0!</v>
      </c>
      <c r="J40" s="378" t="e">
        <f t="shared" si="2"/>
        <v>#DIV/0!</v>
      </c>
      <c r="K40" s="934" t="e">
        <f t="shared" si="2"/>
        <v>#DIV/0!</v>
      </c>
    </row>
    <row r="41" spans="1:11" ht="25.5" customHeight="1" x14ac:dyDescent="0.3"/>
    <row r="42" spans="1:11" ht="25.5" customHeight="1" x14ac:dyDescent="0.3">
      <c r="C42" s="2357" t="s">
        <v>1131</v>
      </c>
      <c r="D42" s="2357"/>
      <c r="F42" s="725"/>
      <c r="G42" s="2357" t="s">
        <v>199</v>
      </c>
      <c r="H42" s="2357"/>
    </row>
    <row r="43" spans="1:11" ht="22.5" customHeight="1" x14ac:dyDescent="0.3">
      <c r="A43" s="2358" t="s">
        <v>1132</v>
      </c>
      <c r="B43" s="2358"/>
      <c r="C43" s="2359"/>
      <c r="D43" s="2359"/>
      <c r="F43" s="725"/>
      <c r="G43" s="2229"/>
      <c r="H43" s="2229"/>
    </row>
    <row r="44" spans="1:11" ht="22.5" customHeight="1" x14ac:dyDescent="0.3">
      <c r="C44" s="2359"/>
      <c r="D44" s="2359"/>
      <c r="F44" s="725"/>
      <c r="G44" s="2229"/>
      <c r="H44" s="2229"/>
    </row>
    <row r="45" spans="1:11" ht="22.5" customHeight="1" x14ac:dyDescent="0.3">
      <c r="C45" s="2359"/>
      <c r="D45" s="2359"/>
      <c r="G45" s="2357"/>
      <c r="H45" s="2357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7" customWidth="1"/>
    <col min="2" max="2" width="47.42578125" style="598" customWidth="1"/>
    <col min="3" max="3" width="51.7109375" style="599" customWidth="1"/>
    <col min="4" max="4" width="30.42578125" style="598" customWidth="1"/>
    <col min="5" max="5" width="21.5703125" style="598" customWidth="1"/>
    <col min="6" max="6" width="57.5703125" style="598" customWidth="1"/>
    <col min="7" max="7" width="28.85546875" style="598" customWidth="1"/>
    <col min="8" max="8" width="14.85546875" style="587" customWidth="1"/>
    <col min="9" max="16384" width="9.140625" style="587"/>
  </cols>
  <sheetData>
    <row r="1" spans="1:8" s="722" customFormat="1" ht="21" customHeight="1" x14ac:dyDescent="0.2">
      <c r="A1" s="2360" t="s">
        <v>374</v>
      </c>
      <c r="B1" s="2360"/>
      <c r="C1" s="2360"/>
      <c r="D1" s="2360"/>
      <c r="E1" s="2360"/>
      <c r="F1" s="2360"/>
      <c r="G1" s="2360"/>
      <c r="H1" s="1087"/>
    </row>
    <row r="2" spans="1:8" s="722" customFormat="1" ht="21" customHeight="1" x14ac:dyDescent="0.2">
      <c r="A2" s="2360" t="s">
        <v>483</v>
      </c>
      <c r="B2" s="2360"/>
      <c r="C2" s="2360"/>
      <c r="D2" s="2360"/>
      <c r="E2" s="2360"/>
      <c r="F2" s="2360"/>
      <c r="G2" s="2360"/>
    </row>
    <row r="3" spans="1:8" s="722" customFormat="1" ht="21" customHeight="1" x14ac:dyDescent="0.2">
      <c r="A3" s="2361" t="s">
        <v>1516</v>
      </c>
      <c r="B3" s="2361"/>
      <c r="C3" s="2361"/>
      <c r="D3" s="2361"/>
      <c r="E3" s="2361"/>
      <c r="F3" s="2361"/>
      <c r="G3" s="2361"/>
      <c r="H3" s="1458" t="s">
        <v>1518</v>
      </c>
    </row>
    <row r="4" spans="1:8" ht="82.5" customHeight="1" x14ac:dyDescent="0.25">
      <c r="A4" s="1099" t="s">
        <v>447</v>
      </c>
      <c r="B4" s="1100" t="s">
        <v>229</v>
      </c>
      <c r="C4" s="1100" t="s">
        <v>230</v>
      </c>
      <c r="D4" s="1100" t="s">
        <v>231</v>
      </c>
      <c r="E4" s="1100" t="s">
        <v>487</v>
      </c>
      <c r="F4" s="1100" t="s">
        <v>193</v>
      </c>
      <c r="G4" s="1100" t="s">
        <v>446</v>
      </c>
      <c r="H4" s="114"/>
    </row>
    <row r="5" spans="1:8" x14ac:dyDescent="0.25">
      <c r="A5" s="1101">
        <v>1</v>
      </c>
      <c r="B5" s="1102">
        <v>2</v>
      </c>
      <c r="C5" s="1103">
        <v>3</v>
      </c>
      <c r="D5" s="1102">
        <v>4</v>
      </c>
      <c r="E5" s="1102">
        <v>5</v>
      </c>
      <c r="F5" s="1102">
        <v>6</v>
      </c>
      <c r="G5" s="1102">
        <v>7</v>
      </c>
      <c r="H5" s="110"/>
    </row>
    <row r="6" spans="1:8" ht="24" customHeight="1" x14ac:dyDescent="0.25">
      <c r="A6" s="2362" t="s">
        <v>1162</v>
      </c>
      <c r="B6" s="2363"/>
      <c r="C6" s="2363"/>
      <c r="D6" s="2363"/>
      <c r="E6" s="2363"/>
      <c r="F6" s="2363"/>
      <c r="G6" s="2364"/>
      <c r="H6" s="110"/>
    </row>
    <row r="7" spans="1:8" s="193" customFormat="1" ht="17.25" customHeight="1" x14ac:dyDescent="0.25">
      <c r="A7" s="2365" t="s">
        <v>196</v>
      </c>
      <c r="B7" s="2367" t="s">
        <v>489</v>
      </c>
      <c r="C7" s="1094" t="s">
        <v>808</v>
      </c>
      <c r="D7" s="1104" t="s">
        <v>197</v>
      </c>
      <c r="E7" s="1104"/>
      <c r="F7" s="1104" t="s">
        <v>809</v>
      </c>
      <c r="G7" s="1104" t="s">
        <v>208</v>
      </c>
      <c r="H7" s="110"/>
    </row>
    <row r="8" spans="1:8" s="596" customFormat="1" ht="35.25" customHeight="1" x14ac:dyDescent="0.2">
      <c r="A8" s="2366"/>
      <c r="B8" s="2368"/>
      <c r="C8" s="1094" t="s">
        <v>490</v>
      </c>
      <c r="D8" s="1104" t="s">
        <v>197</v>
      </c>
      <c r="E8" s="1104">
        <v>25</v>
      </c>
      <c r="F8" s="1104" t="s">
        <v>198</v>
      </c>
      <c r="G8" s="1104" t="s">
        <v>199</v>
      </c>
      <c r="H8" s="589"/>
    </row>
    <row r="9" spans="1:8" s="596" customFormat="1" ht="20.25" customHeight="1" x14ac:dyDescent="0.2">
      <c r="A9" s="2365" t="s">
        <v>200</v>
      </c>
      <c r="B9" s="2367" t="s">
        <v>201</v>
      </c>
      <c r="C9" s="1094" t="s">
        <v>808</v>
      </c>
      <c r="D9" s="1104" t="s">
        <v>197</v>
      </c>
      <c r="E9" s="1104"/>
      <c r="F9" s="1104" t="s">
        <v>809</v>
      </c>
      <c r="G9" s="1104" t="s">
        <v>208</v>
      </c>
      <c r="H9" s="589"/>
    </row>
    <row r="10" spans="1:8" s="596" customFormat="1" ht="35.25" customHeight="1" x14ac:dyDescent="0.2">
      <c r="A10" s="2369"/>
      <c r="B10" s="2373"/>
      <c r="C10" s="1094" t="s">
        <v>228</v>
      </c>
      <c r="D10" s="1104" t="s">
        <v>202</v>
      </c>
      <c r="E10" s="1105">
        <v>30</v>
      </c>
      <c r="F10" s="2374" t="s">
        <v>1524</v>
      </c>
      <c r="G10" s="2374" t="s">
        <v>203</v>
      </c>
      <c r="H10" s="589"/>
    </row>
    <row r="11" spans="1:8" s="596" customFormat="1" ht="82.5" customHeight="1" x14ac:dyDescent="0.2">
      <c r="A11" s="2366"/>
      <c r="B11" s="2368"/>
      <c r="C11" s="1094" t="s">
        <v>491</v>
      </c>
      <c r="D11" s="1104" t="s">
        <v>810</v>
      </c>
      <c r="E11" s="1105">
        <v>1</v>
      </c>
      <c r="F11" s="2375"/>
      <c r="G11" s="2375"/>
      <c r="H11" s="589"/>
    </row>
    <row r="12" spans="1:8" s="596" customFormat="1" ht="18" customHeight="1" x14ac:dyDescent="0.2">
      <c r="A12" s="2365" t="s">
        <v>811</v>
      </c>
      <c r="B12" s="2367" t="s">
        <v>812</v>
      </c>
      <c r="C12" s="1094" t="s">
        <v>808</v>
      </c>
      <c r="D12" s="1104" t="s">
        <v>197</v>
      </c>
      <c r="E12" s="1104"/>
      <c r="F12" s="1104" t="s">
        <v>809</v>
      </c>
      <c r="G12" s="1104" t="s">
        <v>208</v>
      </c>
      <c r="H12" s="589"/>
    </row>
    <row r="13" spans="1:8" s="596" customFormat="1" ht="35.25" customHeight="1" x14ac:dyDescent="0.2">
      <c r="A13" s="2369"/>
      <c r="B13" s="2373"/>
      <c r="C13" s="1094" t="s">
        <v>813</v>
      </c>
      <c r="D13" s="1104" t="s">
        <v>202</v>
      </c>
      <c r="E13" s="1105" t="s">
        <v>1522</v>
      </c>
      <c r="F13" s="2374" t="s">
        <v>814</v>
      </c>
      <c r="G13" s="2374" t="s">
        <v>203</v>
      </c>
      <c r="H13" s="589"/>
    </row>
    <row r="14" spans="1:8" s="596" customFormat="1" ht="109.5" customHeight="1" x14ac:dyDescent="0.2">
      <c r="A14" s="2366"/>
      <c r="B14" s="2368"/>
      <c r="C14" s="1106" t="s">
        <v>815</v>
      </c>
      <c r="D14" s="1104" t="s">
        <v>810</v>
      </c>
      <c r="E14" s="1105" t="s">
        <v>1523</v>
      </c>
      <c r="F14" s="2375"/>
      <c r="G14" s="2375"/>
      <c r="H14" s="589"/>
    </row>
    <row r="15" spans="1:8" s="596" customFormat="1" ht="22.5" customHeight="1" x14ac:dyDescent="0.2">
      <c r="A15" s="2365" t="s">
        <v>816</v>
      </c>
      <c r="B15" s="2367" t="s">
        <v>817</v>
      </c>
      <c r="C15" s="1094" t="s">
        <v>808</v>
      </c>
      <c r="D15" s="1104" t="s">
        <v>197</v>
      </c>
      <c r="E15" s="1104"/>
      <c r="F15" s="1104" t="s">
        <v>809</v>
      </c>
      <c r="G15" s="1104" t="s">
        <v>208</v>
      </c>
      <c r="H15" s="589"/>
    </row>
    <row r="16" spans="1:8" s="596" customFormat="1" ht="38.25" customHeight="1" x14ac:dyDescent="0.2">
      <c r="A16" s="2369"/>
      <c r="B16" s="2373"/>
      <c r="C16" s="1094" t="s">
        <v>813</v>
      </c>
      <c r="D16" s="1104" t="s">
        <v>202</v>
      </c>
      <c r="E16" s="1107">
        <v>22</v>
      </c>
      <c r="F16" s="2374" t="s">
        <v>818</v>
      </c>
      <c r="G16" s="2374" t="s">
        <v>203</v>
      </c>
      <c r="H16" s="589"/>
    </row>
    <row r="17" spans="1:8" s="596" customFormat="1" ht="102" customHeight="1" x14ac:dyDescent="0.2">
      <c r="A17" s="2366"/>
      <c r="B17" s="2368"/>
      <c r="C17" s="1094" t="s">
        <v>815</v>
      </c>
      <c r="D17" s="1104" t="s">
        <v>810</v>
      </c>
      <c r="E17" s="1107">
        <v>3</v>
      </c>
      <c r="F17" s="2375"/>
      <c r="G17" s="2375"/>
      <c r="H17" s="589"/>
    </row>
    <row r="18" spans="1:8" s="596" customFormat="1" ht="100.5" customHeight="1" x14ac:dyDescent="0.2">
      <c r="A18" s="2376" t="s">
        <v>819</v>
      </c>
      <c r="B18" s="2377" t="s">
        <v>204</v>
      </c>
      <c r="C18" s="1094" t="s">
        <v>820</v>
      </c>
      <c r="D18" s="1459" t="s">
        <v>1527</v>
      </c>
      <c r="E18" s="1095" t="s">
        <v>1525</v>
      </c>
      <c r="F18" s="1459" t="s">
        <v>1526</v>
      </c>
      <c r="G18" s="1459" t="s">
        <v>1528</v>
      </c>
      <c r="H18" s="588"/>
    </row>
    <row r="19" spans="1:8" s="596" customFormat="1" ht="100.5" customHeight="1" x14ac:dyDescent="0.2">
      <c r="A19" s="2376"/>
      <c r="B19" s="2377"/>
      <c r="C19" s="1094" t="s">
        <v>821</v>
      </c>
      <c r="D19" s="1459" t="s">
        <v>1532</v>
      </c>
      <c r="E19" s="1459" t="s">
        <v>1530</v>
      </c>
      <c r="F19" s="1459" t="s">
        <v>1531</v>
      </c>
      <c r="G19" s="1459" t="s">
        <v>1533</v>
      </c>
      <c r="H19" s="589"/>
    </row>
    <row r="20" spans="1:8" s="596" customFormat="1" ht="105" customHeight="1" x14ac:dyDescent="0.2">
      <c r="A20" s="2376"/>
      <c r="B20" s="2377"/>
      <c r="C20" s="1094" t="s">
        <v>822</v>
      </c>
      <c r="D20" s="2378" t="s">
        <v>1534</v>
      </c>
      <c r="E20" s="1108" t="s">
        <v>1529</v>
      </c>
      <c r="F20" s="1459" t="s">
        <v>1535</v>
      </c>
      <c r="G20" s="2378" t="s">
        <v>206</v>
      </c>
      <c r="H20" s="588"/>
    </row>
    <row r="21" spans="1:8" s="596" customFormat="1" ht="66" customHeight="1" x14ac:dyDescent="0.2">
      <c r="A21" s="2376"/>
      <c r="B21" s="2377"/>
      <c r="C21" s="1094" t="s">
        <v>823</v>
      </c>
      <c r="D21" s="2378"/>
      <c r="E21" s="1108" t="s">
        <v>1521</v>
      </c>
      <c r="F21" s="1460" t="s">
        <v>1536</v>
      </c>
      <c r="G21" s="2378"/>
      <c r="H21" s="111"/>
    </row>
    <row r="22" spans="1:8" s="115" customFormat="1" ht="102" customHeight="1" x14ac:dyDescent="0.2">
      <c r="A22" s="2376"/>
      <c r="B22" s="2377"/>
      <c r="C22" s="1094" t="s">
        <v>824</v>
      </c>
      <c r="D22" s="2378"/>
      <c r="E22" s="1460" t="s">
        <v>1537</v>
      </c>
      <c r="F22" s="1460" t="s">
        <v>1538</v>
      </c>
      <c r="G22" s="2378"/>
      <c r="H22" s="589"/>
    </row>
    <row r="23" spans="1:8" s="115" customFormat="1" ht="102" customHeight="1" x14ac:dyDescent="0.2">
      <c r="A23" s="2376"/>
      <c r="B23" s="2377"/>
      <c r="C23" s="1094" t="s">
        <v>825</v>
      </c>
      <c r="D23" s="2378"/>
      <c r="E23" s="1460" t="s">
        <v>1539</v>
      </c>
      <c r="F23" s="1460" t="s">
        <v>1540</v>
      </c>
      <c r="G23" s="2378"/>
      <c r="H23" s="588"/>
    </row>
    <row r="24" spans="1:8" s="115" customFormat="1" ht="61.5" customHeight="1" x14ac:dyDescent="0.2">
      <c r="A24" s="2376"/>
      <c r="B24" s="2377"/>
      <c r="C24" s="1094" t="s">
        <v>826</v>
      </c>
      <c r="D24" s="2378"/>
      <c r="E24" s="1104" t="s">
        <v>405</v>
      </c>
      <c r="F24" s="1104" t="s">
        <v>827</v>
      </c>
      <c r="G24" s="2378"/>
      <c r="H24" s="588"/>
    </row>
    <row r="25" spans="1:8" s="115" customFormat="1" ht="24" customHeight="1" x14ac:dyDescent="0.2">
      <c r="A25" s="2362" t="s">
        <v>1475</v>
      </c>
      <c r="B25" s="2363"/>
      <c r="C25" s="2363"/>
      <c r="D25" s="2363"/>
      <c r="E25" s="2363"/>
      <c r="F25" s="2363"/>
      <c r="G25" s="2364"/>
      <c r="H25" s="113"/>
    </row>
    <row r="26" spans="1:8" s="115" customFormat="1" ht="21.75" customHeight="1" x14ac:dyDescent="0.2">
      <c r="A26" s="2365" t="s">
        <v>494</v>
      </c>
      <c r="B26" s="2370" t="s">
        <v>1451</v>
      </c>
      <c r="C26" s="1094" t="s">
        <v>207</v>
      </c>
      <c r="D26" s="1104" t="s">
        <v>210</v>
      </c>
      <c r="E26" s="1104"/>
      <c r="F26" s="1452" t="s">
        <v>1467</v>
      </c>
      <c r="G26" s="1104" t="s">
        <v>208</v>
      </c>
      <c r="H26" s="113"/>
    </row>
    <row r="27" spans="1:8" s="115" customFormat="1" ht="82.5" customHeight="1" x14ac:dyDescent="0.2">
      <c r="A27" s="2369"/>
      <c r="B27" s="2371"/>
      <c r="C27" s="1094" t="s">
        <v>492</v>
      </c>
      <c r="D27" s="1460" t="s">
        <v>1541</v>
      </c>
      <c r="E27" s="1104" t="s">
        <v>493</v>
      </c>
      <c r="F27" s="1452" t="s">
        <v>1468</v>
      </c>
      <c r="G27" s="1459" t="s">
        <v>1480</v>
      </c>
      <c r="H27" s="588"/>
    </row>
    <row r="28" spans="1:8" s="115" customFormat="1" ht="54.75" customHeight="1" x14ac:dyDescent="0.2">
      <c r="A28" s="2369"/>
      <c r="B28" s="2371"/>
      <c r="C28" s="1094" t="s">
        <v>828</v>
      </c>
      <c r="D28" s="1460" t="s">
        <v>1542</v>
      </c>
      <c r="E28" s="1459" t="s">
        <v>1521</v>
      </c>
      <c r="F28" s="1104" t="s">
        <v>829</v>
      </c>
      <c r="G28" s="1104" t="s">
        <v>203</v>
      </c>
      <c r="H28" s="588"/>
    </row>
    <row r="29" spans="1:8" s="115" customFormat="1" ht="57.75" customHeight="1" x14ac:dyDescent="0.2">
      <c r="A29" s="2366"/>
      <c r="B29" s="2372"/>
      <c r="C29" s="1094" t="s">
        <v>1448</v>
      </c>
      <c r="D29" s="1460" t="s">
        <v>1542</v>
      </c>
      <c r="E29" s="1459" t="s">
        <v>1521</v>
      </c>
      <c r="F29" s="1104" t="s">
        <v>830</v>
      </c>
      <c r="G29" s="1104" t="s">
        <v>203</v>
      </c>
      <c r="H29" s="113"/>
    </row>
    <row r="30" spans="1:8" s="115" customFormat="1" ht="35.25" customHeight="1" x14ac:dyDescent="0.2">
      <c r="A30" s="2365" t="s">
        <v>495</v>
      </c>
      <c r="B30" s="2370" t="s">
        <v>553</v>
      </c>
      <c r="C30" s="1094" t="s">
        <v>207</v>
      </c>
      <c r="D30" s="1104" t="s">
        <v>205</v>
      </c>
      <c r="E30" s="1104"/>
      <c r="F30" s="1452" t="s">
        <v>1462</v>
      </c>
      <c r="G30" s="1104" t="s">
        <v>211</v>
      </c>
      <c r="H30" s="588"/>
    </row>
    <row r="31" spans="1:8" s="115" customFormat="1" ht="87.75" customHeight="1" x14ac:dyDescent="0.2">
      <c r="A31" s="2366"/>
      <c r="B31" s="2372"/>
      <c r="C31" s="1094" t="s">
        <v>1458</v>
      </c>
      <c r="D31" s="1104" t="s">
        <v>205</v>
      </c>
      <c r="E31" s="1109">
        <v>0.8</v>
      </c>
      <c r="F31" s="1452" t="s">
        <v>832</v>
      </c>
      <c r="G31" s="1104" t="s">
        <v>203</v>
      </c>
      <c r="H31" s="113"/>
    </row>
    <row r="32" spans="1:8" s="115" customFormat="1" ht="27" customHeight="1" x14ac:dyDescent="0.2">
      <c r="A32" s="2365" t="s">
        <v>496</v>
      </c>
      <c r="B32" s="2370" t="s">
        <v>498</v>
      </c>
      <c r="C32" s="1094" t="s">
        <v>207</v>
      </c>
      <c r="D32" s="1104" t="s">
        <v>210</v>
      </c>
      <c r="E32" s="1104"/>
      <c r="F32" s="1452" t="s">
        <v>1467</v>
      </c>
      <c r="G32" s="1104" t="s">
        <v>208</v>
      </c>
      <c r="H32" s="589"/>
    </row>
    <row r="33" spans="1:8" s="115" customFormat="1" ht="71.25" customHeight="1" x14ac:dyDescent="0.2">
      <c r="A33" s="2369"/>
      <c r="B33" s="2371"/>
      <c r="C33" s="1094" t="s">
        <v>492</v>
      </c>
      <c r="D33" s="1459" t="s">
        <v>1519</v>
      </c>
      <c r="E33" s="1104" t="s">
        <v>902</v>
      </c>
      <c r="F33" s="1452" t="s">
        <v>1464</v>
      </c>
      <c r="G33" s="1459" t="s">
        <v>1520</v>
      </c>
      <c r="H33" s="589"/>
    </row>
    <row r="34" spans="1:8" s="115" customFormat="1" ht="56.25" customHeight="1" x14ac:dyDescent="0.2">
      <c r="A34" s="2369"/>
      <c r="B34" s="2371"/>
      <c r="C34" s="1094" t="s">
        <v>828</v>
      </c>
      <c r="D34" s="1104" t="s">
        <v>406</v>
      </c>
      <c r="E34" s="1459" t="s">
        <v>1521</v>
      </c>
      <c r="F34" s="1104" t="s">
        <v>829</v>
      </c>
      <c r="G34" s="1104" t="s">
        <v>203</v>
      </c>
      <c r="H34" s="588"/>
    </row>
    <row r="35" spans="1:8" s="115" customFormat="1" ht="51.75" customHeight="1" x14ac:dyDescent="0.2">
      <c r="A35" s="2366"/>
      <c r="B35" s="2372"/>
      <c r="C35" s="1094" t="s">
        <v>1448</v>
      </c>
      <c r="D35" s="1460" t="s">
        <v>1543</v>
      </c>
      <c r="E35" s="1459" t="s">
        <v>1521</v>
      </c>
      <c r="F35" s="1104" t="s">
        <v>830</v>
      </c>
      <c r="G35" s="1104" t="s">
        <v>203</v>
      </c>
      <c r="H35" s="588"/>
    </row>
    <row r="36" spans="1:8" s="115" customFormat="1" ht="37.5" customHeight="1" x14ac:dyDescent="0.2">
      <c r="A36" s="2365" t="s">
        <v>497</v>
      </c>
      <c r="B36" s="2370" t="s">
        <v>554</v>
      </c>
      <c r="C36" s="1094" t="s">
        <v>207</v>
      </c>
      <c r="D36" s="1452" t="s">
        <v>212</v>
      </c>
      <c r="E36" s="1104"/>
      <c r="F36" s="1452" t="s">
        <v>1463</v>
      </c>
      <c r="G36" s="1104" t="s">
        <v>211</v>
      </c>
      <c r="H36" s="588"/>
    </row>
    <row r="37" spans="1:8" s="115" customFormat="1" ht="72" customHeight="1" x14ac:dyDescent="0.2">
      <c r="A37" s="2369"/>
      <c r="B37" s="2371"/>
      <c r="C37" s="1094" t="s">
        <v>472</v>
      </c>
      <c r="D37" s="1452" t="s">
        <v>212</v>
      </c>
      <c r="E37" s="1105">
        <v>8</v>
      </c>
      <c r="F37" s="1452" t="s">
        <v>1465</v>
      </c>
      <c r="G37" s="1104" t="s">
        <v>203</v>
      </c>
      <c r="H37" s="588"/>
    </row>
    <row r="38" spans="1:8" s="115" customFormat="1" ht="34.5" customHeight="1" x14ac:dyDescent="0.2">
      <c r="A38" s="2369"/>
      <c r="B38" s="2371"/>
      <c r="C38" s="1094" t="s">
        <v>207</v>
      </c>
      <c r="D38" s="1452" t="s">
        <v>205</v>
      </c>
      <c r="E38" s="1105"/>
      <c r="F38" s="1452" t="s">
        <v>1462</v>
      </c>
      <c r="G38" s="1452" t="s">
        <v>211</v>
      </c>
      <c r="H38" s="1451"/>
    </row>
    <row r="39" spans="1:8" s="115" customFormat="1" ht="87" customHeight="1" x14ac:dyDescent="0.2">
      <c r="A39" s="2366"/>
      <c r="B39" s="2372"/>
      <c r="C39" s="1094" t="s">
        <v>1459</v>
      </c>
      <c r="D39" s="1104" t="s">
        <v>205</v>
      </c>
      <c r="E39" s="1109">
        <v>0.8</v>
      </c>
      <c r="F39" s="1104" t="s">
        <v>832</v>
      </c>
      <c r="G39" s="1104" t="s">
        <v>203</v>
      </c>
      <c r="H39" s="589"/>
    </row>
    <row r="40" spans="1:8" s="115" customFormat="1" ht="21.75" customHeight="1" x14ac:dyDescent="0.2">
      <c r="A40" s="2365" t="s">
        <v>500</v>
      </c>
      <c r="B40" s="2370" t="s">
        <v>501</v>
      </c>
      <c r="C40" s="1094" t="s">
        <v>207</v>
      </c>
      <c r="D40" s="1104" t="s">
        <v>210</v>
      </c>
      <c r="E40" s="1104"/>
      <c r="F40" s="1452" t="s">
        <v>1467</v>
      </c>
      <c r="G40" s="1104" t="s">
        <v>208</v>
      </c>
      <c r="H40" s="111"/>
    </row>
    <row r="41" spans="1:8" s="115" customFormat="1" ht="69" customHeight="1" x14ac:dyDescent="0.2">
      <c r="A41" s="2369"/>
      <c r="B41" s="2371"/>
      <c r="C41" s="1094" t="s">
        <v>471</v>
      </c>
      <c r="D41" s="1104" t="s">
        <v>499</v>
      </c>
      <c r="E41" s="1105" t="s">
        <v>903</v>
      </c>
      <c r="F41" s="1452" t="s">
        <v>1452</v>
      </c>
      <c r="G41" s="1104" t="s">
        <v>233</v>
      </c>
      <c r="H41" s="589"/>
    </row>
    <row r="42" spans="1:8" s="115" customFormat="1" ht="54.75" customHeight="1" x14ac:dyDescent="0.2">
      <c r="A42" s="2369"/>
      <c r="B42" s="2371"/>
      <c r="C42" s="1094" t="s">
        <v>828</v>
      </c>
      <c r="D42" s="1460" t="s">
        <v>1542</v>
      </c>
      <c r="E42" s="1459" t="s">
        <v>1521</v>
      </c>
      <c r="F42" s="1104" t="s">
        <v>829</v>
      </c>
      <c r="G42" s="1104" t="s">
        <v>203</v>
      </c>
      <c r="H42" s="589"/>
    </row>
    <row r="43" spans="1:8" s="115" customFormat="1" ht="54" customHeight="1" x14ac:dyDescent="0.2">
      <c r="A43" s="2366"/>
      <c r="B43" s="2372"/>
      <c r="C43" s="1094" t="s">
        <v>1448</v>
      </c>
      <c r="D43" s="1460" t="s">
        <v>1542</v>
      </c>
      <c r="E43" s="1459" t="s">
        <v>1521</v>
      </c>
      <c r="F43" s="1104" t="s">
        <v>830</v>
      </c>
      <c r="G43" s="1104" t="s">
        <v>203</v>
      </c>
      <c r="H43" s="588"/>
    </row>
    <row r="44" spans="1:8" s="115" customFormat="1" ht="35.25" customHeight="1" x14ac:dyDescent="0.2">
      <c r="A44" s="2365" t="s">
        <v>502</v>
      </c>
      <c r="B44" s="2370" t="s">
        <v>503</v>
      </c>
      <c r="C44" s="1094" t="s">
        <v>207</v>
      </c>
      <c r="D44" s="1104" t="s">
        <v>210</v>
      </c>
      <c r="E44" s="1104"/>
      <c r="F44" s="1452" t="s">
        <v>1463</v>
      </c>
      <c r="G44" s="1104" t="s">
        <v>211</v>
      </c>
      <c r="H44" s="588"/>
    </row>
    <row r="45" spans="1:8" s="115" customFormat="1" ht="71.25" customHeight="1" x14ac:dyDescent="0.2">
      <c r="A45" s="2366"/>
      <c r="B45" s="2372"/>
      <c r="C45" s="1094" t="s">
        <v>473</v>
      </c>
      <c r="D45" s="1104" t="s">
        <v>210</v>
      </c>
      <c r="E45" s="1105">
        <v>90</v>
      </c>
      <c r="F45" s="1452" t="s">
        <v>1465</v>
      </c>
      <c r="G45" s="1104" t="s">
        <v>203</v>
      </c>
      <c r="H45" s="589"/>
    </row>
    <row r="46" spans="1:8" s="115" customFormat="1" ht="25.5" customHeight="1" x14ac:dyDescent="0.2">
      <c r="A46" s="2365" t="s">
        <v>504</v>
      </c>
      <c r="B46" s="2370" t="s">
        <v>1460</v>
      </c>
      <c r="C46" s="1094" t="s">
        <v>207</v>
      </c>
      <c r="D46" s="1104" t="s">
        <v>210</v>
      </c>
      <c r="E46" s="1104"/>
      <c r="F46" s="1452" t="s">
        <v>1467</v>
      </c>
      <c r="G46" s="1104" t="s">
        <v>208</v>
      </c>
      <c r="H46" s="111"/>
    </row>
    <row r="47" spans="1:8" s="115" customFormat="1" ht="87" customHeight="1" x14ac:dyDescent="0.2">
      <c r="A47" s="2369"/>
      <c r="B47" s="2371"/>
      <c r="C47" s="1094" t="s">
        <v>833</v>
      </c>
      <c r="D47" s="1460" t="s">
        <v>1544</v>
      </c>
      <c r="E47" s="1104" t="s">
        <v>904</v>
      </c>
      <c r="F47" s="1452" t="s">
        <v>1476</v>
      </c>
      <c r="G47" s="1452" t="s">
        <v>1480</v>
      </c>
      <c r="H47" s="588"/>
    </row>
    <row r="48" spans="1:8" s="115" customFormat="1" ht="55.5" customHeight="1" x14ac:dyDescent="0.2">
      <c r="A48" s="2369"/>
      <c r="B48" s="2371"/>
      <c r="C48" s="1094" t="s">
        <v>834</v>
      </c>
      <c r="D48" s="1460" t="s">
        <v>1545</v>
      </c>
      <c r="E48" s="1104" t="s">
        <v>506</v>
      </c>
      <c r="F48" s="1104" t="s">
        <v>829</v>
      </c>
      <c r="G48" s="1104" t="s">
        <v>203</v>
      </c>
      <c r="H48" s="589"/>
    </row>
    <row r="49" spans="1:8" s="115" customFormat="1" ht="51.75" customHeight="1" x14ac:dyDescent="0.2">
      <c r="A49" s="2366"/>
      <c r="B49" s="2372"/>
      <c r="C49" s="1094" t="s">
        <v>1448</v>
      </c>
      <c r="D49" s="1460" t="s">
        <v>1545</v>
      </c>
      <c r="E49" s="1459" t="s">
        <v>1521</v>
      </c>
      <c r="F49" s="1104" t="s">
        <v>830</v>
      </c>
      <c r="G49" s="1104" t="s">
        <v>203</v>
      </c>
      <c r="H49" s="589"/>
    </row>
    <row r="50" spans="1:8" s="115" customFormat="1" ht="24" customHeight="1" x14ac:dyDescent="0.2">
      <c r="A50" s="2365" t="s">
        <v>505</v>
      </c>
      <c r="B50" s="2370" t="s">
        <v>1461</v>
      </c>
      <c r="C50" s="1094" t="s">
        <v>207</v>
      </c>
      <c r="D50" s="1104" t="s">
        <v>835</v>
      </c>
      <c r="E50" s="1104"/>
      <c r="F50" s="1452" t="s">
        <v>1467</v>
      </c>
      <c r="G50" s="1104" t="s">
        <v>208</v>
      </c>
      <c r="H50" s="113"/>
    </row>
    <row r="51" spans="1:8" s="115" customFormat="1" ht="88.5" customHeight="1" x14ac:dyDescent="0.2">
      <c r="A51" s="2369"/>
      <c r="B51" s="2371"/>
      <c r="C51" s="1094" t="s">
        <v>474</v>
      </c>
      <c r="D51" s="1452" t="s">
        <v>1481</v>
      </c>
      <c r="E51" s="1104" t="s">
        <v>905</v>
      </c>
      <c r="F51" s="1452" t="s">
        <v>1477</v>
      </c>
      <c r="G51" s="1452" t="s">
        <v>1482</v>
      </c>
      <c r="H51" s="588"/>
    </row>
    <row r="52" spans="1:8" s="115" customFormat="1" ht="51.75" customHeight="1" x14ac:dyDescent="0.2">
      <c r="A52" s="2369"/>
      <c r="B52" s="2371"/>
      <c r="C52" s="1094" t="s">
        <v>1466</v>
      </c>
      <c r="D52" s="1452" t="s">
        <v>876</v>
      </c>
      <c r="E52" s="1104" t="s">
        <v>906</v>
      </c>
      <c r="F52" s="1104" t="s">
        <v>829</v>
      </c>
      <c r="G52" s="1104" t="s">
        <v>203</v>
      </c>
      <c r="H52" s="589"/>
    </row>
    <row r="53" spans="1:8" s="115" customFormat="1" ht="68.25" customHeight="1" x14ac:dyDescent="0.2">
      <c r="A53" s="2369"/>
      <c r="B53" s="2371"/>
      <c r="C53" s="1094" t="s">
        <v>837</v>
      </c>
      <c r="D53" s="1452" t="s">
        <v>1479</v>
      </c>
      <c r="E53" s="1104" t="s">
        <v>507</v>
      </c>
      <c r="F53" s="1104" t="s">
        <v>838</v>
      </c>
      <c r="G53" s="1452" t="s">
        <v>1478</v>
      </c>
      <c r="H53" s="589"/>
    </row>
    <row r="54" spans="1:8" s="115" customFormat="1" ht="53.25" customHeight="1" x14ac:dyDescent="0.2">
      <c r="A54" s="2366"/>
      <c r="B54" s="2372"/>
      <c r="C54" s="1094" t="s">
        <v>1448</v>
      </c>
      <c r="D54" s="1104" t="s">
        <v>839</v>
      </c>
      <c r="E54" s="1104" t="s">
        <v>555</v>
      </c>
      <c r="F54" s="1104" t="s">
        <v>830</v>
      </c>
      <c r="G54" s="1104" t="s">
        <v>203</v>
      </c>
      <c r="H54" s="589"/>
    </row>
    <row r="55" spans="1:8" s="115" customFormat="1" ht="38.25" customHeight="1" x14ac:dyDescent="0.2">
      <c r="A55" s="2365" t="s">
        <v>556</v>
      </c>
      <c r="B55" s="2370" t="s">
        <v>508</v>
      </c>
      <c r="C55" s="1094" t="s">
        <v>207</v>
      </c>
      <c r="D55" s="1452" t="s">
        <v>210</v>
      </c>
      <c r="E55" s="1104"/>
      <c r="F55" s="1452" t="s">
        <v>1474</v>
      </c>
      <c r="G55" s="1104" t="s">
        <v>203</v>
      </c>
      <c r="H55" s="589"/>
    </row>
    <row r="56" spans="1:8" s="115" customFormat="1" ht="72" customHeight="1" x14ac:dyDescent="0.2">
      <c r="A56" s="2366"/>
      <c r="B56" s="2372"/>
      <c r="C56" s="1454" t="s">
        <v>840</v>
      </c>
      <c r="D56" s="1452" t="s">
        <v>210</v>
      </c>
      <c r="E56" s="1104">
        <v>0.5</v>
      </c>
      <c r="F56" s="1452" t="s">
        <v>841</v>
      </c>
      <c r="G56" s="1104" t="s">
        <v>203</v>
      </c>
      <c r="H56" s="589"/>
    </row>
    <row r="57" spans="1:8" s="115" customFormat="1" ht="37.5" customHeight="1" x14ac:dyDescent="0.2">
      <c r="A57" s="2365" t="s">
        <v>509</v>
      </c>
      <c r="B57" s="2370" t="s">
        <v>557</v>
      </c>
      <c r="C57" s="1094" t="s">
        <v>207</v>
      </c>
      <c r="D57" s="1452" t="s">
        <v>210</v>
      </c>
      <c r="E57" s="1104"/>
      <c r="F57" s="1452" t="s">
        <v>1474</v>
      </c>
      <c r="G57" s="1104" t="s">
        <v>203</v>
      </c>
      <c r="H57" s="589"/>
    </row>
    <row r="58" spans="1:8" s="115" customFormat="1" ht="66" customHeight="1" x14ac:dyDescent="0.2">
      <c r="A58" s="2366"/>
      <c r="B58" s="2372"/>
      <c r="C58" s="1094" t="s">
        <v>840</v>
      </c>
      <c r="D58" s="1452" t="s">
        <v>210</v>
      </c>
      <c r="E58" s="1104">
        <v>0.5</v>
      </c>
      <c r="F58" s="1104" t="s">
        <v>841</v>
      </c>
      <c r="G58" s="1104" t="s">
        <v>203</v>
      </c>
      <c r="H58" s="589"/>
    </row>
    <row r="59" spans="1:8" s="115" customFormat="1" ht="36.75" customHeight="1" x14ac:dyDescent="0.2">
      <c r="A59" s="2365" t="s">
        <v>510</v>
      </c>
      <c r="B59" s="2370" t="s">
        <v>565</v>
      </c>
      <c r="C59" s="1094" t="s">
        <v>207</v>
      </c>
      <c r="D59" s="1452" t="s">
        <v>210</v>
      </c>
      <c r="E59" s="1104"/>
      <c r="F59" s="1452" t="s">
        <v>1474</v>
      </c>
      <c r="G59" s="1104" t="s">
        <v>203</v>
      </c>
      <c r="H59" s="589"/>
    </row>
    <row r="60" spans="1:8" s="115" customFormat="1" ht="69" customHeight="1" x14ac:dyDescent="0.2">
      <c r="A60" s="2366"/>
      <c r="B60" s="2372"/>
      <c r="C60" s="1094" t="s">
        <v>840</v>
      </c>
      <c r="D60" s="1452" t="s">
        <v>210</v>
      </c>
      <c r="E60" s="1104">
        <v>0.5</v>
      </c>
      <c r="F60" s="1104" t="s">
        <v>841</v>
      </c>
      <c r="G60" s="1104" t="s">
        <v>203</v>
      </c>
      <c r="H60" s="588"/>
    </row>
    <row r="61" spans="1:8" s="115" customFormat="1" ht="27" customHeight="1" x14ac:dyDescent="0.2">
      <c r="A61" s="2362" t="s">
        <v>1483</v>
      </c>
      <c r="B61" s="2363"/>
      <c r="C61" s="2363"/>
      <c r="D61" s="2363"/>
      <c r="E61" s="2363"/>
      <c r="F61" s="2363"/>
      <c r="G61" s="2364"/>
      <c r="H61" s="111"/>
    </row>
    <row r="62" spans="1:8" s="115" customFormat="1" ht="39.75" customHeight="1" x14ac:dyDescent="0.2">
      <c r="A62" s="2365" t="s">
        <v>513</v>
      </c>
      <c r="B62" s="2367" t="s">
        <v>511</v>
      </c>
      <c r="C62" s="1094" t="s">
        <v>207</v>
      </c>
      <c r="D62" s="1104" t="s">
        <v>842</v>
      </c>
      <c r="E62" s="1104"/>
      <c r="F62" s="1452" t="s">
        <v>1469</v>
      </c>
      <c r="G62" s="1104" t="s">
        <v>208</v>
      </c>
      <c r="H62" s="589"/>
    </row>
    <row r="63" spans="1:8" s="115" customFormat="1" ht="68.25" customHeight="1" x14ac:dyDescent="0.2">
      <c r="A63" s="2369"/>
      <c r="B63" s="2373"/>
      <c r="C63" s="1094" t="s">
        <v>545</v>
      </c>
      <c r="D63" s="1104" t="s">
        <v>212</v>
      </c>
      <c r="E63" s="1459" t="s">
        <v>1521</v>
      </c>
      <c r="F63" s="1452" t="s">
        <v>1453</v>
      </c>
      <c r="G63" s="1104" t="s">
        <v>203</v>
      </c>
      <c r="H63" s="589"/>
    </row>
    <row r="64" spans="1:8" s="115" customFormat="1" ht="72" customHeight="1" x14ac:dyDescent="0.2">
      <c r="A64" s="2369"/>
      <c r="B64" s="2373"/>
      <c r="C64" s="1094" t="s">
        <v>843</v>
      </c>
      <c r="D64" s="1104" t="s">
        <v>212</v>
      </c>
      <c r="E64" s="1459" t="s">
        <v>1521</v>
      </c>
      <c r="F64" s="1452" t="s">
        <v>1456</v>
      </c>
      <c r="G64" s="1104" t="s">
        <v>203</v>
      </c>
      <c r="H64" s="588"/>
    </row>
    <row r="65" spans="1:8" s="115" customFormat="1" ht="58.5" customHeight="1" x14ac:dyDescent="0.2">
      <c r="A65" s="2369"/>
      <c r="B65" s="2373"/>
      <c r="C65" s="1094" t="s">
        <v>828</v>
      </c>
      <c r="D65" s="1104" t="s">
        <v>212</v>
      </c>
      <c r="E65" s="1459" t="s">
        <v>1521</v>
      </c>
      <c r="F65" s="1104" t="s">
        <v>829</v>
      </c>
      <c r="G65" s="1104" t="s">
        <v>203</v>
      </c>
      <c r="H65" s="589"/>
    </row>
    <row r="66" spans="1:8" s="115" customFormat="1" ht="58.5" customHeight="1" x14ac:dyDescent="0.2">
      <c r="A66" s="2366"/>
      <c r="B66" s="2368"/>
      <c r="C66" s="1094" t="s">
        <v>1448</v>
      </c>
      <c r="D66" s="1452" t="s">
        <v>210</v>
      </c>
      <c r="E66" s="1104" t="s">
        <v>512</v>
      </c>
      <c r="F66" s="1104" t="s">
        <v>830</v>
      </c>
      <c r="G66" s="1104" t="s">
        <v>203</v>
      </c>
      <c r="H66" s="589"/>
    </row>
    <row r="67" spans="1:8" s="115" customFormat="1" ht="39.75" customHeight="1" x14ac:dyDescent="0.2">
      <c r="A67" s="2365" t="s">
        <v>514</v>
      </c>
      <c r="B67" s="2367" t="s">
        <v>518</v>
      </c>
      <c r="C67" s="1094" t="s">
        <v>207</v>
      </c>
      <c r="D67" s="1104" t="s">
        <v>213</v>
      </c>
      <c r="E67" s="1104"/>
      <c r="F67" s="1452" t="s">
        <v>1469</v>
      </c>
      <c r="G67" s="1104" t="s">
        <v>208</v>
      </c>
      <c r="H67" s="113"/>
    </row>
    <row r="68" spans="1:8" s="115" customFormat="1" ht="66.75" customHeight="1" x14ac:dyDescent="0.2">
      <c r="A68" s="2369"/>
      <c r="B68" s="2373"/>
      <c r="C68" s="1094" t="s">
        <v>545</v>
      </c>
      <c r="D68" s="1104" t="s">
        <v>212</v>
      </c>
      <c r="E68" s="1459" t="s">
        <v>1521</v>
      </c>
      <c r="F68" s="1452" t="s">
        <v>1454</v>
      </c>
      <c r="G68" s="1104" t="s">
        <v>203</v>
      </c>
      <c r="H68" s="588"/>
    </row>
    <row r="69" spans="1:8" s="115" customFormat="1" ht="72" customHeight="1" x14ac:dyDescent="0.2">
      <c r="A69" s="2369"/>
      <c r="B69" s="2373"/>
      <c r="C69" s="1094" t="s">
        <v>843</v>
      </c>
      <c r="D69" s="1104" t="s">
        <v>212</v>
      </c>
      <c r="E69" s="1459" t="s">
        <v>1521</v>
      </c>
      <c r="F69" s="1452" t="s">
        <v>1456</v>
      </c>
      <c r="G69" s="1104" t="s">
        <v>203</v>
      </c>
      <c r="H69" s="589"/>
    </row>
    <row r="70" spans="1:8" s="115" customFormat="1" ht="68.25" customHeight="1" x14ac:dyDescent="0.2">
      <c r="A70" s="2369"/>
      <c r="B70" s="2373"/>
      <c r="C70" s="1094" t="s">
        <v>828</v>
      </c>
      <c r="D70" s="1104" t="s">
        <v>212</v>
      </c>
      <c r="E70" s="1459" t="s">
        <v>1521</v>
      </c>
      <c r="F70" s="1104" t="s">
        <v>1164</v>
      </c>
      <c r="G70" s="1104" t="s">
        <v>203</v>
      </c>
      <c r="H70" s="589"/>
    </row>
    <row r="71" spans="1:8" s="115" customFormat="1" ht="54" customHeight="1" x14ac:dyDescent="0.2">
      <c r="A71" s="2366"/>
      <c r="B71" s="2368"/>
      <c r="C71" s="1094" t="s">
        <v>1448</v>
      </c>
      <c r="D71" s="1104" t="s">
        <v>844</v>
      </c>
      <c r="E71" s="1104" t="s">
        <v>907</v>
      </c>
      <c r="F71" s="1104" t="s">
        <v>830</v>
      </c>
      <c r="G71" s="1104" t="s">
        <v>203</v>
      </c>
      <c r="H71" s="588"/>
    </row>
    <row r="72" spans="1:8" s="115" customFormat="1" ht="34.5" customHeight="1" x14ac:dyDescent="0.2">
      <c r="A72" s="2365" t="s">
        <v>517</v>
      </c>
      <c r="B72" s="2367" t="s">
        <v>515</v>
      </c>
      <c r="C72" s="1094" t="s">
        <v>207</v>
      </c>
      <c r="D72" s="1104" t="s">
        <v>210</v>
      </c>
      <c r="E72" s="1104"/>
      <c r="F72" s="1452" t="s">
        <v>1463</v>
      </c>
      <c r="G72" s="1104" t="s">
        <v>211</v>
      </c>
      <c r="H72" s="589"/>
    </row>
    <row r="73" spans="1:8" s="115" customFormat="1" ht="72.75" customHeight="1" x14ac:dyDescent="0.2">
      <c r="A73" s="2366"/>
      <c r="B73" s="2368"/>
      <c r="C73" s="1094" t="s">
        <v>516</v>
      </c>
      <c r="D73" s="1104" t="s">
        <v>210</v>
      </c>
      <c r="E73" s="1105">
        <v>70</v>
      </c>
      <c r="F73" s="1452" t="s">
        <v>1465</v>
      </c>
      <c r="G73" s="1104" t="s">
        <v>203</v>
      </c>
      <c r="H73" s="588"/>
    </row>
    <row r="74" spans="1:8" s="115" customFormat="1" ht="36" customHeight="1" x14ac:dyDescent="0.2">
      <c r="A74" s="2365" t="s">
        <v>520</v>
      </c>
      <c r="B74" s="2367" t="s">
        <v>558</v>
      </c>
      <c r="C74" s="1094" t="s">
        <v>207</v>
      </c>
      <c r="D74" s="1104" t="s">
        <v>845</v>
      </c>
      <c r="E74" s="1104"/>
      <c r="F74" s="1452" t="s">
        <v>1469</v>
      </c>
      <c r="G74" s="1104" t="s">
        <v>208</v>
      </c>
      <c r="H74" s="588"/>
    </row>
    <row r="75" spans="1:8" s="115" customFormat="1" ht="139.5" customHeight="1" x14ac:dyDescent="0.2">
      <c r="A75" s="2369"/>
      <c r="B75" s="2373"/>
      <c r="C75" s="1094" t="s">
        <v>545</v>
      </c>
      <c r="D75" s="1448" t="s">
        <v>1484</v>
      </c>
      <c r="E75" s="1110" t="s">
        <v>908</v>
      </c>
      <c r="F75" s="1452" t="s">
        <v>1486</v>
      </c>
      <c r="G75" s="1448" t="s">
        <v>1485</v>
      </c>
      <c r="H75" s="588"/>
    </row>
    <row r="76" spans="1:8" s="115" customFormat="1" ht="88.5" customHeight="1" x14ac:dyDescent="0.2">
      <c r="A76" s="2369"/>
      <c r="B76" s="2373"/>
      <c r="C76" s="1094" t="s">
        <v>843</v>
      </c>
      <c r="D76" s="1457" t="s">
        <v>1487</v>
      </c>
      <c r="E76" s="1095" t="s">
        <v>909</v>
      </c>
      <c r="F76" s="1452" t="s">
        <v>1488</v>
      </c>
      <c r="G76" s="1095" t="s">
        <v>203</v>
      </c>
      <c r="H76" s="589"/>
    </row>
    <row r="77" spans="1:8" s="115" customFormat="1" ht="83.25" customHeight="1" x14ac:dyDescent="0.2">
      <c r="A77" s="2369"/>
      <c r="B77" s="2373"/>
      <c r="C77" s="1455" t="s">
        <v>846</v>
      </c>
      <c r="D77" s="1452" t="s">
        <v>1487</v>
      </c>
      <c r="E77" s="1456" t="s">
        <v>910</v>
      </c>
      <c r="F77" s="1104" t="s">
        <v>847</v>
      </c>
      <c r="G77" s="1104" t="s">
        <v>203</v>
      </c>
      <c r="H77" s="589"/>
    </row>
    <row r="78" spans="1:8" s="115" customFormat="1" ht="90.75" customHeight="1" x14ac:dyDescent="0.2">
      <c r="A78" s="2369"/>
      <c r="B78" s="2373"/>
      <c r="C78" s="1455" t="s">
        <v>836</v>
      </c>
      <c r="D78" s="1452" t="s">
        <v>1489</v>
      </c>
      <c r="E78" s="1456" t="s">
        <v>911</v>
      </c>
      <c r="F78" s="1104" t="s">
        <v>829</v>
      </c>
      <c r="G78" s="1104" t="s">
        <v>203</v>
      </c>
      <c r="H78" s="588"/>
    </row>
    <row r="79" spans="1:8" s="115" customFormat="1" ht="52.5" customHeight="1" x14ac:dyDescent="0.2">
      <c r="A79" s="2366"/>
      <c r="B79" s="2368"/>
      <c r="C79" s="1455" t="s">
        <v>1448</v>
      </c>
      <c r="D79" s="1452" t="s">
        <v>1490</v>
      </c>
      <c r="E79" s="1456" t="s">
        <v>519</v>
      </c>
      <c r="F79" s="1104" t="s">
        <v>830</v>
      </c>
      <c r="G79" s="1104" t="s">
        <v>203</v>
      </c>
      <c r="H79" s="588"/>
    </row>
    <row r="80" spans="1:8" s="115" customFormat="1" ht="24" customHeight="1" x14ac:dyDescent="0.2">
      <c r="A80" s="2365" t="s">
        <v>521</v>
      </c>
      <c r="B80" s="2367" t="s">
        <v>522</v>
      </c>
      <c r="C80" s="1094" t="s">
        <v>207</v>
      </c>
      <c r="D80" s="1449" t="s">
        <v>210</v>
      </c>
      <c r="E80" s="1104"/>
      <c r="F80" s="1104" t="s">
        <v>831</v>
      </c>
      <c r="G80" s="1104" t="s">
        <v>203</v>
      </c>
      <c r="H80" s="588"/>
    </row>
    <row r="81" spans="1:8" s="115" customFormat="1" ht="69" customHeight="1" x14ac:dyDescent="0.2">
      <c r="A81" s="2366"/>
      <c r="B81" s="2368"/>
      <c r="C81" s="1094" t="s">
        <v>840</v>
      </c>
      <c r="D81" s="1449" t="s">
        <v>210</v>
      </c>
      <c r="E81" s="1104">
        <v>0.5</v>
      </c>
      <c r="F81" s="1452" t="s">
        <v>841</v>
      </c>
      <c r="G81" s="1104" t="s">
        <v>203</v>
      </c>
      <c r="H81" s="589"/>
    </row>
    <row r="82" spans="1:8" s="115" customFormat="1" ht="33.75" customHeight="1" x14ac:dyDescent="0.2">
      <c r="A82" s="2365" t="s">
        <v>523</v>
      </c>
      <c r="B82" s="2367" t="s">
        <v>524</v>
      </c>
      <c r="C82" s="1094" t="s">
        <v>207</v>
      </c>
      <c r="D82" s="1449" t="s">
        <v>210</v>
      </c>
      <c r="E82" s="1104"/>
      <c r="F82" s="1452" t="s">
        <v>1474</v>
      </c>
      <c r="G82" s="1104" t="s">
        <v>203</v>
      </c>
      <c r="H82" s="2379"/>
    </row>
    <row r="83" spans="1:8" s="115" customFormat="1" ht="71.25" customHeight="1" x14ac:dyDescent="0.2">
      <c r="A83" s="2366"/>
      <c r="B83" s="2368"/>
      <c r="C83" s="1094" t="s">
        <v>840</v>
      </c>
      <c r="D83" s="1449" t="s">
        <v>210</v>
      </c>
      <c r="E83" s="1104">
        <v>0.5</v>
      </c>
      <c r="F83" s="1104" t="s">
        <v>841</v>
      </c>
      <c r="G83" s="1104" t="s">
        <v>203</v>
      </c>
      <c r="H83" s="2379"/>
    </row>
    <row r="84" spans="1:8" s="115" customFormat="1" ht="34.5" customHeight="1" x14ac:dyDescent="0.2">
      <c r="A84" s="2365" t="s">
        <v>525</v>
      </c>
      <c r="B84" s="2367" t="s">
        <v>526</v>
      </c>
      <c r="C84" s="1094" t="s">
        <v>207</v>
      </c>
      <c r="D84" s="1449" t="s">
        <v>210</v>
      </c>
      <c r="E84" s="1104"/>
      <c r="F84" s="1452" t="s">
        <v>1474</v>
      </c>
      <c r="G84" s="1104" t="s">
        <v>203</v>
      </c>
      <c r="H84" s="2383"/>
    </row>
    <row r="85" spans="1:8" s="115" customFormat="1" ht="68.25" customHeight="1" x14ac:dyDescent="0.2">
      <c r="A85" s="2366"/>
      <c r="B85" s="2368"/>
      <c r="C85" s="1094" t="s">
        <v>840</v>
      </c>
      <c r="D85" s="1449" t="s">
        <v>210</v>
      </c>
      <c r="E85" s="1104">
        <v>0.5</v>
      </c>
      <c r="F85" s="1104" t="s">
        <v>841</v>
      </c>
      <c r="G85" s="1104" t="s">
        <v>203</v>
      </c>
      <c r="H85" s="2383"/>
    </row>
    <row r="86" spans="1:8" s="115" customFormat="1" ht="36" customHeight="1" x14ac:dyDescent="0.2">
      <c r="A86" s="2365" t="s">
        <v>527</v>
      </c>
      <c r="B86" s="2367" t="s">
        <v>528</v>
      </c>
      <c r="C86" s="1094" t="s">
        <v>207</v>
      </c>
      <c r="D86" s="1449" t="s">
        <v>210</v>
      </c>
      <c r="E86" s="1104"/>
      <c r="F86" s="1452" t="s">
        <v>1474</v>
      </c>
      <c r="G86" s="1104" t="s">
        <v>203</v>
      </c>
      <c r="H86" s="2379"/>
    </row>
    <row r="87" spans="1:8" s="115" customFormat="1" ht="68.25" customHeight="1" x14ac:dyDescent="0.2">
      <c r="A87" s="2366"/>
      <c r="B87" s="2368"/>
      <c r="C87" s="1094" t="s">
        <v>840</v>
      </c>
      <c r="D87" s="1449" t="s">
        <v>210</v>
      </c>
      <c r="E87" s="1104">
        <v>0.5</v>
      </c>
      <c r="F87" s="1104" t="s">
        <v>841</v>
      </c>
      <c r="G87" s="1104" t="s">
        <v>203</v>
      </c>
      <c r="H87" s="2379"/>
    </row>
    <row r="88" spans="1:8" s="115" customFormat="1" ht="35.25" customHeight="1" x14ac:dyDescent="0.2">
      <c r="A88" s="2365" t="s">
        <v>529</v>
      </c>
      <c r="B88" s="2367" t="s">
        <v>530</v>
      </c>
      <c r="C88" s="1094" t="s">
        <v>207</v>
      </c>
      <c r="D88" s="1449" t="s">
        <v>210</v>
      </c>
      <c r="E88" s="1104"/>
      <c r="F88" s="1452" t="s">
        <v>1474</v>
      </c>
      <c r="G88" s="1104" t="s">
        <v>203</v>
      </c>
      <c r="H88" s="589"/>
    </row>
    <row r="89" spans="1:8" s="115" customFormat="1" ht="68.25" customHeight="1" x14ac:dyDescent="0.2">
      <c r="A89" s="2366"/>
      <c r="B89" s="2368"/>
      <c r="C89" s="1094" t="s">
        <v>840</v>
      </c>
      <c r="D89" s="1449" t="s">
        <v>210</v>
      </c>
      <c r="E89" s="1104">
        <v>0.5</v>
      </c>
      <c r="F89" s="1104" t="s">
        <v>841</v>
      </c>
      <c r="G89" s="1104" t="s">
        <v>203</v>
      </c>
      <c r="H89" s="588"/>
    </row>
    <row r="90" spans="1:8" s="115" customFormat="1" ht="21.75" customHeight="1" x14ac:dyDescent="0.2">
      <c r="A90" s="2380" t="s">
        <v>214</v>
      </c>
      <c r="B90" s="2381"/>
      <c r="C90" s="2381"/>
      <c r="D90" s="2381"/>
      <c r="E90" s="2381"/>
      <c r="F90" s="2381"/>
      <c r="G90" s="2382"/>
      <c r="H90" s="2383"/>
    </row>
    <row r="91" spans="1:8" s="115" customFormat="1" ht="21.75" customHeight="1" x14ac:dyDescent="0.2">
      <c r="A91" s="2380" t="s">
        <v>215</v>
      </c>
      <c r="B91" s="2381"/>
      <c r="C91" s="2381"/>
      <c r="D91" s="2381"/>
      <c r="E91" s="2381"/>
      <c r="F91" s="2381"/>
      <c r="G91" s="2382"/>
      <c r="H91" s="2383"/>
    </row>
    <row r="92" spans="1:8" s="115" customFormat="1" ht="24" customHeight="1" x14ac:dyDescent="0.2">
      <c r="A92" s="2365" t="s">
        <v>531</v>
      </c>
      <c r="B92" s="2367" t="s">
        <v>532</v>
      </c>
      <c r="C92" s="1094" t="s">
        <v>207</v>
      </c>
      <c r="D92" s="1104" t="s">
        <v>845</v>
      </c>
      <c r="E92" s="1104"/>
      <c r="F92" s="1452" t="s">
        <v>1470</v>
      </c>
      <c r="G92" s="1104" t="s">
        <v>208</v>
      </c>
      <c r="H92" s="111"/>
    </row>
    <row r="93" spans="1:8" s="115" customFormat="1" ht="67.5" customHeight="1" x14ac:dyDescent="0.2">
      <c r="A93" s="2369"/>
      <c r="B93" s="2373"/>
      <c r="C93" s="1094" t="s">
        <v>848</v>
      </c>
      <c r="D93" s="1104" t="s">
        <v>849</v>
      </c>
      <c r="E93" s="1104">
        <v>0.08</v>
      </c>
      <c r="F93" s="1104" t="s">
        <v>1165</v>
      </c>
      <c r="G93" s="1104" t="s">
        <v>203</v>
      </c>
      <c r="H93" s="589"/>
    </row>
    <row r="94" spans="1:8" s="115" customFormat="1" ht="68.25" customHeight="1" x14ac:dyDescent="0.2">
      <c r="A94" s="2369"/>
      <c r="B94" s="2373"/>
      <c r="C94" s="1094" t="s">
        <v>216</v>
      </c>
      <c r="D94" s="1104" t="s">
        <v>850</v>
      </c>
      <c r="E94" s="1104">
        <v>16.8</v>
      </c>
      <c r="F94" s="1452" t="s">
        <v>1497</v>
      </c>
      <c r="G94" s="1104" t="s">
        <v>203</v>
      </c>
      <c r="H94" s="588"/>
    </row>
    <row r="95" spans="1:8" s="115" customFormat="1" ht="72" customHeight="1" x14ac:dyDescent="0.2">
      <c r="A95" s="2366"/>
      <c r="B95" s="2368"/>
      <c r="C95" s="1094" t="s">
        <v>851</v>
      </c>
      <c r="D95" s="1104" t="s">
        <v>852</v>
      </c>
      <c r="E95" s="1104">
        <v>1.5E-3</v>
      </c>
      <c r="F95" s="1104" t="s">
        <v>1166</v>
      </c>
      <c r="G95" s="1459" t="s">
        <v>203</v>
      </c>
      <c r="H95" s="589"/>
    </row>
    <row r="96" spans="1:8" s="115" customFormat="1" ht="17.25" customHeight="1" x14ac:dyDescent="0.2">
      <c r="A96" s="2365" t="s">
        <v>533</v>
      </c>
      <c r="B96" s="2367" t="s">
        <v>854</v>
      </c>
      <c r="C96" s="1094" t="s">
        <v>207</v>
      </c>
      <c r="D96" s="1452" t="s">
        <v>210</v>
      </c>
      <c r="E96" s="1104"/>
      <c r="F96" s="1452" t="s">
        <v>1470</v>
      </c>
      <c r="G96" s="1104" t="s">
        <v>208</v>
      </c>
      <c r="H96" s="111"/>
    </row>
    <row r="97" spans="1:8" s="115" customFormat="1" ht="67.5" customHeight="1" x14ac:dyDescent="0.2">
      <c r="A97" s="2369"/>
      <c r="B97" s="2373"/>
      <c r="C97" s="1094" t="s">
        <v>856</v>
      </c>
      <c r="D97" s="1452" t="s">
        <v>1491</v>
      </c>
      <c r="E97" s="1104" t="s">
        <v>912</v>
      </c>
      <c r="F97" s="1452" t="s">
        <v>1455</v>
      </c>
      <c r="G97" s="1104" t="s">
        <v>203</v>
      </c>
      <c r="H97" s="589"/>
    </row>
    <row r="98" spans="1:8" s="115" customFormat="1" ht="67.5" customHeight="1" x14ac:dyDescent="0.2">
      <c r="A98" s="2369"/>
      <c r="B98" s="2373"/>
      <c r="C98" s="1094" t="s">
        <v>843</v>
      </c>
      <c r="D98" s="1104" t="s">
        <v>406</v>
      </c>
      <c r="E98" s="1459" t="s">
        <v>1521</v>
      </c>
      <c r="F98" s="1452" t="s">
        <v>1456</v>
      </c>
      <c r="G98" s="1104" t="s">
        <v>203</v>
      </c>
      <c r="H98" s="588"/>
    </row>
    <row r="99" spans="1:8" s="115" customFormat="1" ht="58.5" customHeight="1" x14ac:dyDescent="0.2">
      <c r="A99" s="2369"/>
      <c r="B99" s="2373"/>
      <c r="C99" s="1094" t="s">
        <v>834</v>
      </c>
      <c r="D99" s="1452" t="s">
        <v>210</v>
      </c>
      <c r="E99" s="1104" t="s">
        <v>506</v>
      </c>
      <c r="F99" s="1104" t="s">
        <v>829</v>
      </c>
      <c r="G99" s="1104" t="s">
        <v>203</v>
      </c>
      <c r="H99" s="589"/>
    </row>
    <row r="100" spans="1:8" s="115" customFormat="1" ht="51.75" customHeight="1" x14ac:dyDescent="0.2">
      <c r="A100" s="2366"/>
      <c r="B100" s="2368"/>
      <c r="C100" s="1094" t="s">
        <v>1448</v>
      </c>
      <c r="D100" s="1104" t="s">
        <v>857</v>
      </c>
      <c r="E100" s="1459" t="s">
        <v>1521</v>
      </c>
      <c r="F100" s="1104" t="s">
        <v>830</v>
      </c>
      <c r="G100" s="1104" t="s">
        <v>203</v>
      </c>
      <c r="H100" s="589"/>
    </row>
    <row r="101" spans="1:8" s="115" customFormat="1" ht="27.75" customHeight="1" x14ac:dyDescent="0.2">
      <c r="A101" s="2365" t="s">
        <v>534</v>
      </c>
      <c r="B101" s="2367" t="s">
        <v>535</v>
      </c>
      <c r="C101" s="1094" t="s">
        <v>207</v>
      </c>
      <c r="D101" s="1104" t="s">
        <v>845</v>
      </c>
      <c r="E101" s="1104"/>
      <c r="F101" s="1452" t="s">
        <v>1470</v>
      </c>
      <c r="G101" s="1104" t="s">
        <v>208</v>
      </c>
      <c r="H101" s="589"/>
    </row>
    <row r="102" spans="1:8" s="115" customFormat="1" ht="82.5" customHeight="1" x14ac:dyDescent="0.2">
      <c r="A102" s="2369"/>
      <c r="B102" s="2373"/>
      <c r="C102" s="1094" t="s">
        <v>836</v>
      </c>
      <c r="D102" s="1452" t="s">
        <v>1492</v>
      </c>
      <c r="E102" s="1104" t="s">
        <v>913</v>
      </c>
      <c r="F102" s="1104" t="s">
        <v>829</v>
      </c>
      <c r="G102" s="1104" t="s">
        <v>203</v>
      </c>
      <c r="H102" s="588"/>
    </row>
    <row r="103" spans="1:8" s="115" customFormat="1" ht="69" customHeight="1" x14ac:dyDescent="0.2">
      <c r="A103" s="2369"/>
      <c r="B103" s="2373"/>
      <c r="C103" s="1094" t="s">
        <v>474</v>
      </c>
      <c r="D103" s="1104" t="s">
        <v>857</v>
      </c>
      <c r="E103" s="1459" t="s">
        <v>1521</v>
      </c>
      <c r="F103" s="1452" t="s">
        <v>1455</v>
      </c>
      <c r="G103" s="1104" t="s">
        <v>203</v>
      </c>
      <c r="H103" s="589"/>
    </row>
    <row r="104" spans="1:8" s="115" customFormat="1" ht="67.5" customHeight="1" x14ac:dyDescent="0.2">
      <c r="A104" s="2369"/>
      <c r="B104" s="2373"/>
      <c r="C104" s="1094" t="s">
        <v>843</v>
      </c>
      <c r="D104" s="1104" t="s">
        <v>857</v>
      </c>
      <c r="E104" s="1459" t="s">
        <v>1521</v>
      </c>
      <c r="F104" s="1452" t="s">
        <v>1493</v>
      </c>
      <c r="G104" s="1104" t="s">
        <v>203</v>
      </c>
      <c r="H104" s="589"/>
    </row>
    <row r="105" spans="1:8" s="115" customFormat="1" ht="55.5" customHeight="1" x14ac:dyDescent="0.2">
      <c r="A105" s="2369"/>
      <c r="B105" s="2373"/>
      <c r="C105" s="1094" t="s">
        <v>859</v>
      </c>
      <c r="D105" s="1104" t="s">
        <v>857</v>
      </c>
      <c r="E105" s="1459" t="s">
        <v>1521</v>
      </c>
      <c r="F105" s="1104" t="s">
        <v>847</v>
      </c>
      <c r="G105" s="1104" t="s">
        <v>203</v>
      </c>
      <c r="H105" s="588"/>
    </row>
    <row r="106" spans="1:8" s="115" customFormat="1" ht="60" customHeight="1" x14ac:dyDescent="0.2">
      <c r="A106" s="2369"/>
      <c r="B106" s="2373"/>
      <c r="C106" s="1094" t="s">
        <v>1448</v>
      </c>
      <c r="D106" s="1104" t="s">
        <v>857</v>
      </c>
      <c r="E106" s="1459" t="s">
        <v>1521</v>
      </c>
      <c r="F106" s="1104" t="s">
        <v>830</v>
      </c>
      <c r="G106" s="1104" t="s">
        <v>203</v>
      </c>
      <c r="H106" s="588"/>
    </row>
    <row r="107" spans="1:8" s="115" customFormat="1" ht="36" customHeight="1" x14ac:dyDescent="0.2">
      <c r="A107" s="2366"/>
      <c r="B107" s="2368"/>
      <c r="C107" s="1094" t="s">
        <v>484</v>
      </c>
      <c r="D107" s="1104" t="s">
        <v>205</v>
      </c>
      <c r="E107" s="1104">
        <v>3.5</v>
      </c>
      <c r="F107" s="1104" t="s">
        <v>847</v>
      </c>
      <c r="G107" s="1104" t="s">
        <v>203</v>
      </c>
      <c r="H107" s="588"/>
    </row>
    <row r="108" spans="1:8" s="115" customFormat="1" ht="29.25" customHeight="1" x14ac:dyDescent="0.2">
      <c r="A108" s="2365" t="s">
        <v>217</v>
      </c>
      <c r="B108" s="2367" t="s">
        <v>559</v>
      </c>
      <c r="C108" s="1094" t="s">
        <v>207</v>
      </c>
      <c r="D108" s="1104" t="s">
        <v>845</v>
      </c>
      <c r="E108" s="1104"/>
      <c r="F108" s="1452" t="s">
        <v>1470</v>
      </c>
      <c r="G108" s="1104" t="s">
        <v>208</v>
      </c>
      <c r="H108" s="113"/>
    </row>
    <row r="109" spans="1:8" s="115" customFormat="1" ht="88.5" customHeight="1" x14ac:dyDescent="0.2">
      <c r="A109" s="2369"/>
      <c r="B109" s="2373"/>
      <c r="C109" s="1094" t="s">
        <v>848</v>
      </c>
      <c r="D109" s="1104" t="s">
        <v>860</v>
      </c>
      <c r="E109" s="1104">
        <v>0.08</v>
      </c>
      <c r="F109" s="1104" t="s">
        <v>861</v>
      </c>
      <c r="G109" s="1104" t="s">
        <v>203</v>
      </c>
      <c r="H109" s="589"/>
    </row>
    <row r="110" spans="1:8" s="115" customFormat="1" ht="49.5" customHeight="1" x14ac:dyDescent="0.2">
      <c r="A110" s="2369"/>
      <c r="B110" s="2373"/>
      <c r="C110" s="1094" t="s">
        <v>216</v>
      </c>
      <c r="D110" s="1104" t="s">
        <v>862</v>
      </c>
      <c r="E110" s="1105">
        <v>17</v>
      </c>
      <c r="F110" s="1452" t="s">
        <v>1496</v>
      </c>
      <c r="G110" s="1104" t="s">
        <v>203</v>
      </c>
      <c r="H110" s="589"/>
    </row>
    <row r="111" spans="1:8" s="115" customFormat="1" ht="60.75" customHeight="1" x14ac:dyDescent="0.2">
      <c r="A111" s="2366"/>
      <c r="B111" s="2368"/>
      <c r="C111" s="1094" t="s">
        <v>851</v>
      </c>
      <c r="D111" s="1104" t="s">
        <v>218</v>
      </c>
      <c r="E111" s="1104">
        <v>1.5E-3</v>
      </c>
      <c r="F111" s="1104" t="s">
        <v>853</v>
      </c>
      <c r="G111" s="1459" t="s">
        <v>203</v>
      </c>
      <c r="H111" s="589"/>
    </row>
    <row r="112" spans="1:8" s="115" customFormat="1" ht="30" customHeight="1" x14ac:dyDescent="0.2">
      <c r="A112" s="2365" t="s">
        <v>863</v>
      </c>
      <c r="B112" s="2367" t="s">
        <v>537</v>
      </c>
      <c r="C112" s="1094" t="s">
        <v>207</v>
      </c>
      <c r="D112" s="1104" t="s">
        <v>845</v>
      </c>
      <c r="E112" s="1104"/>
      <c r="F112" s="1452" t="s">
        <v>1470</v>
      </c>
      <c r="G112" s="1104" t="s">
        <v>208</v>
      </c>
      <c r="H112" s="111"/>
    </row>
    <row r="113" spans="1:8" s="115" customFormat="1" ht="55.5" customHeight="1" x14ac:dyDescent="0.2">
      <c r="A113" s="2369"/>
      <c r="B113" s="2373"/>
      <c r="C113" s="1094" t="s">
        <v>836</v>
      </c>
      <c r="D113" s="1104" t="s">
        <v>864</v>
      </c>
      <c r="E113" s="1104" t="s">
        <v>914</v>
      </c>
      <c r="F113" s="1104" t="s">
        <v>829</v>
      </c>
      <c r="G113" s="1104" t="s">
        <v>203</v>
      </c>
      <c r="H113" s="589"/>
    </row>
    <row r="114" spans="1:8" s="115" customFormat="1" ht="69" customHeight="1" x14ac:dyDescent="0.2">
      <c r="A114" s="2369"/>
      <c r="B114" s="2373"/>
      <c r="C114" s="1094" t="s">
        <v>474</v>
      </c>
      <c r="D114" s="1104" t="s">
        <v>865</v>
      </c>
      <c r="E114" s="1459" t="s">
        <v>1521</v>
      </c>
      <c r="F114" s="1452" t="s">
        <v>1455</v>
      </c>
      <c r="G114" s="1104" t="s">
        <v>203</v>
      </c>
      <c r="H114" s="589"/>
    </row>
    <row r="115" spans="1:8" s="115" customFormat="1" ht="67.5" customHeight="1" x14ac:dyDescent="0.2">
      <c r="A115" s="2369"/>
      <c r="B115" s="2373"/>
      <c r="C115" s="1094" t="s">
        <v>843</v>
      </c>
      <c r="D115" s="1104" t="s">
        <v>865</v>
      </c>
      <c r="E115" s="1459" t="s">
        <v>1521</v>
      </c>
      <c r="F115" s="1452" t="s">
        <v>1493</v>
      </c>
      <c r="G115" s="1104" t="s">
        <v>203</v>
      </c>
      <c r="H115" s="589"/>
    </row>
    <row r="116" spans="1:8" s="115" customFormat="1" ht="39.75" customHeight="1" x14ac:dyDescent="0.2">
      <c r="A116" s="2369"/>
      <c r="B116" s="2373"/>
      <c r="C116" s="1094" t="s">
        <v>859</v>
      </c>
      <c r="D116" s="1104" t="s">
        <v>865</v>
      </c>
      <c r="E116" s="1459" t="s">
        <v>1521</v>
      </c>
      <c r="F116" s="1104" t="s">
        <v>847</v>
      </c>
      <c r="G116" s="1104" t="s">
        <v>203</v>
      </c>
      <c r="H116" s="589"/>
    </row>
    <row r="117" spans="1:8" s="115" customFormat="1" ht="57" customHeight="1" x14ac:dyDescent="0.2">
      <c r="A117" s="2369"/>
      <c r="B117" s="2373"/>
      <c r="C117" s="1094" t="s">
        <v>1448</v>
      </c>
      <c r="D117" s="1104" t="s">
        <v>865</v>
      </c>
      <c r="E117" s="1459" t="s">
        <v>1521</v>
      </c>
      <c r="F117" s="1104" t="s">
        <v>830</v>
      </c>
      <c r="G117" s="1104" t="s">
        <v>203</v>
      </c>
      <c r="H117" s="589"/>
    </row>
    <row r="118" spans="1:8" s="115" customFormat="1" ht="34.5" customHeight="1" x14ac:dyDescent="0.2">
      <c r="A118" s="2366"/>
      <c r="B118" s="2368"/>
      <c r="C118" s="1094" t="s">
        <v>484</v>
      </c>
      <c r="D118" s="1104" t="s">
        <v>205</v>
      </c>
      <c r="E118" s="1105">
        <v>10</v>
      </c>
      <c r="F118" s="1104" t="s">
        <v>847</v>
      </c>
      <c r="G118" s="1104" t="s">
        <v>203</v>
      </c>
      <c r="H118" s="588"/>
    </row>
    <row r="119" spans="1:8" s="115" customFormat="1" ht="21.75" customHeight="1" x14ac:dyDescent="0.2">
      <c r="A119" s="2380" t="s">
        <v>485</v>
      </c>
      <c r="B119" s="2381"/>
      <c r="C119" s="2381"/>
      <c r="D119" s="2381"/>
      <c r="E119" s="2381"/>
      <c r="F119" s="2381"/>
      <c r="G119" s="2382"/>
      <c r="H119" s="2383"/>
    </row>
    <row r="120" spans="1:8" s="115" customFormat="1" ht="21.75" customHeight="1" x14ac:dyDescent="0.2">
      <c r="A120" s="2380" t="s">
        <v>220</v>
      </c>
      <c r="B120" s="2381"/>
      <c r="C120" s="2381"/>
      <c r="D120" s="2381"/>
      <c r="E120" s="2381"/>
      <c r="F120" s="2381"/>
      <c r="G120" s="2382"/>
      <c r="H120" s="2383"/>
    </row>
    <row r="121" spans="1:8" s="115" customFormat="1" ht="16.5" customHeight="1" x14ac:dyDescent="0.2">
      <c r="A121" s="2365" t="s">
        <v>538</v>
      </c>
      <c r="B121" s="2367" t="s">
        <v>532</v>
      </c>
      <c r="C121" s="1094" t="s">
        <v>207</v>
      </c>
      <c r="D121" s="1104" t="s">
        <v>845</v>
      </c>
      <c r="E121" s="1104"/>
      <c r="F121" s="1452" t="s">
        <v>1470</v>
      </c>
      <c r="G121" s="1104" t="s">
        <v>208</v>
      </c>
      <c r="H121" s="111"/>
    </row>
    <row r="122" spans="1:8" s="115" customFormat="1" ht="69" customHeight="1" x14ac:dyDescent="0.2">
      <c r="A122" s="2369"/>
      <c r="B122" s="2373"/>
      <c r="C122" s="1094" t="s">
        <v>848</v>
      </c>
      <c r="D122" s="1104" t="s">
        <v>849</v>
      </c>
      <c r="E122" s="1104">
        <v>0.25</v>
      </c>
      <c r="F122" s="1104" t="s">
        <v>1168</v>
      </c>
      <c r="G122" s="1104" t="s">
        <v>203</v>
      </c>
      <c r="H122" s="2383"/>
    </row>
    <row r="123" spans="1:8" s="115" customFormat="1" ht="71.25" customHeight="1" x14ac:dyDescent="0.2">
      <c r="A123" s="2369"/>
      <c r="B123" s="2373"/>
      <c r="C123" s="1094" t="s">
        <v>216</v>
      </c>
      <c r="D123" s="1104" t="s">
        <v>850</v>
      </c>
      <c r="E123" s="1104">
        <v>16.8</v>
      </c>
      <c r="F123" s="1452" t="s">
        <v>1495</v>
      </c>
      <c r="G123" s="1104" t="s">
        <v>203</v>
      </c>
      <c r="H123" s="2383"/>
    </row>
    <row r="124" spans="1:8" s="115" customFormat="1" ht="69" customHeight="1" x14ac:dyDescent="0.2">
      <c r="A124" s="2366"/>
      <c r="B124" s="2368"/>
      <c r="C124" s="1094" t="s">
        <v>851</v>
      </c>
      <c r="D124" s="1104" t="s">
        <v>852</v>
      </c>
      <c r="E124" s="1104">
        <v>1.5E-3</v>
      </c>
      <c r="F124" s="1452" t="s">
        <v>1166</v>
      </c>
      <c r="G124" s="1459" t="s">
        <v>203</v>
      </c>
      <c r="H124" s="2383"/>
    </row>
    <row r="125" spans="1:8" s="115" customFormat="1" ht="23.25" customHeight="1" x14ac:dyDescent="0.2">
      <c r="A125" s="2365" t="s">
        <v>539</v>
      </c>
      <c r="B125" s="2367" t="s">
        <v>854</v>
      </c>
      <c r="C125" s="1094" t="s">
        <v>207</v>
      </c>
      <c r="D125" s="1104" t="s">
        <v>855</v>
      </c>
      <c r="E125" s="1104"/>
      <c r="F125" s="1452" t="s">
        <v>1470</v>
      </c>
      <c r="G125" s="1104" t="s">
        <v>208</v>
      </c>
      <c r="H125" s="111"/>
    </row>
    <row r="126" spans="1:8" s="115" customFormat="1" ht="72.75" customHeight="1" x14ac:dyDescent="0.2">
      <c r="A126" s="2369"/>
      <c r="B126" s="2373"/>
      <c r="C126" s="1094" t="s">
        <v>856</v>
      </c>
      <c r="D126" s="1104" t="s">
        <v>855</v>
      </c>
      <c r="E126" s="1104" t="s">
        <v>912</v>
      </c>
      <c r="F126" s="1452" t="s">
        <v>1455</v>
      </c>
      <c r="G126" s="1104" t="s">
        <v>203</v>
      </c>
      <c r="H126" s="2383"/>
    </row>
    <row r="127" spans="1:8" s="115" customFormat="1" ht="69" customHeight="1" x14ac:dyDescent="0.2">
      <c r="A127" s="2369"/>
      <c r="B127" s="2373"/>
      <c r="C127" s="1094" t="s">
        <v>843</v>
      </c>
      <c r="D127" s="1104" t="s">
        <v>406</v>
      </c>
      <c r="E127" s="1459" t="s">
        <v>1521</v>
      </c>
      <c r="F127" s="1452" t="s">
        <v>1456</v>
      </c>
      <c r="G127" s="1104" t="s">
        <v>203</v>
      </c>
      <c r="H127" s="2383"/>
    </row>
    <row r="128" spans="1:8" s="115" customFormat="1" ht="54" customHeight="1" x14ac:dyDescent="0.2">
      <c r="A128" s="2369"/>
      <c r="B128" s="2373"/>
      <c r="C128" s="1094" t="s">
        <v>834</v>
      </c>
      <c r="D128" s="1104" t="s">
        <v>855</v>
      </c>
      <c r="E128" s="1459" t="s">
        <v>223</v>
      </c>
      <c r="F128" s="1104" t="s">
        <v>829</v>
      </c>
      <c r="G128" s="1104" t="s">
        <v>203</v>
      </c>
      <c r="H128" s="2383"/>
    </row>
    <row r="129" spans="1:8" s="115" customFormat="1" ht="60" customHeight="1" x14ac:dyDescent="0.2">
      <c r="A129" s="2366"/>
      <c r="B129" s="2368"/>
      <c r="C129" s="1094" t="s">
        <v>1448</v>
      </c>
      <c r="D129" s="1104" t="s">
        <v>857</v>
      </c>
      <c r="E129" s="1459" t="s">
        <v>1521</v>
      </c>
      <c r="F129" s="1104" t="s">
        <v>830</v>
      </c>
      <c r="G129" s="1104" t="s">
        <v>203</v>
      </c>
      <c r="H129" s="2383"/>
    </row>
    <row r="130" spans="1:8" s="115" customFormat="1" ht="21" customHeight="1" x14ac:dyDescent="0.2">
      <c r="A130" s="2365" t="s">
        <v>540</v>
      </c>
      <c r="B130" s="2367" t="s">
        <v>535</v>
      </c>
      <c r="C130" s="1094" t="s">
        <v>207</v>
      </c>
      <c r="D130" s="1104" t="s">
        <v>845</v>
      </c>
      <c r="E130" s="1104"/>
      <c r="F130" s="1452" t="s">
        <v>1470</v>
      </c>
      <c r="G130" s="1104" t="s">
        <v>208</v>
      </c>
      <c r="H130" s="111"/>
    </row>
    <row r="131" spans="1:8" s="115" customFormat="1" ht="66.75" customHeight="1" x14ac:dyDescent="0.2">
      <c r="A131" s="2369"/>
      <c r="B131" s="2373"/>
      <c r="C131" s="1094" t="s">
        <v>836</v>
      </c>
      <c r="D131" s="1104" t="s">
        <v>858</v>
      </c>
      <c r="E131" s="1104" t="s">
        <v>915</v>
      </c>
      <c r="F131" s="1104" t="s">
        <v>829</v>
      </c>
      <c r="G131" s="1104" t="s">
        <v>203</v>
      </c>
      <c r="H131" s="2383"/>
    </row>
    <row r="132" spans="1:8" s="115" customFormat="1" ht="72.75" customHeight="1" x14ac:dyDescent="0.2">
      <c r="A132" s="2369"/>
      <c r="B132" s="2373"/>
      <c r="C132" s="1094" t="s">
        <v>474</v>
      </c>
      <c r="D132" s="1104" t="s">
        <v>857</v>
      </c>
      <c r="E132" s="1459" t="s">
        <v>1521</v>
      </c>
      <c r="F132" s="1452" t="s">
        <v>1455</v>
      </c>
      <c r="G132" s="1104" t="s">
        <v>203</v>
      </c>
      <c r="H132" s="2383"/>
    </row>
    <row r="133" spans="1:8" s="115" customFormat="1" ht="72" customHeight="1" x14ac:dyDescent="0.2">
      <c r="A133" s="2369"/>
      <c r="B133" s="2373"/>
      <c r="C133" s="1094" t="s">
        <v>843</v>
      </c>
      <c r="D133" s="1104" t="s">
        <v>857</v>
      </c>
      <c r="E133" s="1459" t="s">
        <v>1521</v>
      </c>
      <c r="F133" s="1452" t="s">
        <v>1456</v>
      </c>
      <c r="G133" s="1104" t="s">
        <v>203</v>
      </c>
      <c r="H133" s="2383"/>
    </row>
    <row r="134" spans="1:8" s="115" customFormat="1" ht="35.25" customHeight="1" x14ac:dyDescent="0.2">
      <c r="A134" s="2369"/>
      <c r="B134" s="2373"/>
      <c r="C134" s="1094" t="s">
        <v>859</v>
      </c>
      <c r="D134" s="1104" t="s">
        <v>857</v>
      </c>
      <c r="E134" s="1459" t="s">
        <v>1521</v>
      </c>
      <c r="F134" s="1104" t="s">
        <v>847</v>
      </c>
      <c r="G134" s="1104" t="s">
        <v>203</v>
      </c>
      <c r="H134" s="2383"/>
    </row>
    <row r="135" spans="1:8" s="115" customFormat="1" ht="56.25" customHeight="1" x14ac:dyDescent="0.2">
      <c r="A135" s="2369"/>
      <c r="B135" s="2373"/>
      <c r="C135" s="1094" t="s">
        <v>1448</v>
      </c>
      <c r="D135" s="1104" t="s">
        <v>857</v>
      </c>
      <c r="E135" s="1459" t="s">
        <v>1521</v>
      </c>
      <c r="F135" s="1104" t="s">
        <v>830</v>
      </c>
      <c r="G135" s="1104" t="s">
        <v>203</v>
      </c>
      <c r="H135" s="2383"/>
    </row>
    <row r="136" spans="1:8" s="115" customFormat="1" ht="44.25" customHeight="1" x14ac:dyDescent="0.2">
      <c r="A136" s="2366"/>
      <c r="B136" s="2368"/>
      <c r="C136" s="1094" t="s">
        <v>484</v>
      </c>
      <c r="D136" s="1104" t="s">
        <v>205</v>
      </c>
      <c r="E136" s="1104">
        <v>2.8</v>
      </c>
      <c r="F136" s="1104" t="s">
        <v>847</v>
      </c>
      <c r="G136" s="1104" t="s">
        <v>203</v>
      </c>
      <c r="H136" s="2383"/>
    </row>
    <row r="137" spans="1:8" s="115" customFormat="1" x14ac:dyDescent="0.2">
      <c r="A137" s="2365" t="s">
        <v>221</v>
      </c>
      <c r="B137" s="2367" t="s">
        <v>536</v>
      </c>
      <c r="C137" s="1094" t="s">
        <v>207</v>
      </c>
      <c r="D137" s="1104" t="s">
        <v>845</v>
      </c>
      <c r="E137" s="1104"/>
      <c r="F137" s="1452" t="s">
        <v>1470</v>
      </c>
      <c r="G137" s="1104" t="s">
        <v>208</v>
      </c>
      <c r="H137" s="111"/>
    </row>
    <row r="138" spans="1:8" s="115" customFormat="1" ht="91.5" customHeight="1" x14ac:dyDescent="0.2">
      <c r="A138" s="2369"/>
      <c r="B138" s="2373"/>
      <c r="C138" s="1094" t="s">
        <v>848</v>
      </c>
      <c r="D138" s="1104" t="s">
        <v>860</v>
      </c>
      <c r="E138" s="1109">
        <v>0.4</v>
      </c>
      <c r="F138" s="1104" t="s">
        <v>861</v>
      </c>
      <c r="G138" s="1104" t="s">
        <v>203</v>
      </c>
      <c r="H138" s="2383"/>
    </row>
    <row r="139" spans="1:8" s="115" customFormat="1" ht="35.25" customHeight="1" x14ac:dyDescent="0.2">
      <c r="A139" s="2369"/>
      <c r="B139" s="2373"/>
      <c r="C139" s="1094" t="s">
        <v>216</v>
      </c>
      <c r="D139" s="1104" t="s">
        <v>862</v>
      </c>
      <c r="E139" s="1105">
        <v>17</v>
      </c>
      <c r="F139" s="1452" t="s">
        <v>1494</v>
      </c>
      <c r="G139" s="1104" t="s">
        <v>203</v>
      </c>
      <c r="H139" s="2383"/>
    </row>
    <row r="140" spans="1:8" s="115" customFormat="1" ht="52.5" customHeight="1" x14ac:dyDescent="0.2">
      <c r="A140" s="2366"/>
      <c r="B140" s="2368"/>
      <c r="C140" s="1094" t="s">
        <v>851</v>
      </c>
      <c r="D140" s="1104" t="s">
        <v>218</v>
      </c>
      <c r="E140" s="1104">
        <v>1.5E-3</v>
      </c>
      <c r="F140" s="1104" t="s">
        <v>853</v>
      </c>
      <c r="G140" s="1459" t="s">
        <v>203</v>
      </c>
      <c r="H140" s="589"/>
    </row>
    <row r="141" spans="1:8" s="115" customFormat="1" ht="19.5" customHeight="1" x14ac:dyDescent="0.2">
      <c r="A141" s="2365" t="s">
        <v>541</v>
      </c>
      <c r="B141" s="2367" t="s">
        <v>537</v>
      </c>
      <c r="C141" s="1094" t="s">
        <v>207</v>
      </c>
      <c r="D141" s="1104" t="s">
        <v>845</v>
      </c>
      <c r="E141" s="1104"/>
      <c r="F141" s="1452" t="s">
        <v>1470</v>
      </c>
      <c r="G141" s="1104" t="s">
        <v>208</v>
      </c>
      <c r="H141" s="111"/>
    </row>
    <row r="142" spans="1:8" s="115" customFormat="1" ht="54" customHeight="1" x14ac:dyDescent="0.2">
      <c r="A142" s="2369"/>
      <c r="B142" s="2373"/>
      <c r="C142" s="1094" t="s">
        <v>836</v>
      </c>
      <c r="D142" s="1104" t="s">
        <v>864</v>
      </c>
      <c r="E142" s="1104" t="s">
        <v>916</v>
      </c>
      <c r="F142" s="1104" t="s">
        <v>829</v>
      </c>
      <c r="G142" s="1104" t="s">
        <v>203</v>
      </c>
      <c r="H142" s="2383"/>
    </row>
    <row r="143" spans="1:8" s="115" customFormat="1" ht="72.75" customHeight="1" x14ac:dyDescent="0.2">
      <c r="A143" s="2369"/>
      <c r="B143" s="2373"/>
      <c r="C143" s="1094" t="s">
        <v>474</v>
      </c>
      <c r="D143" s="1104" t="s">
        <v>865</v>
      </c>
      <c r="E143" s="1459" t="s">
        <v>1521</v>
      </c>
      <c r="F143" s="1104" t="s">
        <v>1167</v>
      </c>
      <c r="G143" s="1104" t="s">
        <v>203</v>
      </c>
      <c r="H143" s="2383"/>
    </row>
    <row r="144" spans="1:8" s="115" customFormat="1" ht="69" customHeight="1" x14ac:dyDescent="0.2">
      <c r="A144" s="2369"/>
      <c r="B144" s="2373"/>
      <c r="C144" s="1094" t="s">
        <v>843</v>
      </c>
      <c r="D144" s="1104" t="s">
        <v>865</v>
      </c>
      <c r="E144" s="1459" t="s">
        <v>1521</v>
      </c>
      <c r="F144" s="1104" t="s">
        <v>1163</v>
      </c>
      <c r="G144" s="1104" t="s">
        <v>203</v>
      </c>
      <c r="H144" s="2383"/>
    </row>
    <row r="145" spans="1:8" s="115" customFormat="1" ht="38.25" customHeight="1" x14ac:dyDescent="0.2">
      <c r="A145" s="2369"/>
      <c r="B145" s="2373"/>
      <c r="C145" s="1094" t="s">
        <v>859</v>
      </c>
      <c r="D145" s="1104" t="s">
        <v>865</v>
      </c>
      <c r="E145" s="1459" t="s">
        <v>1521</v>
      </c>
      <c r="F145" s="1104" t="s">
        <v>847</v>
      </c>
      <c r="G145" s="1104" t="s">
        <v>203</v>
      </c>
      <c r="H145" s="2383"/>
    </row>
    <row r="146" spans="1:8" s="115" customFormat="1" ht="60" customHeight="1" x14ac:dyDescent="0.2">
      <c r="A146" s="2369"/>
      <c r="B146" s="2373"/>
      <c r="C146" s="1094" t="s">
        <v>1448</v>
      </c>
      <c r="D146" s="1104" t="s">
        <v>865</v>
      </c>
      <c r="E146" s="1459" t="s">
        <v>1521</v>
      </c>
      <c r="F146" s="1104" t="s">
        <v>830</v>
      </c>
      <c r="G146" s="1104" t="s">
        <v>203</v>
      </c>
      <c r="H146" s="2379"/>
    </row>
    <row r="147" spans="1:8" s="115" customFormat="1" ht="43.5" customHeight="1" x14ac:dyDescent="0.2">
      <c r="A147" s="2366"/>
      <c r="B147" s="2368"/>
      <c r="C147" s="1094" t="s">
        <v>484</v>
      </c>
      <c r="D147" s="1104" t="s">
        <v>205</v>
      </c>
      <c r="E147" s="1105">
        <v>5</v>
      </c>
      <c r="F147" s="1104" t="s">
        <v>847</v>
      </c>
      <c r="G147" s="1104" t="s">
        <v>203</v>
      </c>
      <c r="H147" s="2379"/>
    </row>
    <row r="148" spans="1:8" s="115" customFormat="1" ht="36" customHeight="1" x14ac:dyDescent="0.2">
      <c r="A148" s="2365" t="s">
        <v>542</v>
      </c>
      <c r="B148" s="2367" t="s">
        <v>560</v>
      </c>
      <c r="C148" s="1094" t="s">
        <v>207</v>
      </c>
      <c r="D148" s="1104" t="s">
        <v>845</v>
      </c>
      <c r="E148" s="1104"/>
      <c r="F148" s="1452" t="s">
        <v>1470</v>
      </c>
      <c r="G148" s="1104" t="s">
        <v>208</v>
      </c>
      <c r="H148" s="111"/>
    </row>
    <row r="149" spans="1:8" s="115" customFormat="1" ht="56.25" customHeight="1" x14ac:dyDescent="0.2">
      <c r="A149" s="2369"/>
      <c r="B149" s="2373"/>
      <c r="C149" s="1094" t="s">
        <v>836</v>
      </c>
      <c r="D149" s="1104" t="s">
        <v>866</v>
      </c>
      <c r="E149" s="1459" t="s">
        <v>1521</v>
      </c>
      <c r="F149" s="1104" t="s">
        <v>829</v>
      </c>
      <c r="G149" s="1104" t="s">
        <v>203</v>
      </c>
      <c r="H149" s="589"/>
    </row>
    <row r="150" spans="1:8" s="115" customFormat="1" ht="69.75" customHeight="1" x14ac:dyDescent="0.2">
      <c r="A150" s="2369"/>
      <c r="B150" s="2373"/>
      <c r="C150" s="1094" t="s">
        <v>474</v>
      </c>
      <c r="D150" s="1104" t="s">
        <v>866</v>
      </c>
      <c r="E150" s="1459" t="s">
        <v>1521</v>
      </c>
      <c r="F150" s="1104" t="s">
        <v>1167</v>
      </c>
      <c r="G150" s="1104" t="s">
        <v>203</v>
      </c>
      <c r="H150" s="589"/>
    </row>
    <row r="151" spans="1:8" s="115" customFormat="1" ht="70.5" customHeight="1" x14ac:dyDescent="0.2">
      <c r="A151" s="2369"/>
      <c r="B151" s="2373"/>
      <c r="C151" s="1094" t="s">
        <v>843</v>
      </c>
      <c r="D151" s="1104" t="s">
        <v>866</v>
      </c>
      <c r="E151" s="1459" t="s">
        <v>1521</v>
      </c>
      <c r="F151" s="1104" t="s">
        <v>1169</v>
      </c>
      <c r="G151" s="1104" t="s">
        <v>203</v>
      </c>
      <c r="H151" s="588"/>
    </row>
    <row r="152" spans="1:8" s="115" customFormat="1" ht="52.5" customHeight="1" x14ac:dyDescent="0.2">
      <c r="A152" s="2369"/>
      <c r="B152" s="2373"/>
      <c r="C152" s="1094" t="s">
        <v>859</v>
      </c>
      <c r="D152" s="1104" t="s">
        <v>866</v>
      </c>
      <c r="E152" s="1459" t="s">
        <v>1521</v>
      </c>
      <c r="F152" s="1104" t="s">
        <v>847</v>
      </c>
      <c r="G152" s="1104" t="s">
        <v>203</v>
      </c>
      <c r="H152" s="589"/>
    </row>
    <row r="153" spans="1:8" s="115" customFormat="1" ht="66" x14ac:dyDescent="0.2">
      <c r="A153" s="2366"/>
      <c r="B153" s="2368"/>
      <c r="C153" s="1094" t="s">
        <v>1448</v>
      </c>
      <c r="D153" s="1104" t="s">
        <v>839</v>
      </c>
      <c r="E153" s="1459" t="s">
        <v>1521</v>
      </c>
      <c r="F153" s="1104" t="s">
        <v>830</v>
      </c>
      <c r="G153" s="1104" t="s">
        <v>203</v>
      </c>
      <c r="H153" s="589"/>
    </row>
    <row r="154" spans="1:8" s="115" customFormat="1" ht="24.75" customHeight="1" x14ac:dyDescent="0.2">
      <c r="A154" s="2362" t="s">
        <v>222</v>
      </c>
      <c r="B154" s="2363"/>
      <c r="C154" s="2363"/>
      <c r="D154" s="2363"/>
      <c r="E154" s="2363"/>
      <c r="F154" s="2363"/>
      <c r="G154" s="2364"/>
      <c r="H154" s="589"/>
    </row>
    <row r="155" spans="1:8" s="115" customFormat="1" ht="40.5" customHeight="1" x14ac:dyDescent="0.2">
      <c r="A155" s="2365" t="s">
        <v>543</v>
      </c>
      <c r="B155" s="2367" t="s">
        <v>544</v>
      </c>
      <c r="C155" s="1094" t="s">
        <v>207</v>
      </c>
      <c r="D155" s="1104" t="s">
        <v>486</v>
      </c>
      <c r="E155" s="1104"/>
      <c r="F155" s="1452" t="s">
        <v>1471</v>
      </c>
      <c r="G155" s="1104" t="s">
        <v>208</v>
      </c>
      <c r="H155" s="111"/>
    </row>
    <row r="156" spans="1:8" s="115" customFormat="1" ht="68.25" customHeight="1" x14ac:dyDescent="0.2">
      <c r="A156" s="2369"/>
      <c r="B156" s="2373"/>
      <c r="C156" s="1094" t="s">
        <v>545</v>
      </c>
      <c r="D156" s="1104" t="s">
        <v>212</v>
      </c>
      <c r="E156" s="1459" t="s">
        <v>1521</v>
      </c>
      <c r="F156" s="1452" t="s">
        <v>1457</v>
      </c>
      <c r="G156" s="1104" t="s">
        <v>203</v>
      </c>
      <c r="H156" s="588"/>
    </row>
    <row r="157" spans="1:8" s="115" customFormat="1" ht="69" customHeight="1" x14ac:dyDescent="0.2">
      <c r="A157" s="2369"/>
      <c r="B157" s="2373"/>
      <c r="C157" s="1094" t="s">
        <v>843</v>
      </c>
      <c r="D157" s="1104" t="s">
        <v>212</v>
      </c>
      <c r="E157" s="1459" t="s">
        <v>1521</v>
      </c>
      <c r="F157" s="1452" t="s">
        <v>1456</v>
      </c>
      <c r="G157" s="1104" t="s">
        <v>203</v>
      </c>
      <c r="H157" s="589"/>
    </row>
    <row r="158" spans="1:8" s="115" customFormat="1" ht="57.75" customHeight="1" x14ac:dyDescent="0.2">
      <c r="A158" s="2369"/>
      <c r="B158" s="2373"/>
      <c r="C158" s="1094" t="s">
        <v>834</v>
      </c>
      <c r="D158" s="1104" t="s">
        <v>212</v>
      </c>
      <c r="E158" s="1104" t="s">
        <v>223</v>
      </c>
      <c r="F158" s="1104" t="s">
        <v>829</v>
      </c>
      <c r="G158" s="1104" t="s">
        <v>203</v>
      </c>
      <c r="H158" s="589"/>
    </row>
    <row r="159" spans="1:8" s="115" customFormat="1" ht="52.5" customHeight="1" x14ac:dyDescent="0.2">
      <c r="A159" s="2366"/>
      <c r="B159" s="2368"/>
      <c r="C159" s="1094" t="s">
        <v>1448</v>
      </c>
      <c r="D159" s="1104" t="s">
        <v>212</v>
      </c>
      <c r="E159" s="1459" t="s">
        <v>1521</v>
      </c>
      <c r="F159" s="1104" t="s">
        <v>830</v>
      </c>
      <c r="G159" s="1104" t="s">
        <v>203</v>
      </c>
      <c r="H159" s="589"/>
    </row>
    <row r="160" spans="1:8" s="115" customFormat="1" ht="24.75" customHeight="1" x14ac:dyDescent="0.2">
      <c r="A160" s="2362" t="s">
        <v>1473</v>
      </c>
      <c r="B160" s="2363"/>
      <c r="C160" s="2363"/>
      <c r="D160" s="2363"/>
      <c r="E160" s="2363"/>
      <c r="F160" s="2363"/>
      <c r="G160" s="2364"/>
      <c r="H160" s="111"/>
    </row>
    <row r="161" spans="1:8" s="115" customFormat="1" ht="28.5" customHeight="1" x14ac:dyDescent="0.2">
      <c r="A161" s="2365" t="s">
        <v>546</v>
      </c>
      <c r="B161" s="2367" t="s">
        <v>547</v>
      </c>
      <c r="C161" s="1094" t="s">
        <v>207</v>
      </c>
      <c r="D161" s="1104" t="s">
        <v>209</v>
      </c>
      <c r="E161" s="1104"/>
      <c r="F161" s="1452" t="s">
        <v>1472</v>
      </c>
      <c r="G161" s="1104" t="s">
        <v>208</v>
      </c>
      <c r="H161" s="111"/>
    </row>
    <row r="162" spans="1:8" s="115" customFormat="1" ht="68.25" customHeight="1" x14ac:dyDescent="0.2">
      <c r="A162" s="2369"/>
      <c r="B162" s="2373"/>
      <c r="C162" s="1094" t="s">
        <v>545</v>
      </c>
      <c r="D162" s="1104" t="s">
        <v>209</v>
      </c>
      <c r="E162" s="1459" t="s">
        <v>1521</v>
      </c>
      <c r="F162" s="1452" t="s">
        <v>1454</v>
      </c>
      <c r="G162" s="1104" t="s">
        <v>203</v>
      </c>
      <c r="H162" s="589"/>
    </row>
    <row r="163" spans="1:8" s="115" customFormat="1" ht="67.5" customHeight="1" x14ac:dyDescent="0.2">
      <c r="A163" s="2369"/>
      <c r="B163" s="2373"/>
      <c r="C163" s="1094" t="s">
        <v>843</v>
      </c>
      <c r="D163" s="1104" t="s">
        <v>209</v>
      </c>
      <c r="E163" s="1459" t="s">
        <v>1521</v>
      </c>
      <c r="F163" s="1452" t="s">
        <v>1456</v>
      </c>
      <c r="G163" s="1104" t="s">
        <v>203</v>
      </c>
      <c r="H163" s="589"/>
    </row>
    <row r="164" spans="1:8" s="115" customFormat="1" ht="58.5" customHeight="1" x14ac:dyDescent="0.2">
      <c r="A164" s="2369"/>
      <c r="B164" s="2373"/>
      <c r="C164" s="1094" t="s">
        <v>828</v>
      </c>
      <c r="D164" s="1104" t="s">
        <v>209</v>
      </c>
      <c r="E164" s="1459" t="s">
        <v>1521</v>
      </c>
      <c r="F164" s="1104" t="s">
        <v>829</v>
      </c>
      <c r="G164" s="1104" t="s">
        <v>203</v>
      </c>
      <c r="H164" s="589"/>
    </row>
    <row r="165" spans="1:8" s="115" customFormat="1" ht="58.5" customHeight="1" x14ac:dyDescent="0.2">
      <c r="A165" s="2366"/>
      <c r="B165" s="2368"/>
      <c r="C165" s="1094" t="s">
        <v>1448</v>
      </c>
      <c r="D165" s="1460" t="s">
        <v>1545</v>
      </c>
      <c r="E165" s="1459" t="s">
        <v>1521</v>
      </c>
      <c r="F165" s="1104" t="s">
        <v>830</v>
      </c>
      <c r="G165" s="1104" t="s">
        <v>203</v>
      </c>
      <c r="H165" s="589"/>
    </row>
    <row r="166" spans="1:8" s="115" customFormat="1" ht="53.25" customHeight="1" x14ac:dyDescent="0.2">
      <c r="A166" s="2365" t="s">
        <v>548</v>
      </c>
      <c r="B166" s="2367" t="s">
        <v>561</v>
      </c>
      <c r="C166" s="1094" t="s">
        <v>207</v>
      </c>
      <c r="D166" s="1452" t="s">
        <v>1498</v>
      </c>
      <c r="E166" s="1104"/>
      <c r="F166" s="1452" t="s">
        <v>1499</v>
      </c>
      <c r="G166" s="1452" t="s">
        <v>224</v>
      </c>
      <c r="H166" s="588"/>
    </row>
    <row r="167" spans="1:8" s="115" customFormat="1" ht="58.5" customHeight="1" x14ac:dyDescent="0.2">
      <c r="A167" s="2369"/>
      <c r="B167" s="2373"/>
      <c r="C167" s="1094" t="s">
        <v>834</v>
      </c>
      <c r="D167" s="1104" t="s">
        <v>867</v>
      </c>
      <c r="E167" s="1459" t="s">
        <v>1521</v>
      </c>
      <c r="F167" s="1104" t="s">
        <v>829</v>
      </c>
      <c r="G167" s="1104" t="s">
        <v>203</v>
      </c>
      <c r="H167" s="588"/>
    </row>
    <row r="168" spans="1:8" s="115" customFormat="1" ht="57" customHeight="1" x14ac:dyDescent="0.2">
      <c r="A168" s="2366"/>
      <c r="B168" s="2368"/>
      <c r="C168" s="1094" t="s">
        <v>1448</v>
      </c>
      <c r="D168" s="1452" t="s">
        <v>1498</v>
      </c>
      <c r="E168" s="1104" t="s">
        <v>330</v>
      </c>
      <c r="F168" s="1104" t="s">
        <v>830</v>
      </c>
      <c r="G168" s="1104" t="s">
        <v>203</v>
      </c>
      <c r="H168" s="589"/>
    </row>
    <row r="169" spans="1:8" s="115" customFormat="1" ht="54" customHeight="1" x14ac:dyDescent="0.2">
      <c r="A169" s="2365" t="s">
        <v>549</v>
      </c>
      <c r="B169" s="2367" t="s">
        <v>562</v>
      </c>
      <c r="C169" s="1094" t="s">
        <v>207</v>
      </c>
      <c r="D169" s="1104" t="s">
        <v>845</v>
      </c>
      <c r="E169" s="1104"/>
      <c r="F169" s="1452" t="s">
        <v>1499</v>
      </c>
      <c r="G169" s="1104" t="s">
        <v>224</v>
      </c>
      <c r="H169" s="111"/>
    </row>
    <row r="170" spans="1:8" s="115" customFormat="1" ht="87.75" customHeight="1" x14ac:dyDescent="0.2">
      <c r="A170" s="2369"/>
      <c r="B170" s="2373"/>
      <c r="C170" s="1094" t="s">
        <v>1502</v>
      </c>
      <c r="D170" s="1104" t="s">
        <v>868</v>
      </c>
      <c r="E170" s="1452" t="s">
        <v>1500</v>
      </c>
      <c r="F170" s="1452" t="s">
        <v>1501</v>
      </c>
      <c r="G170" s="1104" t="s">
        <v>203</v>
      </c>
      <c r="H170" s="589"/>
    </row>
    <row r="171" spans="1:8" s="115" customFormat="1" ht="54.75" customHeight="1" x14ac:dyDescent="0.2">
      <c r="A171" s="2369"/>
      <c r="B171" s="2373"/>
      <c r="C171" s="1094" t="s">
        <v>836</v>
      </c>
      <c r="D171" s="1104" t="s">
        <v>868</v>
      </c>
      <c r="E171" s="1452" t="s">
        <v>917</v>
      </c>
      <c r="F171" s="1104" t="s">
        <v>829</v>
      </c>
      <c r="G171" s="1104" t="s">
        <v>203</v>
      </c>
      <c r="H171" s="589"/>
    </row>
    <row r="172" spans="1:8" s="115" customFormat="1" ht="104.25" customHeight="1" x14ac:dyDescent="0.2">
      <c r="A172" s="2366"/>
      <c r="B172" s="2368"/>
      <c r="C172" s="1094" t="s">
        <v>869</v>
      </c>
      <c r="D172" s="1452" t="s">
        <v>1503</v>
      </c>
      <c r="E172" s="1452" t="s">
        <v>225</v>
      </c>
      <c r="F172" s="1452" t="s">
        <v>1505</v>
      </c>
      <c r="G172" s="1452" t="s">
        <v>1504</v>
      </c>
      <c r="H172" s="589"/>
    </row>
    <row r="173" spans="1:8" s="115" customFormat="1" ht="54" customHeight="1" x14ac:dyDescent="0.2">
      <c r="A173" s="2365" t="s">
        <v>550</v>
      </c>
      <c r="B173" s="2367" t="s">
        <v>563</v>
      </c>
      <c r="C173" s="1094" t="s">
        <v>207</v>
      </c>
      <c r="D173" s="1104" t="s">
        <v>845</v>
      </c>
      <c r="E173" s="1452"/>
      <c r="F173" s="1452" t="s">
        <v>1499</v>
      </c>
      <c r="G173" s="1104" t="s">
        <v>226</v>
      </c>
      <c r="H173" s="589"/>
    </row>
    <row r="174" spans="1:8" s="115" customFormat="1" ht="87.75" customHeight="1" x14ac:dyDescent="0.2">
      <c r="A174" s="2369"/>
      <c r="B174" s="2373"/>
      <c r="C174" s="1094" t="s">
        <v>1502</v>
      </c>
      <c r="D174" s="1104" t="s">
        <v>871</v>
      </c>
      <c r="E174" s="1452" t="s">
        <v>1500</v>
      </c>
      <c r="F174" s="1452" t="s">
        <v>1501</v>
      </c>
      <c r="G174" s="1104" t="s">
        <v>203</v>
      </c>
      <c r="H174" s="589"/>
    </row>
    <row r="175" spans="1:8" s="115" customFormat="1" ht="59.25" customHeight="1" x14ac:dyDescent="0.2">
      <c r="A175" s="2369"/>
      <c r="B175" s="2373"/>
      <c r="C175" s="1094" t="s">
        <v>836</v>
      </c>
      <c r="D175" s="1104" t="s">
        <v>872</v>
      </c>
      <c r="E175" s="1104" t="s">
        <v>917</v>
      </c>
      <c r="F175" s="1104" t="s">
        <v>829</v>
      </c>
      <c r="G175" s="1104" t="s">
        <v>203</v>
      </c>
      <c r="H175" s="589"/>
    </row>
    <row r="176" spans="1:8" s="115" customFormat="1" ht="75.75" customHeight="1" x14ac:dyDescent="0.2">
      <c r="A176" s="2369"/>
      <c r="B176" s="2373"/>
      <c r="C176" s="1094" t="s">
        <v>869</v>
      </c>
      <c r="D176" s="1104" t="s">
        <v>871</v>
      </c>
      <c r="E176" s="1104" t="s">
        <v>225</v>
      </c>
      <c r="F176" s="1104" t="s">
        <v>870</v>
      </c>
      <c r="G176" s="1104" t="s">
        <v>203</v>
      </c>
      <c r="H176" s="588"/>
    </row>
    <row r="177" spans="1:20" s="115" customFormat="1" ht="50.25" customHeight="1" x14ac:dyDescent="0.2">
      <c r="A177" s="2366"/>
      <c r="B177" s="2368"/>
      <c r="C177" s="1094" t="s">
        <v>1507</v>
      </c>
      <c r="D177" s="1452" t="s">
        <v>1506</v>
      </c>
      <c r="E177" s="1459" t="s">
        <v>1521</v>
      </c>
      <c r="F177" s="1452" t="s">
        <v>1508</v>
      </c>
      <c r="G177" s="1452" t="s">
        <v>203</v>
      </c>
      <c r="H177" s="1451"/>
    </row>
    <row r="178" spans="1:20" s="115" customFormat="1" ht="18.75" customHeight="1" x14ac:dyDescent="0.2">
      <c r="A178" s="2365" t="s">
        <v>551</v>
      </c>
      <c r="B178" s="2367" t="s">
        <v>1510</v>
      </c>
      <c r="C178" s="1094" t="s">
        <v>207</v>
      </c>
      <c r="D178" s="1452" t="s">
        <v>845</v>
      </c>
      <c r="E178" s="1452"/>
      <c r="F178" s="1452" t="s">
        <v>1472</v>
      </c>
      <c r="G178" s="1452" t="s">
        <v>208</v>
      </c>
      <c r="H178" s="589"/>
    </row>
    <row r="179" spans="1:20" s="115" customFormat="1" ht="84.75" customHeight="1" x14ac:dyDescent="0.2">
      <c r="A179" s="2369"/>
      <c r="B179" s="2373"/>
      <c r="C179" s="1094" t="s">
        <v>1502</v>
      </c>
      <c r="D179" s="1452" t="s">
        <v>1551</v>
      </c>
      <c r="E179" s="1452" t="s">
        <v>1509</v>
      </c>
      <c r="F179" s="1452" t="s">
        <v>1501</v>
      </c>
      <c r="G179" s="1452" t="s">
        <v>203</v>
      </c>
      <c r="H179" s="588"/>
    </row>
    <row r="180" spans="1:20" s="115" customFormat="1" ht="62.25" customHeight="1" x14ac:dyDescent="0.2">
      <c r="A180" s="2369"/>
      <c r="B180" s="2373"/>
      <c r="C180" s="1094" t="s">
        <v>834</v>
      </c>
      <c r="D180" s="1104" t="s">
        <v>873</v>
      </c>
      <c r="E180" s="1104" t="s">
        <v>223</v>
      </c>
      <c r="F180" s="1104" t="s">
        <v>829</v>
      </c>
      <c r="G180" s="1104" t="s">
        <v>203</v>
      </c>
      <c r="H180" s="588"/>
    </row>
    <row r="181" spans="1:20" s="115" customFormat="1" ht="55.5" customHeight="1" x14ac:dyDescent="0.2">
      <c r="A181" s="2366"/>
      <c r="B181" s="2368"/>
      <c r="C181" s="1094" t="s">
        <v>1448</v>
      </c>
      <c r="D181" s="1104" t="s">
        <v>874</v>
      </c>
      <c r="E181" s="1459" t="s">
        <v>1521</v>
      </c>
      <c r="F181" s="1104" t="s">
        <v>830</v>
      </c>
      <c r="G181" s="1459" t="s">
        <v>184</v>
      </c>
      <c r="H181" s="589"/>
    </row>
    <row r="182" spans="1:20" s="115" customFormat="1" ht="24.75" customHeight="1" x14ac:dyDescent="0.2">
      <c r="A182" s="2365" t="s">
        <v>552</v>
      </c>
      <c r="B182" s="2367" t="s">
        <v>1514</v>
      </c>
      <c r="C182" s="1094" t="s">
        <v>207</v>
      </c>
      <c r="D182" s="1452" t="s">
        <v>845</v>
      </c>
      <c r="E182" s="1452"/>
      <c r="F182" s="1452" t="s">
        <v>1472</v>
      </c>
      <c r="G182" s="1452" t="s">
        <v>208</v>
      </c>
      <c r="H182" s="1450"/>
    </row>
    <row r="183" spans="1:20" s="115" customFormat="1" ht="55.5" customHeight="1" x14ac:dyDescent="0.2">
      <c r="A183" s="2369"/>
      <c r="B183" s="2373"/>
      <c r="C183" s="1094" t="s">
        <v>1502</v>
      </c>
      <c r="D183" s="1469" t="s">
        <v>1551</v>
      </c>
      <c r="E183" s="1452" t="s">
        <v>1509</v>
      </c>
      <c r="F183" s="1452" t="s">
        <v>1501</v>
      </c>
      <c r="G183" s="1452" t="s">
        <v>203</v>
      </c>
      <c r="H183" s="1450"/>
    </row>
    <row r="184" spans="1:20" s="115" customFormat="1" ht="55.5" customHeight="1" x14ac:dyDescent="0.2">
      <c r="A184" s="2369"/>
      <c r="B184" s="2373"/>
      <c r="C184" s="1094" t="s">
        <v>834</v>
      </c>
      <c r="D184" s="1469" t="s">
        <v>873</v>
      </c>
      <c r="E184" s="1452" t="s">
        <v>223</v>
      </c>
      <c r="F184" s="1452" t="s">
        <v>829</v>
      </c>
      <c r="G184" s="1452" t="s">
        <v>203</v>
      </c>
      <c r="H184" s="1450"/>
    </row>
    <row r="185" spans="1:20" s="115" customFormat="1" ht="55.5" customHeight="1" x14ac:dyDescent="0.2">
      <c r="A185" s="2366"/>
      <c r="B185" s="2368"/>
      <c r="C185" s="1094" t="s">
        <v>1448</v>
      </c>
      <c r="D185" s="1469" t="s">
        <v>874</v>
      </c>
      <c r="E185" s="1459" t="s">
        <v>1521</v>
      </c>
      <c r="F185" s="1452" t="s">
        <v>830</v>
      </c>
      <c r="G185" s="1452" t="s">
        <v>184</v>
      </c>
      <c r="H185" s="1450"/>
    </row>
    <row r="186" spans="1:20" s="115" customFormat="1" ht="28.5" customHeight="1" x14ac:dyDescent="0.2">
      <c r="A186" s="2365" t="s">
        <v>488</v>
      </c>
      <c r="B186" s="2367" t="s">
        <v>564</v>
      </c>
      <c r="C186" s="1094" t="s">
        <v>207</v>
      </c>
      <c r="D186" s="1104" t="s">
        <v>227</v>
      </c>
      <c r="E186" s="1104"/>
      <c r="F186" s="1452" t="s">
        <v>1472</v>
      </c>
      <c r="G186" s="1104" t="s">
        <v>208</v>
      </c>
      <c r="H186" s="589"/>
    </row>
    <row r="187" spans="1:20" s="115" customFormat="1" ht="117" customHeight="1" x14ac:dyDescent="0.2">
      <c r="A187" s="2366"/>
      <c r="B187" s="2368"/>
      <c r="C187" s="1094" t="s">
        <v>1449</v>
      </c>
      <c r="D187" s="1104" t="s">
        <v>227</v>
      </c>
      <c r="E187" s="1452" t="s">
        <v>1511</v>
      </c>
      <c r="F187" s="1452" t="s">
        <v>1450</v>
      </c>
      <c r="G187" s="1104" t="s">
        <v>203</v>
      </c>
      <c r="H187" s="588"/>
    </row>
    <row r="188" spans="1:20" s="115" customFormat="1" ht="33.75" customHeight="1" x14ac:dyDescent="0.2">
      <c r="A188" s="2365" t="s">
        <v>1513</v>
      </c>
      <c r="B188" s="2367" t="s">
        <v>1512</v>
      </c>
      <c r="C188" s="1094" t="s">
        <v>207</v>
      </c>
      <c r="D188" s="1452" t="s">
        <v>210</v>
      </c>
      <c r="E188" s="1104"/>
      <c r="F188" s="1452" t="s">
        <v>1474</v>
      </c>
      <c r="G188" s="1104" t="s">
        <v>203</v>
      </c>
      <c r="H188" s="588"/>
    </row>
    <row r="189" spans="1:20" s="115" customFormat="1" ht="66.75" customHeight="1" x14ac:dyDescent="0.25">
      <c r="A189" s="2366"/>
      <c r="B189" s="2368"/>
      <c r="C189" s="1094" t="s">
        <v>840</v>
      </c>
      <c r="D189" s="1452" t="s">
        <v>210</v>
      </c>
      <c r="E189" s="1104">
        <v>0.5</v>
      </c>
      <c r="F189" s="1452" t="s">
        <v>841</v>
      </c>
      <c r="G189" s="1104" t="s">
        <v>203</v>
      </c>
      <c r="H189" s="589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7"/>
    </row>
    <row r="190" spans="1:20" ht="33" customHeight="1" x14ac:dyDescent="0.25">
      <c r="A190" s="2386" t="s">
        <v>1515</v>
      </c>
      <c r="B190" s="2386"/>
      <c r="C190" s="2386"/>
      <c r="D190" s="2386"/>
      <c r="E190" s="2386"/>
      <c r="F190" s="2386"/>
      <c r="G190" s="2386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387"/>
      <c r="B191" s="2387"/>
      <c r="C191" s="2387"/>
      <c r="D191" s="2387"/>
      <c r="E191" s="2387"/>
      <c r="F191" s="2387"/>
      <c r="G191" s="2387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387"/>
      <c r="B192" s="2387"/>
      <c r="C192" s="2387"/>
      <c r="D192" s="2387"/>
      <c r="E192" s="2387"/>
      <c r="F192" s="2387"/>
      <c r="G192" s="2387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387"/>
      <c r="B193" s="2387"/>
      <c r="C193" s="2387"/>
      <c r="D193" s="2387"/>
      <c r="E193" s="2387"/>
      <c r="F193" s="2387"/>
      <c r="G193" s="2387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387"/>
      <c r="B194" s="2387"/>
      <c r="C194" s="2387"/>
      <c r="D194" s="2387"/>
      <c r="E194" s="2387"/>
      <c r="F194" s="2387"/>
      <c r="G194" s="2387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387"/>
      <c r="B195" s="2387"/>
      <c r="C195" s="2387"/>
      <c r="D195" s="2387"/>
      <c r="E195" s="2387"/>
      <c r="F195" s="2387"/>
      <c r="G195" s="2387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387"/>
      <c r="B196" s="2387"/>
      <c r="C196" s="2387"/>
      <c r="D196" s="2387"/>
      <c r="E196" s="2387"/>
      <c r="F196" s="2387"/>
      <c r="G196" s="2387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388" t="s">
        <v>352</v>
      </c>
      <c r="B197" s="2389"/>
      <c r="C197" s="2389"/>
      <c r="D197" s="2389"/>
      <c r="E197" s="2389"/>
      <c r="F197" s="2389"/>
      <c r="G197" s="2389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390" t="s">
        <v>925</v>
      </c>
      <c r="B198" s="2391"/>
      <c r="C198" s="2391"/>
      <c r="D198" s="2391"/>
      <c r="E198" s="2391"/>
      <c r="F198" s="2391"/>
      <c r="G198" s="239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5"/>
      <c r="B199" s="601"/>
      <c r="C199" s="685"/>
      <c r="D199" s="603"/>
      <c r="E199" s="604"/>
      <c r="F199" s="604"/>
      <c r="G199" s="604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6" t="s">
        <v>191</v>
      </c>
      <c r="B200" s="2392" t="s">
        <v>229</v>
      </c>
      <c r="C200" s="2395" t="s">
        <v>230</v>
      </c>
      <c r="D200" s="2392" t="s">
        <v>231</v>
      </c>
      <c r="E200" s="2392" t="s">
        <v>232</v>
      </c>
      <c r="F200" s="2392" t="s">
        <v>193</v>
      </c>
      <c r="G200" s="687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8" t="s">
        <v>192</v>
      </c>
      <c r="B201" s="2393"/>
      <c r="C201" s="2396"/>
      <c r="D201" s="2393"/>
      <c r="E201" s="2393"/>
      <c r="F201" s="2393"/>
      <c r="G201" s="689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0"/>
      <c r="B202" s="2394"/>
      <c r="C202" s="2397"/>
      <c r="D202" s="2394"/>
      <c r="E202" s="2394"/>
      <c r="F202" s="2394"/>
      <c r="G202" s="680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1">
        <v>1</v>
      </c>
      <c r="B203" s="692">
        <v>2</v>
      </c>
      <c r="C203" s="693">
        <v>3</v>
      </c>
      <c r="D203" s="694">
        <v>4</v>
      </c>
      <c r="E203" s="695">
        <v>5</v>
      </c>
      <c r="F203" s="696">
        <v>6</v>
      </c>
      <c r="G203" s="697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398">
        <v>1</v>
      </c>
      <c r="B204" s="2400" t="s">
        <v>926</v>
      </c>
      <c r="C204" s="698" t="s">
        <v>207</v>
      </c>
      <c r="D204" s="606" t="s">
        <v>212</v>
      </c>
      <c r="E204" s="606"/>
      <c r="F204" s="699"/>
      <c r="G204" s="700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399"/>
      <c r="B205" s="2401"/>
      <c r="C205" s="701" t="s">
        <v>928</v>
      </c>
      <c r="D205" s="606" t="s">
        <v>212</v>
      </c>
      <c r="E205" s="702">
        <v>8.5</v>
      </c>
      <c r="F205" s="939" t="s">
        <v>1060</v>
      </c>
      <c r="G205" s="703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398">
        <v>2</v>
      </c>
      <c r="B206" s="2400" t="s">
        <v>930</v>
      </c>
      <c r="C206" s="698" t="s">
        <v>207</v>
      </c>
      <c r="D206" s="606" t="s">
        <v>205</v>
      </c>
      <c r="E206" s="614"/>
      <c r="F206" s="683"/>
      <c r="G206" s="700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399"/>
      <c r="B207" s="2401"/>
      <c r="C207" s="701" t="s">
        <v>931</v>
      </c>
      <c r="D207" s="606" t="s">
        <v>205</v>
      </c>
      <c r="E207" s="702">
        <v>84</v>
      </c>
      <c r="F207" s="939" t="s">
        <v>1061</v>
      </c>
      <c r="G207" s="606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21">
        <v>3</v>
      </c>
      <c r="B208" s="2400" t="s">
        <v>933</v>
      </c>
      <c r="C208" s="607" t="s">
        <v>207</v>
      </c>
      <c r="D208" s="606" t="s">
        <v>879</v>
      </c>
      <c r="E208" s="614"/>
      <c r="F208" s="683"/>
      <c r="G208" s="606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22"/>
      <c r="B209" s="2424"/>
      <c r="C209" s="607" t="s">
        <v>934</v>
      </c>
      <c r="D209" s="606" t="s">
        <v>879</v>
      </c>
      <c r="E209" s="704">
        <v>99</v>
      </c>
      <c r="F209" s="684" t="s">
        <v>948</v>
      </c>
      <c r="G209" s="2398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22"/>
      <c r="B210" s="2424"/>
      <c r="C210" s="607" t="s">
        <v>936</v>
      </c>
      <c r="D210" s="606" t="s">
        <v>879</v>
      </c>
      <c r="E210" s="614" t="s">
        <v>355</v>
      </c>
      <c r="F210" s="684" t="s">
        <v>949</v>
      </c>
      <c r="G210" s="2425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23"/>
      <c r="B211" s="2401"/>
      <c r="C211" s="607" t="s">
        <v>353</v>
      </c>
      <c r="D211" s="606" t="s">
        <v>842</v>
      </c>
      <c r="E211" s="705">
        <v>3.0000000000000001E-3</v>
      </c>
      <c r="F211" s="610" t="s">
        <v>937</v>
      </c>
      <c r="G211" s="2426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398">
        <v>4</v>
      </c>
      <c r="B212" s="2400" t="s">
        <v>938</v>
      </c>
      <c r="C212" s="698" t="s">
        <v>207</v>
      </c>
      <c r="D212" s="606" t="s">
        <v>205</v>
      </c>
      <c r="E212" s="614"/>
      <c r="F212" s="683"/>
      <c r="G212" s="700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399"/>
      <c r="B213" s="2401"/>
      <c r="C213" s="701" t="s">
        <v>939</v>
      </c>
      <c r="D213" s="606" t="s">
        <v>205</v>
      </c>
      <c r="E213" s="702">
        <v>75</v>
      </c>
      <c r="F213" s="939" t="s">
        <v>1062</v>
      </c>
      <c r="G213" s="606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398">
        <v>5</v>
      </c>
      <c r="B214" s="2400" t="s">
        <v>940</v>
      </c>
      <c r="C214" s="698" t="s">
        <v>207</v>
      </c>
      <c r="D214" s="606" t="s">
        <v>205</v>
      </c>
      <c r="E214" s="614"/>
      <c r="F214" s="683"/>
      <c r="G214" s="700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399"/>
      <c r="B215" s="2401"/>
      <c r="C215" s="701" t="s">
        <v>939</v>
      </c>
      <c r="D215" s="606" t="s">
        <v>205</v>
      </c>
      <c r="E215" s="702">
        <v>85</v>
      </c>
      <c r="F215" s="939" t="s">
        <v>1063</v>
      </c>
      <c r="G215" s="703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6"/>
      <c r="B216" s="707"/>
      <c r="C216" s="708"/>
      <c r="D216" s="708"/>
      <c r="E216" s="706"/>
      <c r="F216" s="706"/>
      <c r="G216" s="706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02" t="s">
        <v>941</v>
      </c>
      <c r="B217" s="2403"/>
      <c r="C217" s="2403"/>
      <c r="D217" s="2403"/>
      <c r="E217" s="2403"/>
      <c r="F217" s="2403"/>
      <c r="G217" s="240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04" t="s">
        <v>942</v>
      </c>
      <c r="B218" s="2405"/>
      <c r="C218" s="2405"/>
      <c r="D218" s="2405"/>
      <c r="E218" s="2405"/>
      <c r="F218" s="2405"/>
      <c r="G218" s="2405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04" t="s">
        <v>943</v>
      </c>
      <c r="B219" s="2405"/>
      <c r="C219" s="2405"/>
      <c r="D219" s="2405"/>
      <c r="E219" s="2405"/>
      <c r="F219" s="2405"/>
      <c r="G219" s="2405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04" t="s">
        <v>944</v>
      </c>
      <c r="B220" s="2405"/>
      <c r="C220" s="2405"/>
      <c r="D220" s="2405"/>
      <c r="E220" s="2405"/>
      <c r="F220" s="2405"/>
      <c r="G220" s="2405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0"/>
      <c r="B221" s="602" t="s">
        <v>352</v>
      </c>
      <c r="C221" s="612"/>
      <c r="D221" s="611"/>
      <c r="E221" s="611" t="s">
        <v>970</v>
      </c>
      <c r="F221" s="611"/>
      <c r="G221" s="709"/>
    </row>
    <row r="222" spans="1:19" ht="18.75" x14ac:dyDescent="0.3">
      <c r="A222" s="613"/>
      <c r="B222" s="710" t="s">
        <v>356</v>
      </c>
      <c r="C222" s="711"/>
      <c r="D222" s="712"/>
      <c r="E222" s="712"/>
      <c r="F222" s="712"/>
      <c r="G222" s="709"/>
    </row>
    <row r="223" spans="1:19" ht="15.75" x14ac:dyDescent="0.2">
      <c r="A223" s="686" t="s">
        <v>191</v>
      </c>
      <c r="B223" s="2392" t="s">
        <v>229</v>
      </c>
      <c r="C223" s="2408" t="s">
        <v>230</v>
      </c>
      <c r="D223" s="2411" t="s">
        <v>231</v>
      </c>
      <c r="E223" s="2411" t="s">
        <v>232</v>
      </c>
      <c r="F223" s="2411" t="s">
        <v>193</v>
      </c>
      <c r="G223" s="687" t="s">
        <v>194</v>
      </c>
    </row>
    <row r="224" spans="1:19" ht="15.75" x14ac:dyDescent="0.2">
      <c r="A224" s="688" t="s">
        <v>192</v>
      </c>
      <c r="B224" s="2406"/>
      <c r="C224" s="2409"/>
      <c r="D224" s="2412"/>
      <c r="E224" s="2409"/>
      <c r="F224" s="2409"/>
      <c r="G224" s="689" t="s">
        <v>195</v>
      </c>
    </row>
    <row r="225" spans="1:8" ht="15.75" x14ac:dyDescent="0.2">
      <c r="A225" s="690"/>
      <c r="B225" s="2407"/>
      <c r="C225" s="2410"/>
      <c r="D225" s="2413"/>
      <c r="E225" s="2410"/>
      <c r="F225" s="2410"/>
      <c r="G225" s="713"/>
    </row>
    <row r="226" spans="1:8" ht="54.75" customHeight="1" x14ac:dyDescent="0.2">
      <c r="A226" s="2418" t="s">
        <v>946</v>
      </c>
      <c r="B226" s="2400" t="s">
        <v>357</v>
      </c>
      <c r="C226" s="607" t="s">
        <v>358</v>
      </c>
      <c r="D226" s="606" t="s">
        <v>879</v>
      </c>
      <c r="E226" s="714">
        <v>99</v>
      </c>
      <c r="F226" s="703" t="s">
        <v>950</v>
      </c>
      <c r="G226" s="2416" t="s">
        <v>932</v>
      </c>
    </row>
    <row r="227" spans="1:8" ht="51" customHeight="1" x14ac:dyDescent="0.2">
      <c r="A227" s="2419"/>
      <c r="B227" s="2414"/>
      <c r="C227" s="607" t="s">
        <v>359</v>
      </c>
      <c r="D227" s="606" t="s">
        <v>879</v>
      </c>
      <c r="E227" s="606" t="s">
        <v>360</v>
      </c>
      <c r="F227" s="715" t="s">
        <v>951</v>
      </c>
      <c r="G227" s="2417"/>
    </row>
    <row r="228" spans="1:8" ht="48" customHeight="1" x14ac:dyDescent="0.2">
      <c r="A228" s="2420"/>
      <c r="B228" s="2415"/>
      <c r="C228" s="607" t="s">
        <v>353</v>
      </c>
      <c r="D228" s="606" t="s">
        <v>879</v>
      </c>
      <c r="E228" s="614">
        <v>5.0000000000000001E-3</v>
      </c>
      <c r="F228" s="716" t="s">
        <v>952</v>
      </c>
      <c r="G228" s="2417"/>
    </row>
    <row r="229" spans="1:8" x14ac:dyDescent="0.25">
      <c r="A229" s="717" t="s">
        <v>945</v>
      </c>
      <c r="B229" s="718"/>
      <c r="C229" s="718"/>
      <c r="D229" s="719"/>
      <c r="E229" s="719"/>
      <c r="F229" s="719"/>
      <c r="G229" s="719"/>
    </row>
    <row r="230" spans="1:8" ht="15.75" x14ac:dyDescent="0.25">
      <c r="A230" s="600"/>
      <c r="B230" s="601"/>
      <c r="C230" s="603"/>
      <c r="D230" s="603"/>
      <c r="E230" s="604"/>
      <c r="F230" s="604"/>
      <c r="G230" s="604"/>
    </row>
    <row r="231" spans="1:8" ht="18.75" x14ac:dyDescent="0.3">
      <c r="A231" s="600"/>
      <c r="B231" s="681" t="s">
        <v>374</v>
      </c>
      <c r="C231" s="681"/>
      <c r="D231" s="681"/>
      <c r="E231" s="681"/>
      <c r="F231" s="681"/>
      <c r="G231" s="681"/>
    </row>
    <row r="232" spans="1:8" ht="18.75" x14ac:dyDescent="0.3">
      <c r="A232" s="600"/>
      <c r="B232" s="682" t="s">
        <v>379</v>
      </c>
      <c r="C232" s="682"/>
      <c r="D232" s="682"/>
      <c r="E232" s="682"/>
      <c r="F232" s="682"/>
      <c r="G232" s="682"/>
    </row>
    <row r="233" spans="1:8" ht="15.75" x14ac:dyDescent="0.2">
      <c r="A233" s="686" t="s">
        <v>191</v>
      </c>
      <c r="B233" s="2384" t="s">
        <v>229</v>
      </c>
      <c r="C233" s="2384" t="s">
        <v>230</v>
      </c>
      <c r="D233" s="2384" t="s">
        <v>231</v>
      </c>
      <c r="E233" s="2384" t="s">
        <v>232</v>
      </c>
      <c r="F233" s="2384" t="s">
        <v>193</v>
      </c>
      <c r="G233" s="686" t="s">
        <v>194</v>
      </c>
      <c r="H233" s="722"/>
    </row>
    <row r="234" spans="1:8" ht="15.75" x14ac:dyDescent="0.2">
      <c r="A234" s="688" t="s">
        <v>192</v>
      </c>
      <c r="B234" s="2385"/>
      <c r="C234" s="2385"/>
      <c r="D234" s="2384"/>
      <c r="E234" s="2385"/>
      <c r="F234" s="2385"/>
      <c r="G234" s="688" t="s">
        <v>195</v>
      </c>
      <c r="H234" s="722"/>
    </row>
    <row r="235" spans="1:8" ht="15.75" x14ac:dyDescent="0.2">
      <c r="A235" s="680"/>
      <c r="B235" s="2385"/>
      <c r="C235" s="2385"/>
      <c r="D235" s="2384"/>
      <c r="E235" s="2385"/>
      <c r="F235" s="2385"/>
      <c r="G235" s="680"/>
      <c r="H235" s="722"/>
    </row>
    <row r="236" spans="1:8" ht="46.5" customHeight="1" x14ac:dyDescent="0.25">
      <c r="A236" s="615">
        <v>1</v>
      </c>
      <c r="B236" s="616" t="s">
        <v>375</v>
      </c>
      <c r="C236" s="617" t="s">
        <v>376</v>
      </c>
      <c r="D236" s="720" t="s">
        <v>212</v>
      </c>
      <c r="E236" s="618">
        <v>0.5</v>
      </c>
      <c r="F236" s="680" t="s">
        <v>947</v>
      </c>
      <c r="G236" s="680" t="s">
        <v>932</v>
      </c>
    </row>
    <row r="237" spans="1:8" ht="47.25" x14ac:dyDescent="0.25">
      <c r="A237" s="619">
        <v>2</v>
      </c>
      <c r="B237" s="608" t="s">
        <v>377</v>
      </c>
      <c r="C237" s="609" t="s">
        <v>378</v>
      </c>
      <c r="D237" s="721" t="s">
        <v>227</v>
      </c>
      <c r="E237" s="620">
        <v>0.5</v>
      </c>
      <c r="F237" s="680" t="s">
        <v>947</v>
      </c>
      <c r="G237" s="610" t="s">
        <v>932</v>
      </c>
    </row>
    <row r="238" spans="1:8" ht="15.75" x14ac:dyDescent="0.25">
      <c r="A238" s="600"/>
      <c r="B238" s="601"/>
      <c r="C238" s="603"/>
      <c r="D238" s="603"/>
      <c r="E238" s="604"/>
      <c r="F238" s="604"/>
      <c r="G238" s="604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88"/>
    <col min="2" max="2" width="47.42578125" style="1498" customWidth="1"/>
    <col min="3" max="3" width="49.5703125" style="1498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88" customWidth="1"/>
    <col min="8" max="16384" width="9.140625" style="587"/>
  </cols>
  <sheetData>
    <row r="1" spans="1:8" ht="28.5" customHeight="1" x14ac:dyDescent="0.2">
      <c r="A1" s="2444" t="s">
        <v>1568</v>
      </c>
      <c r="B1" s="2444"/>
      <c r="C1" s="2444"/>
      <c r="D1" s="2444"/>
      <c r="E1" s="2444"/>
      <c r="F1" s="2444"/>
      <c r="G1" s="2444"/>
      <c r="H1" s="1155"/>
    </row>
    <row r="2" spans="1:8" ht="24" customHeight="1" x14ac:dyDescent="0.2">
      <c r="A2" s="2444"/>
      <c r="B2" s="2444"/>
      <c r="C2" s="2444"/>
      <c r="D2" s="2444"/>
      <c r="E2" s="2444"/>
      <c r="F2" s="2444"/>
      <c r="G2" s="2444"/>
    </row>
    <row r="3" spans="1:8" ht="29.25" customHeight="1" x14ac:dyDescent="0.3">
      <c r="A3" s="2444"/>
      <c r="B3" s="2444"/>
      <c r="C3" s="2444"/>
      <c r="D3" s="2444"/>
      <c r="E3" s="2444"/>
      <c r="F3" s="2444"/>
      <c r="G3" s="2444"/>
      <c r="H3" s="78" t="s">
        <v>1570</v>
      </c>
    </row>
    <row r="4" spans="1:8" ht="24.75" customHeight="1" x14ac:dyDescent="0.2">
      <c r="A4" s="2429" t="s">
        <v>131</v>
      </c>
      <c r="B4" s="2427" t="s">
        <v>311</v>
      </c>
      <c r="C4" s="2427" t="s">
        <v>312</v>
      </c>
      <c r="D4" s="2427" t="s">
        <v>313</v>
      </c>
      <c r="E4" s="2427"/>
      <c r="F4" s="2427" t="s">
        <v>314</v>
      </c>
      <c r="G4" s="2427" t="s">
        <v>446</v>
      </c>
    </row>
    <row r="5" spans="1:8" ht="38.25" customHeight="1" x14ac:dyDescent="0.2">
      <c r="A5" s="2431"/>
      <c r="B5" s="2427"/>
      <c r="C5" s="2427"/>
      <c r="D5" s="1089" t="s">
        <v>316</v>
      </c>
      <c r="E5" s="1089" t="s">
        <v>317</v>
      </c>
      <c r="F5" s="2427"/>
      <c r="G5" s="2427"/>
    </row>
    <row r="6" spans="1:8" ht="22.5" customHeight="1" x14ac:dyDescent="0.2">
      <c r="A6" s="1493">
        <v>1</v>
      </c>
      <c r="B6" s="1484">
        <v>2</v>
      </c>
      <c r="C6" s="1484">
        <v>3</v>
      </c>
      <c r="D6" s="1484">
        <v>4</v>
      </c>
      <c r="E6" s="1484">
        <v>5</v>
      </c>
      <c r="F6" s="1484">
        <v>6</v>
      </c>
      <c r="G6" s="1484">
        <v>7</v>
      </c>
    </row>
    <row r="7" spans="1:8" ht="95.25" customHeight="1" x14ac:dyDescent="0.2">
      <c r="A7" s="1484" t="s">
        <v>318</v>
      </c>
      <c r="B7" s="1485" t="s">
        <v>1569</v>
      </c>
      <c r="C7" s="1494" t="s">
        <v>1459</v>
      </c>
      <c r="D7" s="1090">
        <v>0.8</v>
      </c>
      <c r="E7" s="1090">
        <v>0.8</v>
      </c>
      <c r="F7" s="1089" t="s">
        <v>205</v>
      </c>
      <c r="G7" s="1089" t="s">
        <v>203</v>
      </c>
    </row>
    <row r="8" spans="1:8" ht="37.5" customHeight="1" x14ac:dyDescent="0.2">
      <c r="A8" s="2427" t="s">
        <v>319</v>
      </c>
      <c r="B8" s="2427" t="s">
        <v>1571</v>
      </c>
      <c r="C8" s="1484" t="s">
        <v>1576</v>
      </c>
      <c r="D8" s="1089" t="s">
        <v>902</v>
      </c>
      <c r="E8" s="1089" t="s">
        <v>902</v>
      </c>
      <c r="F8" s="1089" t="s">
        <v>209</v>
      </c>
      <c r="G8" s="1089" t="s">
        <v>203</v>
      </c>
    </row>
    <row r="9" spans="1:8" ht="39" customHeight="1" x14ac:dyDescent="0.2">
      <c r="A9" s="2427"/>
      <c r="B9" s="2427"/>
      <c r="C9" s="1484" t="s">
        <v>472</v>
      </c>
      <c r="D9" s="1091">
        <v>8</v>
      </c>
      <c r="E9" s="1091">
        <v>8</v>
      </c>
      <c r="F9" s="1089" t="s">
        <v>212</v>
      </c>
      <c r="G9" s="1089" t="s">
        <v>203</v>
      </c>
    </row>
    <row r="10" spans="1:8" ht="93.75" customHeight="1" x14ac:dyDescent="0.2">
      <c r="A10" s="2427"/>
      <c r="B10" s="2427"/>
      <c r="C10" s="1494" t="s">
        <v>1459</v>
      </c>
      <c r="D10" s="1090">
        <v>0.8</v>
      </c>
      <c r="E10" s="1092" t="s">
        <v>477</v>
      </c>
      <c r="F10" s="1089" t="s">
        <v>205</v>
      </c>
      <c r="G10" s="1089" t="s">
        <v>203</v>
      </c>
    </row>
    <row r="11" spans="1:8" ht="40.5" customHeight="1" x14ac:dyDescent="0.2">
      <c r="A11" s="2427" t="s">
        <v>320</v>
      </c>
      <c r="B11" s="2428" t="s">
        <v>1572</v>
      </c>
      <c r="C11" s="1484" t="s">
        <v>473</v>
      </c>
      <c r="D11" s="1091">
        <v>90</v>
      </c>
      <c r="E11" s="1091">
        <v>90</v>
      </c>
      <c r="F11" s="1089" t="s">
        <v>210</v>
      </c>
      <c r="G11" s="1089" t="s">
        <v>203</v>
      </c>
    </row>
    <row r="12" spans="1:8" ht="76.5" customHeight="1" x14ac:dyDescent="0.3">
      <c r="A12" s="2427"/>
      <c r="B12" s="2428"/>
      <c r="C12" s="1495" t="s">
        <v>1577</v>
      </c>
      <c r="D12" s="1089" t="s">
        <v>918</v>
      </c>
      <c r="E12" s="1089" t="s">
        <v>918</v>
      </c>
      <c r="F12" s="1089" t="s">
        <v>209</v>
      </c>
      <c r="G12" s="1089" t="s">
        <v>203</v>
      </c>
    </row>
    <row r="13" spans="1:8" ht="39" customHeight="1" x14ac:dyDescent="0.2">
      <c r="A13" s="1484" t="s">
        <v>321</v>
      </c>
      <c r="B13" s="1484" t="s">
        <v>1573</v>
      </c>
      <c r="C13" s="1484" t="s">
        <v>322</v>
      </c>
      <c r="D13" s="1484" t="s">
        <v>323</v>
      </c>
      <c r="E13" s="1484" t="s">
        <v>323</v>
      </c>
      <c r="F13" s="1089" t="s">
        <v>210</v>
      </c>
      <c r="G13" s="1089" t="s">
        <v>203</v>
      </c>
    </row>
    <row r="14" spans="1:8" ht="112.5" customHeight="1" x14ac:dyDescent="0.2">
      <c r="A14" s="2427" t="s">
        <v>324</v>
      </c>
      <c r="B14" s="2429" t="s">
        <v>1574</v>
      </c>
      <c r="C14" s="1484" t="s">
        <v>1575</v>
      </c>
      <c r="D14" s="1093" t="s">
        <v>1578</v>
      </c>
      <c r="E14" s="1093" t="s">
        <v>1578</v>
      </c>
      <c r="F14" s="1089" t="s">
        <v>835</v>
      </c>
      <c r="G14" s="1089" t="s">
        <v>203</v>
      </c>
    </row>
    <row r="15" spans="1:8" ht="58.5" customHeight="1" x14ac:dyDescent="0.2">
      <c r="A15" s="2427"/>
      <c r="B15" s="2430"/>
      <c r="C15" s="1496" t="s">
        <v>1579</v>
      </c>
      <c r="D15" s="1093" t="s">
        <v>919</v>
      </c>
      <c r="E15" s="1093" t="s">
        <v>919</v>
      </c>
      <c r="F15" s="1093" t="s">
        <v>876</v>
      </c>
      <c r="G15" s="1089" t="s">
        <v>203</v>
      </c>
    </row>
    <row r="16" spans="1:8" ht="45" customHeight="1" x14ac:dyDescent="0.2">
      <c r="A16" s="2427"/>
      <c r="B16" s="2430"/>
      <c r="C16" s="1496" t="s">
        <v>1580</v>
      </c>
      <c r="D16" s="1093" t="s">
        <v>475</v>
      </c>
      <c r="E16" s="1093" t="s">
        <v>475</v>
      </c>
      <c r="F16" s="1089" t="s">
        <v>210</v>
      </c>
      <c r="G16" s="1089" t="s">
        <v>203</v>
      </c>
    </row>
    <row r="17" spans="1:7" ht="27" customHeight="1" x14ac:dyDescent="0.2">
      <c r="A17" s="2427"/>
      <c r="B17" s="2431"/>
      <c r="C17" s="1484" t="s">
        <v>346</v>
      </c>
      <c r="D17" s="1093">
        <v>70</v>
      </c>
      <c r="E17" s="1093">
        <v>70</v>
      </c>
      <c r="F17" s="1089" t="s">
        <v>210</v>
      </c>
      <c r="G17" s="1089" t="s">
        <v>203</v>
      </c>
    </row>
    <row r="18" spans="1:7" ht="39" x14ac:dyDescent="0.2">
      <c r="A18" s="1484" t="s">
        <v>325</v>
      </c>
      <c r="B18" s="1484" t="s">
        <v>875</v>
      </c>
      <c r="C18" s="1484" t="s">
        <v>326</v>
      </c>
      <c r="D18" s="1089">
        <v>71</v>
      </c>
      <c r="E18" s="1089">
        <v>71</v>
      </c>
      <c r="F18" s="1089" t="s">
        <v>210</v>
      </c>
      <c r="G18" s="1089" t="s">
        <v>203</v>
      </c>
    </row>
    <row r="19" spans="1:7" ht="67.5" customHeight="1" x14ac:dyDescent="0.2">
      <c r="A19" s="1484" t="s">
        <v>327</v>
      </c>
      <c r="B19" s="1484" t="s">
        <v>1581</v>
      </c>
      <c r="C19" s="1484" t="s">
        <v>1586</v>
      </c>
      <c r="D19" s="1089" t="s">
        <v>1582</v>
      </c>
      <c r="E19" s="1484" t="s">
        <v>1582</v>
      </c>
      <c r="F19" s="1485" t="s">
        <v>1583</v>
      </c>
      <c r="G19" s="1089" t="s">
        <v>203</v>
      </c>
    </row>
    <row r="20" spans="1:7" ht="57" customHeight="1" x14ac:dyDescent="0.2">
      <c r="A20" s="2427" t="s">
        <v>328</v>
      </c>
      <c r="B20" s="2427" t="s">
        <v>1584</v>
      </c>
      <c r="C20" s="1496" t="s">
        <v>1585</v>
      </c>
      <c r="D20" s="1089" t="s">
        <v>1587</v>
      </c>
      <c r="E20" s="1484" t="s">
        <v>1587</v>
      </c>
      <c r="F20" s="1093" t="s">
        <v>877</v>
      </c>
      <c r="G20" s="1089" t="s">
        <v>203</v>
      </c>
    </row>
    <row r="21" spans="1:7" ht="78" customHeight="1" x14ac:dyDescent="0.2">
      <c r="A21" s="2427"/>
      <c r="B21" s="2427"/>
      <c r="C21" s="1496" t="s">
        <v>1588</v>
      </c>
      <c r="D21" s="1089" t="s">
        <v>225</v>
      </c>
      <c r="E21" s="1089" t="s">
        <v>225</v>
      </c>
      <c r="F21" s="1484" t="s">
        <v>877</v>
      </c>
      <c r="G21" s="1089" t="s">
        <v>203</v>
      </c>
    </row>
    <row r="22" spans="1:7" ht="60" customHeight="1" x14ac:dyDescent="0.2">
      <c r="A22" s="2427"/>
      <c r="B22" s="2427"/>
      <c r="C22" s="1496" t="s">
        <v>1579</v>
      </c>
      <c r="D22" s="1089" t="s">
        <v>917</v>
      </c>
      <c r="E22" s="1089" t="s">
        <v>917</v>
      </c>
      <c r="F22" s="1093" t="s">
        <v>877</v>
      </c>
      <c r="G22" s="1089" t="s">
        <v>203</v>
      </c>
    </row>
    <row r="23" spans="1:7" ht="57.75" customHeight="1" x14ac:dyDescent="0.2">
      <c r="A23" s="1484" t="s">
        <v>329</v>
      </c>
      <c r="B23" s="1484" t="s">
        <v>1589</v>
      </c>
      <c r="C23" s="1496" t="s">
        <v>1590</v>
      </c>
      <c r="D23" s="1089" t="s">
        <v>330</v>
      </c>
      <c r="E23" s="1089" t="s">
        <v>330</v>
      </c>
      <c r="F23" s="1089" t="s">
        <v>1591</v>
      </c>
      <c r="G23" s="1089" t="s">
        <v>203</v>
      </c>
    </row>
    <row r="24" spans="1:7" ht="81" customHeight="1" x14ac:dyDescent="0.2">
      <c r="A24" s="2427" t="s">
        <v>331</v>
      </c>
      <c r="B24" s="2427" t="s">
        <v>1592</v>
      </c>
      <c r="C24" s="1496" t="s">
        <v>1595</v>
      </c>
      <c r="D24" s="1093" t="s">
        <v>920</v>
      </c>
      <c r="E24" s="1093" t="s">
        <v>921</v>
      </c>
      <c r="F24" s="1095" t="s">
        <v>1487</v>
      </c>
      <c r="G24" s="1089" t="s">
        <v>203</v>
      </c>
    </row>
    <row r="25" spans="1:7" ht="67.5" customHeight="1" x14ac:dyDescent="0.2">
      <c r="A25" s="2427"/>
      <c r="B25" s="2427"/>
      <c r="C25" s="1496" t="s">
        <v>1594</v>
      </c>
      <c r="D25" s="1484" t="s">
        <v>1593</v>
      </c>
      <c r="E25" s="1484" t="s">
        <v>1593</v>
      </c>
      <c r="F25" s="1095" t="s">
        <v>1489</v>
      </c>
      <c r="G25" s="1089" t="s">
        <v>203</v>
      </c>
    </row>
    <row r="26" spans="1:7" ht="37.5" x14ac:dyDescent="0.2">
      <c r="A26" s="2427"/>
      <c r="B26" s="2427"/>
      <c r="C26" s="1484" t="s">
        <v>332</v>
      </c>
      <c r="D26" s="1484" t="s">
        <v>333</v>
      </c>
      <c r="E26" s="1484" t="s">
        <v>333</v>
      </c>
      <c r="F26" s="1089" t="s">
        <v>210</v>
      </c>
      <c r="G26" s="1089" t="s">
        <v>203</v>
      </c>
    </row>
    <row r="27" spans="1:7" ht="37.5" x14ac:dyDescent="0.2">
      <c r="A27" s="2427"/>
      <c r="B27" s="2427"/>
      <c r="C27" s="1484" t="s">
        <v>1596</v>
      </c>
      <c r="D27" s="1484" t="s">
        <v>334</v>
      </c>
      <c r="E27" s="1484" t="s">
        <v>334</v>
      </c>
      <c r="F27" s="1089" t="s">
        <v>210</v>
      </c>
      <c r="G27" s="1089" t="s">
        <v>203</v>
      </c>
    </row>
    <row r="28" spans="1:7" ht="57" customHeight="1" x14ac:dyDescent="0.2">
      <c r="A28" s="1484" t="s">
        <v>335</v>
      </c>
      <c r="B28" s="1485" t="s">
        <v>1597</v>
      </c>
      <c r="C28" s="1496" t="s">
        <v>1590</v>
      </c>
      <c r="D28" s="1484" t="s">
        <v>347</v>
      </c>
      <c r="E28" s="1484" t="s">
        <v>347</v>
      </c>
      <c r="F28" s="1484" t="s">
        <v>210</v>
      </c>
      <c r="G28" s="1089" t="s">
        <v>203</v>
      </c>
    </row>
    <row r="29" spans="1:7" ht="63" customHeight="1" x14ac:dyDescent="0.2">
      <c r="A29" s="2427" t="s">
        <v>336</v>
      </c>
      <c r="B29" s="2427" t="s">
        <v>1598</v>
      </c>
      <c r="C29" s="1484" t="s">
        <v>1599</v>
      </c>
      <c r="D29" s="1091">
        <v>17</v>
      </c>
      <c r="E29" s="1091">
        <v>17</v>
      </c>
      <c r="F29" s="2427" t="s">
        <v>1606</v>
      </c>
      <c r="G29" s="1089" t="s">
        <v>203</v>
      </c>
    </row>
    <row r="30" spans="1:7" ht="52.5" customHeight="1" x14ac:dyDescent="0.2">
      <c r="A30" s="2427"/>
      <c r="B30" s="2427"/>
      <c r="C30" s="1484" t="s">
        <v>1603</v>
      </c>
      <c r="D30" s="1091">
        <v>17</v>
      </c>
      <c r="E30" s="1091">
        <v>17</v>
      </c>
      <c r="F30" s="2427"/>
      <c r="G30" s="1089" t="s">
        <v>203</v>
      </c>
    </row>
    <row r="31" spans="1:7" ht="78" customHeight="1" x14ac:dyDescent="0.2">
      <c r="A31" s="2427"/>
      <c r="B31" s="2427"/>
      <c r="C31" s="1484" t="s">
        <v>1601</v>
      </c>
      <c r="D31" s="1089">
        <v>0.08</v>
      </c>
      <c r="E31" s="1089">
        <v>0.08</v>
      </c>
      <c r="F31" s="2427" t="s">
        <v>860</v>
      </c>
      <c r="G31" s="1089" t="s">
        <v>203</v>
      </c>
    </row>
    <row r="32" spans="1:7" ht="56.25" customHeight="1" x14ac:dyDescent="0.2">
      <c r="A32" s="2427"/>
      <c r="B32" s="2427"/>
      <c r="C32" s="1484" t="s">
        <v>1600</v>
      </c>
      <c r="D32" s="1090">
        <v>0.4</v>
      </c>
      <c r="E32" s="1089" t="s">
        <v>476</v>
      </c>
      <c r="F32" s="2427"/>
      <c r="G32" s="1089" t="s">
        <v>203</v>
      </c>
    </row>
    <row r="33" spans="1:7" ht="58.5" customHeight="1" x14ac:dyDescent="0.2">
      <c r="A33" s="2427" t="s">
        <v>337</v>
      </c>
      <c r="B33" s="2427" t="s">
        <v>1602</v>
      </c>
      <c r="C33" s="1484" t="s">
        <v>1599</v>
      </c>
      <c r="D33" s="1091">
        <v>16.8</v>
      </c>
      <c r="E33" s="1091">
        <v>16.8</v>
      </c>
      <c r="F33" s="2427" t="s">
        <v>1604</v>
      </c>
      <c r="G33" s="1089" t="s">
        <v>203</v>
      </c>
    </row>
    <row r="34" spans="1:7" ht="49.5" customHeight="1" x14ac:dyDescent="0.2">
      <c r="A34" s="2427"/>
      <c r="B34" s="2427"/>
      <c r="C34" s="1484" t="s">
        <v>1603</v>
      </c>
      <c r="D34" s="1091">
        <v>16.8</v>
      </c>
      <c r="E34" s="1091">
        <v>16.8</v>
      </c>
      <c r="F34" s="2427"/>
      <c r="G34" s="1089" t="s">
        <v>203</v>
      </c>
    </row>
    <row r="35" spans="1:7" ht="78.75" x14ac:dyDescent="0.2">
      <c r="A35" s="2427"/>
      <c r="B35" s="2427"/>
      <c r="C35" s="1484" t="s">
        <v>1601</v>
      </c>
      <c r="D35" s="1089">
        <v>0.08</v>
      </c>
      <c r="E35" s="1089">
        <v>0.08</v>
      </c>
      <c r="F35" s="2427" t="s">
        <v>1605</v>
      </c>
      <c r="G35" s="1089" t="s">
        <v>203</v>
      </c>
    </row>
    <row r="36" spans="1:7" ht="63" customHeight="1" x14ac:dyDescent="0.2">
      <c r="A36" s="2427"/>
      <c r="B36" s="2427"/>
      <c r="C36" s="1484" t="s">
        <v>1600</v>
      </c>
      <c r="D36" s="1090">
        <v>0.25</v>
      </c>
      <c r="E36" s="1089" t="s">
        <v>476</v>
      </c>
      <c r="F36" s="2427"/>
      <c r="G36" s="1089" t="s">
        <v>203</v>
      </c>
    </row>
    <row r="37" spans="1:7" ht="59.25" customHeight="1" x14ac:dyDescent="0.2">
      <c r="A37" s="2427" t="s">
        <v>338</v>
      </c>
      <c r="B37" s="2427" t="s">
        <v>1607</v>
      </c>
      <c r="C37" s="1484" t="s">
        <v>478</v>
      </c>
      <c r="D37" s="1484">
        <v>3.5</v>
      </c>
      <c r="E37" s="1484">
        <v>3.5</v>
      </c>
      <c r="F37" s="2427" t="s">
        <v>205</v>
      </c>
      <c r="G37" s="1089" t="s">
        <v>203</v>
      </c>
    </row>
    <row r="38" spans="1:7" ht="49.5" customHeight="1" x14ac:dyDescent="0.2">
      <c r="A38" s="2427"/>
      <c r="B38" s="2427"/>
      <c r="C38" s="1484" t="s">
        <v>1608</v>
      </c>
      <c r="D38" s="1484">
        <v>2.8</v>
      </c>
      <c r="E38" s="1484">
        <v>2.8</v>
      </c>
      <c r="F38" s="2427"/>
      <c r="G38" s="1089" t="s">
        <v>203</v>
      </c>
    </row>
    <row r="39" spans="1:7" ht="78.75" x14ac:dyDescent="0.2">
      <c r="A39" s="2427"/>
      <c r="B39" s="2427"/>
      <c r="C39" s="1484" t="s">
        <v>1609</v>
      </c>
      <c r="D39" s="1484" t="s">
        <v>913</v>
      </c>
      <c r="E39" s="1484" t="s">
        <v>923</v>
      </c>
      <c r="F39" s="2427" t="s">
        <v>1610</v>
      </c>
      <c r="G39" s="1089" t="s">
        <v>203</v>
      </c>
    </row>
    <row r="40" spans="1:7" ht="60" x14ac:dyDescent="0.2">
      <c r="A40" s="2427"/>
      <c r="B40" s="2427"/>
      <c r="C40" s="1484" t="s">
        <v>1612</v>
      </c>
      <c r="D40" s="1484" t="s">
        <v>922</v>
      </c>
      <c r="E40" s="1484" t="s">
        <v>479</v>
      </c>
      <c r="F40" s="2427"/>
      <c r="G40" s="1089" t="s">
        <v>203</v>
      </c>
    </row>
    <row r="41" spans="1:7" ht="63.75" customHeight="1" x14ac:dyDescent="0.2">
      <c r="A41" s="2427" t="s">
        <v>339</v>
      </c>
      <c r="B41" s="2427" t="s">
        <v>1611</v>
      </c>
      <c r="C41" s="1484" t="s">
        <v>478</v>
      </c>
      <c r="D41" s="1091">
        <v>10</v>
      </c>
      <c r="E41" s="1091">
        <v>10</v>
      </c>
      <c r="F41" s="2427" t="s">
        <v>205</v>
      </c>
      <c r="G41" s="1089" t="s">
        <v>203</v>
      </c>
    </row>
    <row r="42" spans="1:7" ht="45" customHeight="1" x14ac:dyDescent="0.2">
      <c r="A42" s="2427"/>
      <c r="B42" s="2427"/>
      <c r="C42" s="1484" t="s">
        <v>1608</v>
      </c>
      <c r="D42" s="1091">
        <v>5</v>
      </c>
      <c r="E42" s="1091">
        <v>5</v>
      </c>
      <c r="F42" s="2427"/>
      <c r="G42" s="1089" t="s">
        <v>203</v>
      </c>
    </row>
    <row r="43" spans="1:7" ht="78.75" x14ac:dyDescent="0.2">
      <c r="A43" s="2427"/>
      <c r="B43" s="2427"/>
      <c r="C43" s="1484" t="s">
        <v>1609</v>
      </c>
      <c r="D43" s="1484" t="s">
        <v>924</v>
      </c>
      <c r="E43" s="1484" t="s">
        <v>924</v>
      </c>
      <c r="F43" s="2427" t="s">
        <v>878</v>
      </c>
      <c r="G43" s="1089" t="s">
        <v>203</v>
      </c>
    </row>
    <row r="44" spans="1:7" ht="60" x14ac:dyDescent="0.2">
      <c r="A44" s="2427"/>
      <c r="B44" s="2427"/>
      <c r="C44" s="1484" t="s">
        <v>1612</v>
      </c>
      <c r="D44" s="1484" t="s">
        <v>916</v>
      </c>
      <c r="E44" s="1484" t="s">
        <v>916</v>
      </c>
      <c r="F44" s="2427"/>
      <c r="G44" s="1089" t="s">
        <v>203</v>
      </c>
    </row>
    <row r="45" spans="1:7" ht="36" customHeight="1" x14ac:dyDescent="0.2">
      <c r="A45" s="2427" t="s">
        <v>340</v>
      </c>
      <c r="B45" s="2427" t="s">
        <v>1613</v>
      </c>
      <c r="C45" s="1484" t="s">
        <v>342</v>
      </c>
      <c r="D45" s="1089" t="s">
        <v>480</v>
      </c>
      <c r="E45" s="1089" t="s">
        <v>480</v>
      </c>
      <c r="F45" s="1089" t="s">
        <v>210</v>
      </c>
      <c r="G45" s="1089" t="s">
        <v>203</v>
      </c>
    </row>
    <row r="46" spans="1:7" ht="57" customHeight="1" x14ac:dyDescent="0.2">
      <c r="A46" s="2427"/>
      <c r="B46" s="2427"/>
      <c r="C46" s="1484" t="s">
        <v>1615</v>
      </c>
      <c r="D46" s="1089" t="s">
        <v>343</v>
      </c>
      <c r="E46" s="1089" t="s">
        <v>343</v>
      </c>
      <c r="F46" s="1089" t="s">
        <v>1025</v>
      </c>
      <c r="G46" s="1089" t="s">
        <v>203</v>
      </c>
    </row>
    <row r="47" spans="1:7" ht="43.5" customHeight="1" x14ac:dyDescent="0.2">
      <c r="A47" s="2427"/>
      <c r="B47" s="2427"/>
      <c r="C47" s="1484" t="s">
        <v>1576</v>
      </c>
      <c r="D47" s="1089" t="s">
        <v>1614</v>
      </c>
      <c r="E47" s="1484" t="s">
        <v>1614</v>
      </c>
      <c r="F47" s="1484" t="s">
        <v>1025</v>
      </c>
      <c r="G47" s="1089" t="s">
        <v>203</v>
      </c>
    </row>
    <row r="48" spans="1:7" ht="93.75" customHeight="1" x14ac:dyDescent="0.2">
      <c r="A48" s="1484" t="s">
        <v>341</v>
      </c>
      <c r="B48" s="1485" t="s">
        <v>1617</v>
      </c>
      <c r="C48" s="1484" t="s">
        <v>345</v>
      </c>
      <c r="D48" s="1089" t="s">
        <v>481</v>
      </c>
      <c r="E48" s="1089" t="s">
        <v>481</v>
      </c>
      <c r="F48" s="1089" t="s">
        <v>879</v>
      </c>
      <c r="G48" s="1089" t="s">
        <v>203</v>
      </c>
    </row>
    <row r="49" spans="1:7" ht="30.75" customHeight="1" x14ac:dyDescent="0.2">
      <c r="A49" s="1484" t="s">
        <v>344</v>
      </c>
      <c r="B49" s="1484" t="s">
        <v>348</v>
      </c>
      <c r="C49" s="1484" t="s">
        <v>880</v>
      </c>
      <c r="D49" s="1096" t="s">
        <v>1616</v>
      </c>
      <c r="E49" s="1096" t="s">
        <v>1616</v>
      </c>
      <c r="F49" s="1089" t="s">
        <v>881</v>
      </c>
      <c r="G49" s="1089" t="s">
        <v>203</v>
      </c>
    </row>
    <row r="50" spans="1:7" x14ac:dyDescent="0.3">
      <c r="A50" s="2434" t="s">
        <v>1618</v>
      </c>
      <c r="B50" s="2434"/>
      <c r="C50" s="2434"/>
      <c r="D50" s="2434"/>
      <c r="E50" s="2434"/>
      <c r="F50" s="2434"/>
      <c r="G50" s="2434"/>
    </row>
    <row r="51" spans="1:7" x14ac:dyDescent="0.3">
      <c r="A51" s="1499" t="s">
        <v>482</v>
      </c>
      <c r="B51" s="1497"/>
      <c r="C51" s="1497"/>
      <c r="D51" s="1097"/>
      <c r="E51" s="1097"/>
      <c r="F51" s="1097"/>
      <c r="G51" s="1098"/>
    </row>
    <row r="52" spans="1:7" x14ac:dyDescent="0.3">
      <c r="A52" s="1499"/>
      <c r="B52" s="1497"/>
      <c r="C52" s="1497"/>
      <c r="D52" s="1097"/>
      <c r="E52" s="1097"/>
      <c r="F52" s="1097"/>
      <c r="G52" s="1098"/>
    </row>
    <row r="53" spans="1:7" x14ac:dyDescent="0.3">
      <c r="D53" s="595" t="s">
        <v>361</v>
      </c>
    </row>
    <row r="54" spans="1:7" x14ac:dyDescent="0.3">
      <c r="D54" s="595" t="s">
        <v>362</v>
      </c>
    </row>
    <row r="55" spans="1:7" x14ac:dyDescent="0.3">
      <c r="D55" s="595" t="s">
        <v>363</v>
      </c>
    </row>
    <row r="56" spans="1:7" ht="19.5" thickBot="1" x14ac:dyDescent="0.35"/>
    <row r="57" spans="1:7" x14ac:dyDescent="0.2">
      <c r="A57" s="1486" t="s">
        <v>17</v>
      </c>
      <c r="B57" s="2432" t="s">
        <v>311</v>
      </c>
      <c r="C57" s="2432" t="s">
        <v>312</v>
      </c>
      <c r="D57" s="2435" t="s">
        <v>313</v>
      </c>
      <c r="E57" s="2436"/>
      <c r="F57" s="2432" t="s">
        <v>314</v>
      </c>
      <c r="G57" s="2432" t="s">
        <v>315</v>
      </c>
    </row>
    <row r="58" spans="1:7" ht="19.5" thickBot="1" x14ac:dyDescent="0.25">
      <c r="A58" s="1487" t="s">
        <v>310</v>
      </c>
      <c r="B58" s="2433"/>
      <c r="C58" s="2433"/>
      <c r="D58" s="2437"/>
      <c r="E58" s="2438"/>
      <c r="F58" s="2433"/>
      <c r="G58" s="2433"/>
    </row>
    <row r="59" spans="1:7" ht="12.75" x14ac:dyDescent="0.2">
      <c r="A59" s="2433"/>
      <c r="B59" s="2433"/>
      <c r="C59" s="2433"/>
      <c r="D59" s="2432" t="s">
        <v>316</v>
      </c>
      <c r="E59" s="2432" t="s">
        <v>317</v>
      </c>
      <c r="F59" s="2433"/>
      <c r="G59" s="2433"/>
    </row>
    <row r="60" spans="1:7" ht="12.75" x14ac:dyDescent="0.2">
      <c r="A60" s="2433"/>
      <c r="B60" s="2433"/>
      <c r="C60" s="2433"/>
      <c r="D60" s="2433"/>
      <c r="E60" s="2433"/>
      <c r="F60" s="2433"/>
      <c r="G60" s="2433"/>
    </row>
    <row r="61" spans="1:7" ht="126.75" customHeight="1" x14ac:dyDescent="0.2">
      <c r="A61" s="1491">
        <v>1</v>
      </c>
      <c r="B61" s="1492" t="s">
        <v>759</v>
      </c>
      <c r="C61" s="1492" t="s">
        <v>365</v>
      </c>
      <c r="D61" s="593" t="s">
        <v>450</v>
      </c>
      <c r="E61" s="593" t="s">
        <v>450</v>
      </c>
      <c r="F61" s="593" t="s">
        <v>354</v>
      </c>
      <c r="G61" s="1083" t="s">
        <v>364</v>
      </c>
    </row>
    <row r="62" spans="1:7" ht="75" customHeight="1" x14ac:dyDescent="0.2">
      <c r="A62" s="1491">
        <v>2</v>
      </c>
      <c r="B62" s="1492" t="s">
        <v>761</v>
      </c>
      <c r="C62" s="1492" t="s">
        <v>448</v>
      </c>
      <c r="D62" s="593" t="s">
        <v>366</v>
      </c>
      <c r="E62" s="593" t="s">
        <v>366</v>
      </c>
      <c r="F62" s="593" t="s">
        <v>205</v>
      </c>
      <c r="G62" s="1083" t="s">
        <v>364</v>
      </c>
    </row>
    <row r="63" spans="1:7" ht="72.75" customHeight="1" x14ac:dyDescent="0.2">
      <c r="A63" s="1491">
        <v>3</v>
      </c>
      <c r="B63" s="1492" t="s">
        <v>760</v>
      </c>
      <c r="C63" s="1492" t="s">
        <v>448</v>
      </c>
      <c r="D63" s="593" t="s">
        <v>367</v>
      </c>
      <c r="E63" s="593" t="s">
        <v>367</v>
      </c>
      <c r="F63" s="593" t="s">
        <v>205</v>
      </c>
      <c r="G63" s="1083" t="s">
        <v>364</v>
      </c>
    </row>
    <row r="64" spans="1:7" ht="75.75" customHeight="1" x14ac:dyDescent="0.2">
      <c r="A64" s="1491">
        <v>4</v>
      </c>
      <c r="B64" s="1492" t="s">
        <v>762</v>
      </c>
      <c r="C64" s="1492" t="s">
        <v>765</v>
      </c>
      <c r="D64" s="593" t="s">
        <v>368</v>
      </c>
      <c r="E64" s="593" t="s">
        <v>451</v>
      </c>
      <c r="F64" s="593" t="s">
        <v>205</v>
      </c>
      <c r="G64" s="1083" t="s">
        <v>364</v>
      </c>
    </row>
    <row r="65" spans="1:7" ht="67.5" customHeight="1" x14ac:dyDescent="0.2">
      <c r="A65" s="1491">
        <v>5</v>
      </c>
      <c r="B65" s="1492" t="s">
        <v>763</v>
      </c>
      <c r="C65" s="1492" t="s">
        <v>766</v>
      </c>
      <c r="D65" s="593" t="s">
        <v>369</v>
      </c>
      <c r="E65" s="593" t="s">
        <v>452</v>
      </c>
      <c r="F65" s="593" t="s">
        <v>205</v>
      </c>
      <c r="G65" s="1083" t="s">
        <v>364</v>
      </c>
    </row>
    <row r="66" spans="1:7" ht="58.5" customHeight="1" x14ac:dyDescent="0.2">
      <c r="A66" s="1491">
        <v>6</v>
      </c>
      <c r="B66" s="1492" t="s">
        <v>373</v>
      </c>
      <c r="C66" s="1492" t="s">
        <v>453</v>
      </c>
      <c r="D66" s="940" t="s">
        <v>1064</v>
      </c>
      <c r="E66" s="593" t="s">
        <v>370</v>
      </c>
      <c r="F66" s="593" t="s">
        <v>205</v>
      </c>
      <c r="G66" s="1083" t="s">
        <v>364</v>
      </c>
    </row>
    <row r="67" spans="1:7" ht="39.75" customHeight="1" x14ac:dyDescent="0.2">
      <c r="A67" s="1491">
        <v>7</v>
      </c>
      <c r="B67" s="1492" t="s">
        <v>764</v>
      </c>
      <c r="C67" s="1492" t="s">
        <v>371</v>
      </c>
      <c r="D67" s="593">
        <v>120</v>
      </c>
      <c r="E67" s="593">
        <v>120</v>
      </c>
      <c r="F67" s="593" t="s">
        <v>212</v>
      </c>
      <c r="G67" s="1083" t="s">
        <v>364</v>
      </c>
    </row>
    <row r="68" spans="1:7" ht="12.75" x14ac:dyDescent="0.2">
      <c r="A68" s="2442">
        <v>8</v>
      </c>
      <c r="B68" s="2443" t="s">
        <v>767</v>
      </c>
      <c r="C68" s="2443" t="s">
        <v>449</v>
      </c>
      <c r="D68" s="2443">
        <v>550</v>
      </c>
      <c r="E68" s="2439">
        <v>550</v>
      </c>
      <c r="F68" s="2443" t="s">
        <v>205</v>
      </c>
      <c r="G68" s="2443" t="s">
        <v>364</v>
      </c>
    </row>
    <row r="69" spans="1:7" ht="27" customHeight="1" x14ac:dyDescent="0.2">
      <c r="A69" s="2442"/>
      <c r="B69" s="2439"/>
      <c r="C69" s="2439"/>
      <c r="D69" s="2439"/>
      <c r="E69" s="2441"/>
      <c r="F69" s="2439"/>
      <c r="G69" s="2439"/>
    </row>
    <row r="70" spans="1:7" ht="39" x14ac:dyDescent="0.2">
      <c r="A70" s="2443">
        <v>9</v>
      </c>
      <c r="B70" s="1488" t="s">
        <v>454</v>
      </c>
      <c r="C70" s="1488" t="s">
        <v>455</v>
      </c>
      <c r="D70" s="590"/>
      <c r="E70" s="590"/>
      <c r="F70" s="2439" t="s">
        <v>212</v>
      </c>
      <c r="G70" s="2439" t="s">
        <v>364</v>
      </c>
    </row>
    <row r="71" spans="1:7" x14ac:dyDescent="0.2">
      <c r="A71" s="2443"/>
      <c r="B71" s="1489"/>
      <c r="C71" s="1489" t="s">
        <v>372</v>
      </c>
      <c r="D71" s="591">
        <v>8.5</v>
      </c>
      <c r="E71" s="591">
        <v>8.5</v>
      </c>
      <c r="F71" s="2440"/>
      <c r="G71" s="2440"/>
    </row>
    <row r="72" spans="1:7" ht="17.25" customHeight="1" x14ac:dyDescent="0.2">
      <c r="A72" s="2443"/>
      <c r="B72" s="1490"/>
      <c r="C72" s="1490"/>
      <c r="D72" s="592"/>
      <c r="E72" s="592"/>
      <c r="F72" s="2441"/>
      <c r="G72" s="2441"/>
    </row>
    <row r="74" spans="1:7" x14ac:dyDescent="0.3">
      <c r="B74" s="1498" t="s">
        <v>456</v>
      </c>
    </row>
    <row r="75" spans="1:7" x14ac:dyDescent="0.3">
      <c r="D75" s="595" t="s">
        <v>361</v>
      </c>
    </row>
    <row r="76" spans="1:7" x14ac:dyDescent="0.3">
      <c r="D76" s="595" t="s">
        <v>362</v>
      </c>
    </row>
    <row r="77" spans="1:7" x14ac:dyDescent="0.3">
      <c r="D77" s="595" t="s">
        <v>380</v>
      </c>
    </row>
    <row r="78" spans="1:7" ht="19.5" thickBot="1" x14ac:dyDescent="0.35"/>
    <row r="79" spans="1:7" x14ac:dyDescent="0.2">
      <c r="A79" s="1486" t="s">
        <v>17</v>
      </c>
      <c r="B79" s="2432" t="s">
        <v>311</v>
      </c>
      <c r="C79" s="2432" t="s">
        <v>312</v>
      </c>
      <c r="D79" s="2435" t="s">
        <v>313</v>
      </c>
      <c r="E79" s="2436"/>
      <c r="F79" s="2432" t="s">
        <v>314</v>
      </c>
      <c r="G79" s="2432" t="s">
        <v>315</v>
      </c>
    </row>
    <row r="80" spans="1:7" ht="19.5" thickBot="1" x14ac:dyDescent="0.25">
      <c r="A80" s="1487" t="s">
        <v>310</v>
      </c>
      <c r="B80" s="2433"/>
      <c r="C80" s="2433"/>
      <c r="D80" s="2437"/>
      <c r="E80" s="2438"/>
      <c r="F80" s="2433"/>
      <c r="G80" s="2433"/>
    </row>
    <row r="81" spans="1:7" ht="12.75" x14ac:dyDescent="0.2">
      <c r="A81" s="2433"/>
      <c r="B81" s="2433"/>
      <c r="C81" s="2433"/>
      <c r="D81" s="2432" t="s">
        <v>316</v>
      </c>
      <c r="E81" s="2432" t="s">
        <v>317</v>
      </c>
      <c r="F81" s="2433"/>
      <c r="G81" s="2433"/>
    </row>
    <row r="82" spans="1:7" ht="12.75" x14ac:dyDescent="0.2">
      <c r="A82" s="2433"/>
      <c r="B82" s="2433"/>
      <c r="C82" s="2433"/>
      <c r="D82" s="2433"/>
      <c r="E82" s="2433"/>
      <c r="F82" s="2433"/>
      <c r="G82" s="2433"/>
    </row>
    <row r="83" spans="1:7" ht="37.5" x14ac:dyDescent="0.2">
      <c r="A83" s="1500">
        <v>1</v>
      </c>
      <c r="B83" s="101" t="s">
        <v>381</v>
      </c>
      <c r="C83" s="102" t="s">
        <v>457</v>
      </c>
      <c r="D83" s="593" t="s">
        <v>384</v>
      </c>
      <c r="E83" s="593" t="s">
        <v>384</v>
      </c>
      <c r="F83" s="593" t="s">
        <v>205</v>
      </c>
      <c r="G83" s="1083" t="s">
        <v>364</v>
      </c>
    </row>
    <row r="84" spans="1:7" ht="37.5" x14ac:dyDescent="0.2">
      <c r="A84" s="1500">
        <v>2</v>
      </c>
      <c r="B84" s="101" t="s">
        <v>382</v>
      </c>
      <c r="C84" s="102" t="s">
        <v>457</v>
      </c>
      <c r="D84" s="593" t="s">
        <v>385</v>
      </c>
      <c r="E84" s="593" t="s">
        <v>385</v>
      </c>
      <c r="F84" s="593" t="s">
        <v>205</v>
      </c>
      <c r="G84" s="1083" t="s">
        <v>364</v>
      </c>
    </row>
    <row r="85" spans="1:7" ht="37.5" x14ac:dyDescent="0.2">
      <c r="A85" s="1500">
        <v>3</v>
      </c>
      <c r="B85" s="101" t="s">
        <v>383</v>
      </c>
      <c r="C85" s="102" t="s">
        <v>457</v>
      </c>
      <c r="D85" s="593" t="s">
        <v>386</v>
      </c>
      <c r="E85" s="593" t="s">
        <v>386</v>
      </c>
      <c r="F85" s="593" t="s">
        <v>205</v>
      </c>
      <c r="G85" s="1083" t="s">
        <v>364</v>
      </c>
    </row>
    <row r="86" spans="1:7" ht="37.5" customHeight="1" x14ac:dyDescent="0.2">
      <c r="A86" s="1500">
        <v>4</v>
      </c>
      <c r="B86" s="101" t="s">
        <v>387</v>
      </c>
      <c r="C86" s="1491" t="s">
        <v>388</v>
      </c>
      <c r="D86" s="594" t="s">
        <v>389</v>
      </c>
      <c r="E86" s="594" t="s">
        <v>389</v>
      </c>
      <c r="F86" s="593" t="s">
        <v>205</v>
      </c>
      <c r="G86" s="1083" t="s">
        <v>364</v>
      </c>
    </row>
    <row r="87" spans="1:7" ht="37.5" x14ac:dyDescent="0.2">
      <c r="A87" s="1500">
        <v>5</v>
      </c>
      <c r="B87" s="101" t="s">
        <v>1667</v>
      </c>
      <c r="C87" s="102" t="s">
        <v>1668</v>
      </c>
      <c r="D87" s="593" t="s">
        <v>390</v>
      </c>
      <c r="E87" s="593" t="s">
        <v>390</v>
      </c>
      <c r="F87" s="593" t="s">
        <v>205</v>
      </c>
      <c r="G87" s="1083" t="s">
        <v>364</v>
      </c>
    </row>
    <row r="89" spans="1:7" x14ac:dyDescent="0.3">
      <c r="D89" s="1015" t="s">
        <v>361</v>
      </c>
    </row>
    <row r="90" spans="1:7" x14ac:dyDescent="0.3">
      <c r="D90" s="1015" t="s">
        <v>362</v>
      </c>
    </row>
    <row r="91" spans="1:7" x14ac:dyDescent="0.3">
      <c r="D91" s="1015" t="s">
        <v>380</v>
      </c>
    </row>
    <row r="92" spans="1:7" ht="19.5" thickBot="1" x14ac:dyDescent="0.35"/>
    <row r="93" spans="1:7" x14ac:dyDescent="0.2">
      <c r="A93" s="1486" t="s">
        <v>17</v>
      </c>
      <c r="B93" s="2432" t="s">
        <v>311</v>
      </c>
      <c r="C93" s="2432" t="s">
        <v>312</v>
      </c>
      <c r="D93" s="2435" t="s">
        <v>313</v>
      </c>
      <c r="E93" s="2436"/>
      <c r="F93" s="2432" t="s">
        <v>314</v>
      </c>
      <c r="G93" s="2432" t="s">
        <v>315</v>
      </c>
    </row>
    <row r="94" spans="1:7" ht="19.5" thickBot="1" x14ac:dyDescent="0.25">
      <c r="A94" s="1487" t="s">
        <v>310</v>
      </c>
      <c r="B94" s="2433"/>
      <c r="C94" s="2433"/>
      <c r="D94" s="2437"/>
      <c r="E94" s="2438"/>
      <c r="F94" s="2433"/>
      <c r="G94" s="2433"/>
    </row>
    <row r="95" spans="1:7" ht="12.75" x14ac:dyDescent="0.2">
      <c r="A95" s="2433"/>
      <c r="B95" s="2433"/>
      <c r="C95" s="2433"/>
      <c r="D95" s="2432" t="s">
        <v>316</v>
      </c>
      <c r="E95" s="2432" t="s">
        <v>317</v>
      </c>
      <c r="F95" s="2433"/>
      <c r="G95" s="2433"/>
    </row>
    <row r="96" spans="1:7" ht="27.75" customHeight="1" x14ac:dyDescent="0.2">
      <c r="A96" s="2433"/>
      <c r="B96" s="2433"/>
      <c r="C96" s="2433"/>
      <c r="D96" s="2433"/>
      <c r="E96" s="2433"/>
      <c r="F96" s="2433"/>
      <c r="G96" s="2433"/>
    </row>
    <row r="97" spans="1:7" ht="37.5" x14ac:dyDescent="0.2">
      <c r="A97" s="1500">
        <v>1</v>
      </c>
      <c r="B97" s="101" t="s">
        <v>387</v>
      </c>
      <c r="C97" s="1491" t="s">
        <v>388</v>
      </c>
      <c r="D97" s="1014" t="s">
        <v>389</v>
      </c>
      <c r="E97" s="1014" t="s">
        <v>1547</v>
      </c>
      <c r="F97" s="1013" t="s">
        <v>205</v>
      </c>
      <c r="G97" s="1083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3" customWidth="1"/>
    <col min="2" max="2" width="152.7109375" style="1573" customWidth="1"/>
    <col min="3" max="3" width="65.140625" style="1573" customWidth="1"/>
    <col min="4" max="4" width="43" style="1573" customWidth="1"/>
    <col min="5" max="5" width="53.7109375" style="1573" customWidth="1"/>
    <col min="6" max="6" width="135.85546875" style="1573" customWidth="1"/>
    <col min="7" max="7" width="89.85546875" style="1573" customWidth="1"/>
    <col min="8" max="16384" width="9.140625" style="1555"/>
  </cols>
  <sheetData>
    <row r="1" spans="1:8" ht="178.5" customHeight="1" x14ac:dyDescent="0.2">
      <c r="A1" s="2447" t="s">
        <v>1671</v>
      </c>
      <c r="B1" s="2447"/>
      <c r="C1" s="2447"/>
      <c r="D1" s="2447"/>
      <c r="E1" s="2447"/>
      <c r="F1" s="2447"/>
      <c r="G1" s="2447"/>
    </row>
    <row r="2" spans="1:8" ht="135" customHeight="1" x14ac:dyDescent="0.2">
      <c r="A2" s="1556" t="s">
        <v>131</v>
      </c>
      <c r="B2" s="1504" t="s">
        <v>720</v>
      </c>
      <c r="C2" s="198" t="s">
        <v>230</v>
      </c>
      <c r="D2" s="198" t="s">
        <v>232</v>
      </c>
      <c r="E2" s="1505" t="s">
        <v>231</v>
      </c>
      <c r="F2" s="1556" t="s">
        <v>721</v>
      </c>
      <c r="G2" s="1556" t="s">
        <v>722</v>
      </c>
      <c r="H2" s="1557" t="s">
        <v>1652</v>
      </c>
    </row>
    <row r="3" spans="1:8" ht="45" x14ac:dyDescent="0.2">
      <c r="A3" s="1556">
        <v>1</v>
      </c>
      <c r="B3" s="198">
        <v>2</v>
      </c>
      <c r="C3" s="198">
        <v>3</v>
      </c>
      <c r="D3" s="198">
        <v>4</v>
      </c>
      <c r="E3" s="198">
        <v>5</v>
      </c>
      <c r="F3" s="1556">
        <v>6</v>
      </c>
      <c r="G3" s="1556">
        <v>7</v>
      </c>
    </row>
    <row r="4" spans="1:8" ht="56.25" customHeight="1" x14ac:dyDescent="0.2">
      <c r="A4" s="2448" t="s">
        <v>786</v>
      </c>
      <c r="B4" s="2449"/>
      <c r="C4" s="2449"/>
      <c r="D4" s="2449"/>
      <c r="E4" s="2449"/>
      <c r="F4" s="2449"/>
      <c r="G4" s="2450"/>
    </row>
    <row r="5" spans="1:8" ht="56.25" customHeight="1" x14ac:dyDescent="0.2">
      <c r="A5" s="2448" t="s">
        <v>1170</v>
      </c>
      <c r="B5" s="2449"/>
      <c r="C5" s="2449"/>
      <c r="D5" s="2449"/>
      <c r="E5" s="2449"/>
      <c r="F5" s="2449"/>
      <c r="G5" s="2450"/>
    </row>
    <row r="6" spans="1:8" ht="56.25" customHeight="1" x14ac:dyDescent="0.2">
      <c r="A6" s="2451" t="s">
        <v>723</v>
      </c>
      <c r="B6" s="2449"/>
      <c r="C6" s="2449"/>
      <c r="D6" s="2449"/>
      <c r="E6" s="2449"/>
      <c r="F6" s="2449"/>
      <c r="G6" s="2450"/>
    </row>
    <row r="7" spans="1:8" ht="147" customHeight="1" x14ac:dyDescent="0.2">
      <c r="A7" s="1558">
        <v>1</v>
      </c>
      <c r="B7" s="1559" t="s">
        <v>724</v>
      </c>
      <c r="C7" s="1558" t="s">
        <v>725</v>
      </c>
      <c r="D7" s="1558" t="s">
        <v>726</v>
      </c>
      <c r="E7" s="1560" t="s">
        <v>219</v>
      </c>
      <c r="F7" s="1561" t="s">
        <v>1629</v>
      </c>
      <c r="G7" s="1558" t="s">
        <v>727</v>
      </c>
    </row>
    <row r="8" spans="1:8" ht="99" customHeight="1" x14ac:dyDescent="0.2">
      <c r="A8" s="1558">
        <v>2</v>
      </c>
      <c r="B8" s="1559" t="s">
        <v>728</v>
      </c>
      <c r="C8" s="1558" t="s">
        <v>1639</v>
      </c>
      <c r="D8" s="1558" t="s">
        <v>1638</v>
      </c>
      <c r="E8" s="1560" t="s">
        <v>219</v>
      </c>
      <c r="F8" s="1562" t="s">
        <v>1637</v>
      </c>
      <c r="G8" s="1558" t="s">
        <v>729</v>
      </c>
    </row>
    <row r="9" spans="1:8" ht="153.75" customHeight="1" x14ac:dyDescent="0.2">
      <c r="A9" s="1558">
        <v>3</v>
      </c>
      <c r="B9" s="1563" t="s">
        <v>1645</v>
      </c>
      <c r="C9" s="1561" t="s">
        <v>448</v>
      </c>
      <c r="D9" s="1558" t="s">
        <v>730</v>
      </c>
      <c r="E9" s="1560" t="s">
        <v>1025</v>
      </c>
      <c r="F9" s="1561" t="s">
        <v>1641</v>
      </c>
      <c r="G9" s="1564" t="s">
        <v>727</v>
      </c>
    </row>
    <row r="10" spans="1:8" ht="105.75" customHeight="1" x14ac:dyDescent="0.2">
      <c r="A10" s="1558">
        <v>4</v>
      </c>
      <c r="B10" s="1565" t="s">
        <v>1640</v>
      </c>
      <c r="C10" s="1561" t="s">
        <v>448</v>
      </c>
      <c r="D10" s="1558" t="s">
        <v>730</v>
      </c>
      <c r="E10" s="1560" t="s">
        <v>1025</v>
      </c>
      <c r="F10" s="1562" t="s">
        <v>1637</v>
      </c>
      <c r="G10" s="1558" t="s">
        <v>727</v>
      </c>
    </row>
    <row r="11" spans="1:8" ht="144" customHeight="1" x14ac:dyDescent="0.2">
      <c r="A11" s="1558">
        <v>5</v>
      </c>
      <c r="B11" s="1566" t="s">
        <v>1642</v>
      </c>
      <c r="C11" s="1558" t="s">
        <v>1628</v>
      </c>
      <c r="D11" s="1558" t="s">
        <v>731</v>
      </c>
      <c r="E11" s="1560" t="s">
        <v>219</v>
      </c>
      <c r="F11" s="1562" t="s">
        <v>1637</v>
      </c>
      <c r="G11" s="1561" t="s">
        <v>729</v>
      </c>
    </row>
    <row r="12" spans="1:8" ht="143.25" customHeight="1" x14ac:dyDescent="0.2">
      <c r="A12" s="1558">
        <v>6</v>
      </c>
      <c r="B12" s="1566" t="s">
        <v>1643</v>
      </c>
      <c r="C12" s="1561" t="s">
        <v>1644</v>
      </c>
      <c r="D12" s="1561">
        <v>70</v>
      </c>
      <c r="E12" s="1560" t="s">
        <v>219</v>
      </c>
      <c r="F12" s="1561" t="s">
        <v>1641</v>
      </c>
      <c r="G12" s="1564" t="s">
        <v>727</v>
      </c>
    </row>
    <row r="13" spans="1:8" ht="111.75" customHeight="1" x14ac:dyDescent="0.2">
      <c r="A13" s="1558">
        <v>7</v>
      </c>
      <c r="B13" s="1566" t="s">
        <v>1646</v>
      </c>
      <c r="C13" s="1561" t="s">
        <v>448</v>
      </c>
      <c r="D13" s="1558" t="s">
        <v>730</v>
      </c>
      <c r="E13" s="1560" t="s">
        <v>1025</v>
      </c>
      <c r="F13" s="1562" t="s">
        <v>1637</v>
      </c>
      <c r="G13" s="1564" t="s">
        <v>727</v>
      </c>
    </row>
    <row r="14" spans="1:8" ht="149.25" customHeight="1" x14ac:dyDescent="0.2">
      <c r="A14" s="1558">
        <v>8</v>
      </c>
      <c r="B14" s="1567" t="s">
        <v>1653</v>
      </c>
      <c r="C14" s="1558" t="s">
        <v>1639</v>
      </c>
      <c r="D14" s="1558" t="s">
        <v>1638</v>
      </c>
      <c r="E14" s="1560" t="s">
        <v>219</v>
      </c>
      <c r="F14" s="1562" t="s">
        <v>1637</v>
      </c>
      <c r="G14" s="1558" t="s">
        <v>729</v>
      </c>
    </row>
    <row r="15" spans="1:8" ht="57.75" customHeight="1" x14ac:dyDescent="0.2">
      <c r="A15" s="2451" t="s">
        <v>732</v>
      </c>
      <c r="B15" s="2449"/>
      <c r="C15" s="2449"/>
      <c r="D15" s="2449"/>
      <c r="E15" s="2449"/>
      <c r="F15" s="2449"/>
      <c r="G15" s="2450"/>
    </row>
    <row r="16" spans="1:8" ht="115.5" customHeight="1" x14ac:dyDescent="0.9">
      <c r="A16" s="1560">
        <v>9</v>
      </c>
      <c r="B16" s="1568" t="s">
        <v>1647</v>
      </c>
      <c r="C16" s="1558" t="s">
        <v>1628</v>
      </c>
      <c r="D16" s="1558" t="s">
        <v>735</v>
      </c>
      <c r="E16" s="1560" t="s">
        <v>205</v>
      </c>
      <c r="F16" s="1562" t="s">
        <v>1637</v>
      </c>
      <c r="G16" s="1561" t="s">
        <v>729</v>
      </c>
    </row>
    <row r="17" spans="1:7" ht="115.5" customHeight="1" x14ac:dyDescent="0.2">
      <c r="A17" s="1558">
        <v>10</v>
      </c>
      <c r="B17" s="2445" t="s">
        <v>1654</v>
      </c>
      <c r="C17" s="1558" t="s">
        <v>1627</v>
      </c>
      <c r="D17" s="1558" t="s">
        <v>733</v>
      </c>
      <c r="E17" s="1560" t="s">
        <v>1025</v>
      </c>
      <c r="F17" s="1562" t="s">
        <v>1637</v>
      </c>
      <c r="G17" s="1558" t="s">
        <v>727</v>
      </c>
    </row>
    <row r="18" spans="1:7" ht="115.5" customHeight="1" x14ac:dyDescent="0.2">
      <c r="A18" s="1558">
        <v>11</v>
      </c>
      <c r="B18" s="2446"/>
      <c r="C18" s="1558" t="s">
        <v>1639</v>
      </c>
      <c r="D18" s="1558" t="s">
        <v>1638</v>
      </c>
      <c r="E18" s="1560" t="s">
        <v>219</v>
      </c>
      <c r="F18" s="1562" t="s">
        <v>1637</v>
      </c>
      <c r="G18" s="1558" t="s">
        <v>729</v>
      </c>
    </row>
    <row r="19" spans="1:7" ht="148.5" customHeight="1" x14ac:dyDescent="0.2">
      <c r="A19" s="1558">
        <v>12</v>
      </c>
      <c r="B19" s="1566" t="s">
        <v>1649</v>
      </c>
      <c r="C19" s="1561" t="s">
        <v>1648</v>
      </c>
      <c r="D19" s="1561">
        <v>71</v>
      </c>
      <c r="E19" s="1560" t="s">
        <v>1025</v>
      </c>
      <c r="F19" s="1561" t="s">
        <v>1641</v>
      </c>
      <c r="G19" s="1558" t="s">
        <v>727</v>
      </c>
    </row>
    <row r="20" spans="1:7" ht="156" customHeight="1" x14ac:dyDescent="0.2">
      <c r="A20" s="1569">
        <v>13</v>
      </c>
      <c r="B20" s="1559" t="s">
        <v>1650</v>
      </c>
      <c r="C20" s="1558" t="s">
        <v>448</v>
      </c>
      <c r="D20" s="1558" t="s">
        <v>734</v>
      </c>
      <c r="E20" s="1560" t="s">
        <v>1025</v>
      </c>
      <c r="F20" s="1562" t="s">
        <v>1637</v>
      </c>
      <c r="G20" s="1558" t="s">
        <v>727</v>
      </c>
    </row>
    <row r="21" spans="1:7" ht="148.5" customHeight="1" x14ac:dyDescent="0.2">
      <c r="A21" s="1558">
        <v>14</v>
      </c>
      <c r="B21" s="1559" t="s">
        <v>1655</v>
      </c>
      <c r="C21" s="1558" t="s">
        <v>1656</v>
      </c>
      <c r="D21" s="1558">
        <v>0.5</v>
      </c>
      <c r="E21" s="1560" t="s">
        <v>1025</v>
      </c>
      <c r="F21" s="1562" t="s">
        <v>1637</v>
      </c>
      <c r="G21" s="1558" t="s">
        <v>727</v>
      </c>
    </row>
    <row r="22" spans="1:7" ht="51" customHeight="1" x14ac:dyDescent="0.2">
      <c r="A22" s="1556">
        <v>1</v>
      </c>
      <c r="B22" s="198">
        <v>2</v>
      </c>
      <c r="C22" s="198">
        <v>3</v>
      </c>
      <c r="D22" s="198">
        <v>4</v>
      </c>
      <c r="E22" s="198">
        <v>5</v>
      </c>
      <c r="F22" s="1556">
        <v>6</v>
      </c>
      <c r="G22" s="1556">
        <v>7</v>
      </c>
    </row>
    <row r="23" spans="1:7" ht="60.75" customHeight="1" x14ac:dyDescent="0.2">
      <c r="A23" s="2448" t="s">
        <v>736</v>
      </c>
      <c r="B23" s="2449"/>
      <c r="C23" s="2449"/>
      <c r="D23" s="2449"/>
      <c r="E23" s="2449"/>
      <c r="F23" s="2449"/>
      <c r="G23" s="2450"/>
    </row>
    <row r="24" spans="1:7" ht="60.75" customHeight="1" x14ac:dyDescent="0.2">
      <c r="A24" s="2451" t="s">
        <v>1171</v>
      </c>
      <c r="B24" s="2452"/>
      <c r="C24" s="2452"/>
      <c r="D24" s="2452"/>
      <c r="E24" s="2452"/>
      <c r="F24" s="2452"/>
      <c r="G24" s="2453"/>
    </row>
    <row r="25" spans="1:7" ht="75.75" customHeight="1" x14ac:dyDescent="0.2">
      <c r="A25" s="1558">
        <v>15</v>
      </c>
      <c r="B25" s="1559" t="s">
        <v>737</v>
      </c>
      <c r="C25" s="1558" t="s">
        <v>448</v>
      </c>
      <c r="D25" s="1570" t="s">
        <v>738</v>
      </c>
      <c r="E25" s="1560" t="s">
        <v>219</v>
      </c>
      <c r="F25" s="1562" t="s">
        <v>1637</v>
      </c>
      <c r="G25" s="1571" t="s">
        <v>727</v>
      </c>
    </row>
    <row r="26" spans="1:7" ht="144.75" customHeight="1" x14ac:dyDescent="0.2">
      <c r="A26" s="1558">
        <v>16</v>
      </c>
      <c r="B26" s="1565" t="s">
        <v>1657</v>
      </c>
      <c r="C26" s="1558" t="s">
        <v>739</v>
      </c>
      <c r="D26" s="1570" t="s">
        <v>740</v>
      </c>
      <c r="E26" s="1560" t="s">
        <v>1025</v>
      </c>
      <c r="F26" s="1562" t="s">
        <v>1637</v>
      </c>
      <c r="G26" s="1558" t="s">
        <v>727</v>
      </c>
    </row>
    <row r="27" spans="1:7" ht="165.75" customHeight="1" x14ac:dyDescent="0.2">
      <c r="A27" s="1558">
        <v>17</v>
      </c>
      <c r="B27" s="1565" t="s">
        <v>1658</v>
      </c>
      <c r="C27" s="1558" t="s">
        <v>1630</v>
      </c>
      <c r="D27" s="1558">
        <v>60</v>
      </c>
      <c r="E27" s="1560" t="s">
        <v>1025</v>
      </c>
      <c r="F27" s="1562" t="s">
        <v>1637</v>
      </c>
      <c r="G27" s="1558" t="s">
        <v>727</v>
      </c>
    </row>
    <row r="28" spans="1:7" ht="150.75" customHeight="1" x14ac:dyDescent="0.2">
      <c r="A28" s="1558">
        <v>18</v>
      </c>
      <c r="B28" s="1565" t="s">
        <v>1659</v>
      </c>
      <c r="C28" s="1561" t="s">
        <v>448</v>
      </c>
      <c r="D28" s="1561" t="s">
        <v>1631</v>
      </c>
      <c r="E28" s="1560" t="s">
        <v>1025</v>
      </c>
      <c r="F28" s="1561" t="s">
        <v>1641</v>
      </c>
      <c r="G28" s="1558" t="s">
        <v>727</v>
      </c>
    </row>
    <row r="29" spans="1:7" ht="153" customHeight="1" x14ac:dyDescent="0.2">
      <c r="A29" s="1558">
        <v>19</v>
      </c>
      <c r="B29" s="1565" t="s">
        <v>1660</v>
      </c>
      <c r="C29" s="1561" t="s">
        <v>448</v>
      </c>
      <c r="D29" s="1561" t="s">
        <v>1632</v>
      </c>
      <c r="E29" s="1560" t="s">
        <v>1025</v>
      </c>
      <c r="F29" s="1561" t="s">
        <v>1641</v>
      </c>
      <c r="G29" s="1558" t="s">
        <v>727</v>
      </c>
    </row>
    <row r="30" spans="1:7" ht="109.5" customHeight="1" x14ac:dyDescent="0.2">
      <c r="A30" s="1558">
        <v>20</v>
      </c>
      <c r="B30" s="1565" t="s">
        <v>1661</v>
      </c>
      <c r="C30" s="1558" t="s">
        <v>448</v>
      </c>
      <c r="D30" s="1558" t="s">
        <v>741</v>
      </c>
      <c r="E30" s="1560" t="s">
        <v>901</v>
      </c>
      <c r="F30" s="1562" t="s">
        <v>1637</v>
      </c>
      <c r="G30" s="1558" t="s">
        <v>727</v>
      </c>
    </row>
    <row r="31" spans="1:7" ht="181.5" customHeight="1" x14ac:dyDescent="0.2">
      <c r="A31" s="1558">
        <v>21</v>
      </c>
      <c r="B31" s="1559" t="s">
        <v>1662</v>
      </c>
      <c r="C31" s="1558" t="s">
        <v>448</v>
      </c>
      <c r="D31" s="1558" t="s">
        <v>1638</v>
      </c>
      <c r="E31" s="1560" t="s">
        <v>901</v>
      </c>
      <c r="F31" s="1558" t="s">
        <v>1633</v>
      </c>
      <c r="G31" s="1561" t="s">
        <v>729</v>
      </c>
    </row>
    <row r="32" spans="1:7" ht="57" customHeight="1" x14ac:dyDescent="0.2">
      <c r="A32" s="2451" t="s">
        <v>1635</v>
      </c>
      <c r="B32" s="2454"/>
      <c r="C32" s="2454"/>
      <c r="D32" s="2454"/>
      <c r="E32" s="2454"/>
      <c r="F32" s="2454"/>
      <c r="G32" s="2455"/>
    </row>
    <row r="33" spans="1:7" ht="147" customHeight="1" x14ac:dyDescent="0.2">
      <c r="A33" s="1560">
        <v>22</v>
      </c>
      <c r="B33" s="1558" t="s">
        <v>742</v>
      </c>
      <c r="C33" s="1558" t="s">
        <v>725</v>
      </c>
      <c r="D33" s="1561" t="s">
        <v>480</v>
      </c>
      <c r="E33" s="1560" t="s">
        <v>219</v>
      </c>
      <c r="F33" s="1561" t="s">
        <v>1641</v>
      </c>
      <c r="G33" s="1558" t="s">
        <v>727</v>
      </c>
    </row>
    <row r="34" spans="1:7" ht="124.5" customHeight="1" x14ac:dyDescent="0.2">
      <c r="A34" s="1558">
        <v>23</v>
      </c>
      <c r="B34" s="1569" t="s">
        <v>1663</v>
      </c>
      <c r="C34" s="1558" t="s">
        <v>1639</v>
      </c>
      <c r="D34" s="1558" t="s">
        <v>1638</v>
      </c>
      <c r="E34" s="1560" t="s">
        <v>219</v>
      </c>
      <c r="F34" s="1562" t="s">
        <v>1637</v>
      </c>
      <c r="G34" s="1558" t="s">
        <v>727</v>
      </c>
    </row>
    <row r="35" spans="1:7" ht="61.5" customHeight="1" x14ac:dyDescent="0.2">
      <c r="A35" s="2451" t="s">
        <v>743</v>
      </c>
      <c r="B35" s="2449"/>
      <c r="C35" s="2449"/>
      <c r="D35" s="2449"/>
      <c r="E35" s="2449"/>
      <c r="F35" s="2449"/>
      <c r="G35" s="2450"/>
    </row>
    <row r="36" spans="1:7" ht="147" customHeight="1" x14ac:dyDescent="0.2">
      <c r="A36" s="1560">
        <v>24</v>
      </c>
      <c r="B36" s="1558" t="s">
        <v>1664</v>
      </c>
      <c r="C36" s="1558" t="s">
        <v>1665</v>
      </c>
      <c r="D36" s="1561" t="s">
        <v>1666</v>
      </c>
      <c r="E36" s="1572" t="s">
        <v>845</v>
      </c>
      <c r="F36" s="1561" t="s">
        <v>1641</v>
      </c>
      <c r="G36" s="1558" t="s">
        <v>727</v>
      </c>
    </row>
    <row r="37" spans="1:7" ht="108.75" customHeight="1" x14ac:dyDescent="0.2">
      <c r="A37" s="1558">
        <v>25</v>
      </c>
      <c r="B37" s="1559" t="s">
        <v>1634</v>
      </c>
      <c r="C37" s="1558" t="s">
        <v>725</v>
      </c>
      <c r="D37" s="1558" t="s">
        <v>744</v>
      </c>
      <c r="E37" s="1560" t="s">
        <v>1025</v>
      </c>
      <c r="F37" s="1561" t="s">
        <v>1637</v>
      </c>
      <c r="G37" s="1558" t="s">
        <v>727</v>
      </c>
    </row>
    <row r="38" spans="1:7" ht="54" customHeight="1" x14ac:dyDescent="0.2">
      <c r="B38" s="1573" t="s">
        <v>745</v>
      </c>
      <c r="D38" s="1573" t="s">
        <v>1070</v>
      </c>
      <c r="E38" s="1573" t="s">
        <v>1636</v>
      </c>
    </row>
    <row r="39" spans="1:7" ht="81.75" customHeight="1" x14ac:dyDescent="0.2">
      <c r="B39" s="1573" t="s">
        <v>1624</v>
      </c>
      <c r="C39" s="1574"/>
      <c r="D39" s="1575" t="s">
        <v>900</v>
      </c>
    </row>
    <row r="40" spans="1:7" ht="54" customHeight="1" x14ac:dyDescent="0.2"/>
    <row r="41" spans="1:7" ht="54" customHeight="1" x14ac:dyDescent="0.2">
      <c r="B41" s="2456" t="s">
        <v>746</v>
      </c>
      <c r="C41" s="2456"/>
      <c r="D41" s="2456"/>
      <c r="E41" s="2456"/>
      <c r="F41" s="2456"/>
      <c r="G41" s="2456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7" customWidth="1"/>
    <col min="2" max="2" width="15.42578125" style="737" customWidth="1"/>
    <col min="3" max="3" width="71" style="753" customWidth="1"/>
    <col min="4" max="4" width="7.28515625" style="737" customWidth="1"/>
    <col min="5" max="5" width="23.42578125" style="737" customWidth="1"/>
    <col min="6" max="6" width="67.42578125" style="753" customWidth="1"/>
    <col min="7" max="7" width="11.7109375" style="595" customWidth="1"/>
    <col min="8" max="8" width="20" style="595" customWidth="1"/>
  </cols>
  <sheetData>
    <row r="1" spans="1:8" ht="69" customHeight="1" x14ac:dyDescent="0.3">
      <c r="A1" s="2346" t="s">
        <v>608</v>
      </c>
      <c r="B1" s="2346"/>
      <c r="C1" s="2346"/>
      <c r="D1" s="2457" t="s">
        <v>575</v>
      </c>
      <c r="E1" s="2457"/>
      <c r="F1" s="2457"/>
    </row>
    <row r="2" spans="1:8" s="195" customFormat="1" ht="57" customHeight="1" x14ac:dyDescent="0.2">
      <c r="A2" s="738" t="s">
        <v>131</v>
      </c>
      <c r="B2" s="738" t="s">
        <v>576</v>
      </c>
      <c r="C2" s="738" t="s">
        <v>155</v>
      </c>
      <c r="D2" s="738" t="s">
        <v>131</v>
      </c>
      <c r="E2" s="738" t="s">
        <v>576</v>
      </c>
      <c r="F2" s="738" t="s">
        <v>155</v>
      </c>
    </row>
    <row r="3" spans="1:8" s="196" customFormat="1" ht="24" customHeight="1" x14ac:dyDescent="0.2">
      <c r="A3" s="738">
        <v>1</v>
      </c>
      <c r="B3" s="738" t="s">
        <v>19</v>
      </c>
      <c r="C3" s="738" t="s">
        <v>156</v>
      </c>
      <c r="D3" s="738">
        <v>1</v>
      </c>
      <c r="E3" s="738" t="s">
        <v>629</v>
      </c>
      <c r="F3" s="738" t="s">
        <v>445</v>
      </c>
    </row>
    <row r="4" spans="1:8" s="196" customFormat="1" ht="24" customHeight="1" x14ac:dyDescent="0.2">
      <c r="A4" s="738">
        <v>2</v>
      </c>
      <c r="B4" s="738" t="s">
        <v>441</v>
      </c>
      <c r="C4" s="738" t="s">
        <v>577</v>
      </c>
      <c r="D4" s="738">
        <v>2</v>
      </c>
      <c r="E4" s="738" t="s">
        <v>617</v>
      </c>
      <c r="F4" s="738" t="s">
        <v>718</v>
      </c>
    </row>
    <row r="5" spans="1:8" s="196" customFormat="1" ht="24" customHeight="1" x14ac:dyDescent="0.2">
      <c r="A5" s="738">
        <v>3</v>
      </c>
      <c r="B5" s="738" t="s">
        <v>182</v>
      </c>
      <c r="C5" s="738" t="s">
        <v>160</v>
      </c>
      <c r="D5" s="738">
        <v>3</v>
      </c>
      <c r="E5" s="738" t="s">
        <v>81</v>
      </c>
      <c r="F5" s="738" t="s">
        <v>630</v>
      </c>
    </row>
    <row r="6" spans="1:8" s="196" customFormat="1" ht="24" customHeight="1" x14ac:dyDescent="0.2">
      <c r="A6" s="738">
        <v>4</v>
      </c>
      <c r="B6" s="738" t="s">
        <v>0</v>
      </c>
      <c r="C6" s="738" t="s">
        <v>157</v>
      </c>
      <c r="D6" s="738">
        <v>4</v>
      </c>
      <c r="E6" s="741" t="s">
        <v>79</v>
      </c>
      <c r="F6" s="656" t="s">
        <v>887</v>
      </c>
    </row>
    <row r="7" spans="1:8" s="196" customFormat="1" ht="24" customHeight="1" x14ac:dyDescent="0.2">
      <c r="A7" s="738">
        <v>5</v>
      </c>
      <c r="B7" s="738" t="s">
        <v>392</v>
      </c>
      <c r="C7" s="738" t="s">
        <v>578</v>
      </c>
      <c r="D7" s="738">
        <v>6</v>
      </c>
      <c r="E7" s="741" t="s">
        <v>644</v>
      </c>
      <c r="F7" s="656" t="s">
        <v>587</v>
      </c>
    </row>
    <row r="8" spans="1:8" s="196" customFormat="1" ht="24" customHeight="1" x14ac:dyDescent="0.2">
      <c r="A8" s="738">
        <v>6</v>
      </c>
      <c r="B8" s="738" t="s">
        <v>579</v>
      </c>
      <c r="C8" s="738" t="s">
        <v>580</v>
      </c>
      <c r="D8" s="738">
        <v>7</v>
      </c>
      <c r="E8" s="738" t="s">
        <v>610</v>
      </c>
      <c r="F8" s="738" t="s">
        <v>631</v>
      </c>
    </row>
    <row r="9" spans="1:8" s="196" customFormat="1" ht="24" customHeight="1" x14ac:dyDescent="0.2">
      <c r="A9" s="738">
        <v>7</v>
      </c>
      <c r="B9" s="738" t="s">
        <v>23</v>
      </c>
      <c r="C9" s="738" t="s">
        <v>581</v>
      </c>
      <c r="D9" s="738">
        <v>8</v>
      </c>
      <c r="E9" s="738" t="s">
        <v>655</v>
      </c>
      <c r="F9" s="742" t="s">
        <v>656</v>
      </c>
    </row>
    <row r="10" spans="1:8" s="196" customFormat="1" ht="24" customHeight="1" x14ac:dyDescent="0.2">
      <c r="A10" s="738">
        <v>8</v>
      </c>
      <c r="B10" s="738" t="s">
        <v>582</v>
      </c>
      <c r="C10" s="738" t="s">
        <v>583</v>
      </c>
      <c r="D10" s="738">
        <v>9</v>
      </c>
      <c r="E10" s="739" t="s">
        <v>807</v>
      </c>
      <c r="F10" s="739" t="s">
        <v>806</v>
      </c>
    </row>
    <row r="11" spans="1:8" s="196" customFormat="1" ht="24" customHeight="1" x14ac:dyDescent="0.2">
      <c r="A11" s="738">
        <v>9</v>
      </c>
      <c r="B11" s="742" t="s">
        <v>185</v>
      </c>
      <c r="C11" s="742" t="s">
        <v>186</v>
      </c>
      <c r="D11" s="738">
        <v>10</v>
      </c>
      <c r="E11" s="738" t="s">
        <v>438</v>
      </c>
      <c r="F11" s="738" t="s">
        <v>888</v>
      </c>
    </row>
    <row r="12" spans="1:8" s="196" customFormat="1" ht="24" customHeight="1" x14ac:dyDescent="0.2">
      <c r="A12" s="738">
        <v>10</v>
      </c>
      <c r="B12" s="738" t="s">
        <v>189</v>
      </c>
      <c r="C12" s="738" t="s">
        <v>235</v>
      </c>
      <c r="D12" s="738">
        <v>11</v>
      </c>
      <c r="E12" s="738" t="s">
        <v>898</v>
      </c>
      <c r="F12" s="738" t="s">
        <v>889</v>
      </c>
    </row>
    <row r="13" spans="1:8" s="196" customFormat="1" ht="26.25" customHeight="1" x14ac:dyDescent="0.2">
      <c r="A13" s="738">
        <v>11</v>
      </c>
      <c r="B13" s="738" t="s">
        <v>24</v>
      </c>
      <c r="C13" s="738" t="s">
        <v>584</v>
      </c>
      <c r="D13" s="738">
        <v>12</v>
      </c>
      <c r="E13" s="1032" t="s">
        <v>1077</v>
      </c>
      <c r="F13" s="738" t="s">
        <v>890</v>
      </c>
    </row>
    <row r="14" spans="1:8" s="196" customFormat="1" ht="50.25" customHeight="1" x14ac:dyDescent="0.2">
      <c r="A14" s="738">
        <v>12</v>
      </c>
      <c r="B14" s="738" t="s">
        <v>34</v>
      </c>
      <c r="C14" s="738" t="s">
        <v>585</v>
      </c>
      <c r="D14" s="738">
        <v>13</v>
      </c>
      <c r="E14" s="740" t="s">
        <v>979</v>
      </c>
      <c r="F14" s="738" t="s">
        <v>980</v>
      </c>
      <c r="G14" s="658"/>
      <c r="H14" s="658"/>
    </row>
    <row r="15" spans="1:8" s="196" customFormat="1" ht="24" customHeight="1" x14ac:dyDescent="0.2">
      <c r="A15" s="738">
        <v>13</v>
      </c>
      <c r="B15" s="738" t="s">
        <v>30</v>
      </c>
      <c r="C15" s="738" t="s">
        <v>586</v>
      </c>
      <c r="D15" s="738">
        <v>14</v>
      </c>
      <c r="E15" s="1032" t="s">
        <v>1076</v>
      </c>
      <c r="F15" s="738" t="s">
        <v>657</v>
      </c>
      <c r="G15" s="658"/>
      <c r="H15" s="658"/>
    </row>
    <row r="16" spans="1:8" s="196" customFormat="1" ht="24" customHeight="1" x14ac:dyDescent="0.2">
      <c r="A16" s="738">
        <v>14</v>
      </c>
      <c r="B16" s="738" t="s">
        <v>29</v>
      </c>
      <c r="C16" s="738" t="s">
        <v>159</v>
      </c>
      <c r="D16" s="738">
        <v>15</v>
      </c>
      <c r="E16" s="738" t="s">
        <v>618</v>
      </c>
      <c r="F16" s="738" t="s">
        <v>619</v>
      </c>
      <c r="G16" s="658"/>
      <c r="H16" s="658"/>
    </row>
    <row r="17" spans="1:8" s="196" customFormat="1" ht="24" customHeight="1" x14ac:dyDescent="0.2">
      <c r="A17" s="738">
        <v>15</v>
      </c>
      <c r="B17" s="656" t="s">
        <v>181</v>
      </c>
      <c r="C17" s="656" t="s">
        <v>172</v>
      </c>
      <c r="D17" s="738">
        <v>16</v>
      </c>
      <c r="E17" s="738" t="s">
        <v>891</v>
      </c>
      <c r="F17" s="738" t="s">
        <v>26</v>
      </c>
      <c r="G17" s="658"/>
      <c r="H17" s="658"/>
    </row>
    <row r="18" spans="1:8" s="196" customFormat="1" ht="24" customHeight="1" x14ac:dyDescent="0.2">
      <c r="A18" s="738">
        <v>16</v>
      </c>
      <c r="B18" s="738" t="s">
        <v>462</v>
      </c>
      <c r="C18" s="738" t="s">
        <v>609</v>
      </c>
      <c r="D18" s="738">
        <v>17</v>
      </c>
      <c r="E18" s="738" t="s">
        <v>620</v>
      </c>
      <c r="F18" s="738" t="s">
        <v>632</v>
      </c>
      <c r="G18" s="658"/>
      <c r="H18" s="658"/>
    </row>
    <row r="19" spans="1:8" s="196" customFormat="1" ht="24" customHeight="1" x14ac:dyDescent="0.2">
      <c r="A19" s="738">
        <v>17</v>
      </c>
      <c r="B19" s="738" t="s">
        <v>70</v>
      </c>
      <c r="C19" s="738" t="s">
        <v>588</v>
      </c>
      <c r="D19" s="738">
        <v>18</v>
      </c>
      <c r="E19" s="743" t="s">
        <v>613</v>
      </c>
      <c r="F19" s="743" t="s">
        <v>658</v>
      </c>
      <c r="G19" s="658"/>
      <c r="H19" s="658"/>
    </row>
    <row r="20" spans="1:8" s="196" customFormat="1" ht="24" customHeight="1" x14ac:dyDescent="0.2">
      <c r="A20" s="738">
        <v>18</v>
      </c>
      <c r="B20" s="738" t="s">
        <v>12</v>
      </c>
      <c r="C20" s="738" t="s">
        <v>589</v>
      </c>
      <c r="D20" s="738">
        <v>19</v>
      </c>
      <c r="E20" s="743" t="s">
        <v>959</v>
      </c>
      <c r="F20" s="743" t="s">
        <v>633</v>
      </c>
      <c r="G20" s="658"/>
      <c r="H20" s="658"/>
    </row>
    <row r="21" spans="1:8" s="196" customFormat="1" ht="24" customHeight="1" x14ac:dyDescent="0.2">
      <c r="A21" s="738">
        <v>19</v>
      </c>
      <c r="B21" s="738" t="s">
        <v>957</v>
      </c>
      <c r="C21" s="656" t="s">
        <v>958</v>
      </c>
      <c r="D21" s="738">
        <v>20</v>
      </c>
      <c r="E21" s="743" t="s">
        <v>960</v>
      </c>
      <c r="F21" s="743" t="s">
        <v>614</v>
      </c>
      <c r="G21" s="658"/>
      <c r="H21" s="658"/>
    </row>
    <row r="22" spans="1:8" s="196" customFormat="1" ht="24" customHeight="1" x14ac:dyDescent="0.2">
      <c r="A22" s="738"/>
      <c r="B22" s="656"/>
      <c r="C22" s="656"/>
      <c r="D22" s="738">
        <v>21</v>
      </c>
      <c r="E22" s="743" t="s">
        <v>961</v>
      </c>
      <c r="F22" s="743" t="s">
        <v>634</v>
      </c>
      <c r="G22" s="658"/>
      <c r="H22" s="658"/>
    </row>
    <row r="23" spans="1:8" s="196" customFormat="1" ht="24" customHeight="1" x14ac:dyDescent="0.2">
      <c r="A23" s="738"/>
      <c r="B23" s="656"/>
      <c r="C23" s="656"/>
      <c r="D23" s="738">
        <v>22</v>
      </c>
      <c r="E23" s="743" t="s">
        <v>962</v>
      </c>
      <c r="F23" s="743" t="s">
        <v>659</v>
      </c>
      <c r="G23" s="658"/>
      <c r="H23" s="658"/>
    </row>
    <row r="24" spans="1:8" s="196" customFormat="1" ht="24" customHeight="1" x14ac:dyDescent="0.2">
      <c r="A24" s="738"/>
      <c r="B24" s="656"/>
      <c r="C24" s="656"/>
      <c r="D24" s="738">
        <v>23</v>
      </c>
      <c r="E24" s="743" t="s">
        <v>969</v>
      </c>
      <c r="F24" s="743" t="s">
        <v>635</v>
      </c>
      <c r="G24" s="658"/>
      <c r="H24" s="658"/>
    </row>
    <row r="25" spans="1:8" s="196" customFormat="1" ht="24" customHeight="1" x14ac:dyDescent="0.2">
      <c r="A25" s="738"/>
      <c r="B25" s="656"/>
      <c r="C25" s="656"/>
      <c r="D25" s="738">
        <v>24</v>
      </c>
      <c r="E25" s="742" t="s">
        <v>660</v>
      </c>
      <c r="F25" s="738" t="s">
        <v>636</v>
      </c>
      <c r="G25" s="658"/>
      <c r="H25" s="658"/>
    </row>
    <row r="26" spans="1:8" s="196" customFormat="1" ht="24" customHeight="1" x14ac:dyDescent="0.2">
      <c r="A26" s="738"/>
      <c r="B26" s="656"/>
      <c r="C26" s="656"/>
      <c r="D26" s="738">
        <v>25</v>
      </c>
      <c r="E26" s="742" t="s">
        <v>615</v>
      </c>
      <c r="F26" s="738" t="s">
        <v>39</v>
      </c>
      <c r="G26" s="658"/>
      <c r="H26" s="658"/>
    </row>
    <row r="27" spans="1:8" s="196" customFormat="1" ht="24" customHeight="1" x14ac:dyDescent="0.2">
      <c r="A27" s="738"/>
      <c r="B27" s="656"/>
      <c r="C27" s="656"/>
      <c r="D27" s="738">
        <v>26</v>
      </c>
      <c r="E27" s="738" t="s">
        <v>616</v>
      </c>
      <c r="F27" s="738" t="s">
        <v>637</v>
      </c>
      <c r="G27" s="658"/>
      <c r="H27" s="658"/>
    </row>
    <row r="28" spans="1:8" s="196" customFormat="1" ht="24" customHeight="1" x14ac:dyDescent="0.2">
      <c r="A28" s="738"/>
      <c r="B28" s="738"/>
      <c r="C28" s="738"/>
      <c r="D28" s="738">
        <v>27</v>
      </c>
      <c r="E28" s="742" t="s">
        <v>28</v>
      </c>
      <c r="F28" s="742" t="s">
        <v>607</v>
      </c>
      <c r="G28" s="658"/>
      <c r="H28" s="658"/>
    </row>
    <row r="29" spans="1:8" s="196" customFormat="1" ht="44.25" customHeight="1" x14ac:dyDescent="0.2">
      <c r="A29" s="2458" t="s">
        <v>590</v>
      </c>
      <c r="B29" s="2459"/>
      <c r="C29" s="2459"/>
      <c r="D29" s="738">
        <v>28</v>
      </c>
      <c r="E29" s="738" t="s">
        <v>661</v>
      </c>
      <c r="F29" s="738" t="s">
        <v>892</v>
      </c>
      <c r="G29" s="658"/>
      <c r="H29" s="658"/>
    </row>
    <row r="30" spans="1:8" s="196" customFormat="1" ht="24" customHeight="1" x14ac:dyDescent="0.2">
      <c r="A30" s="744" t="s">
        <v>131</v>
      </c>
      <c r="B30" s="655" t="s">
        <v>591</v>
      </c>
      <c r="C30" s="738" t="s">
        <v>155</v>
      </c>
      <c r="D30" s="738">
        <v>29</v>
      </c>
      <c r="E30" s="738" t="s">
        <v>641</v>
      </c>
      <c r="F30" s="738" t="s">
        <v>208</v>
      </c>
      <c r="G30" s="658"/>
      <c r="H30" s="658"/>
    </row>
    <row r="31" spans="1:8" s="196" customFormat="1" ht="24" customHeight="1" x14ac:dyDescent="0.2">
      <c r="A31" s="745">
        <v>1</v>
      </c>
      <c r="B31" s="738" t="s">
        <v>592</v>
      </c>
      <c r="C31" s="738" t="s">
        <v>593</v>
      </c>
      <c r="D31" s="738">
        <v>30</v>
      </c>
      <c r="E31" s="738" t="s">
        <v>642</v>
      </c>
      <c r="F31" s="738" t="s">
        <v>643</v>
      </c>
      <c r="G31" s="658"/>
      <c r="H31" s="658"/>
    </row>
    <row r="32" spans="1:8" s="196" customFormat="1" ht="24" customHeight="1" x14ac:dyDescent="0.2">
      <c r="A32" s="745">
        <v>2</v>
      </c>
      <c r="B32" s="738" t="s">
        <v>594</v>
      </c>
      <c r="C32" s="738" t="s">
        <v>595</v>
      </c>
      <c r="D32" s="738">
        <v>31</v>
      </c>
      <c r="E32" s="738" t="s">
        <v>662</v>
      </c>
      <c r="F32" s="738" t="s">
        <v>653</v>
      </c>
      <c r="G32" s="658"/>
      <c r="H32" s="658"/>
    </row>
    <row r="33" spans="1:8" s="196" customFormat="1" ht="24" customHeight="1" x14ac:dyDescent="0.2">
      <c r="A33" s="745">
        <v>3</v>
      </c>
      <c r="B33" s="742" t="s">
        <v>596</v>
      </c>
      <c r="C33" s="742" t="s">
        <v>597</v>
      </c>
      <c r="D33" s="738">
        <v>32</v>
      </c>
      <c r="E33" s="738" t="s">
        <v>663</v>
      </c>
      <c r="F33" s="738" t="s">
        <v>664</v>
      </c>
      <c r="G33" s="658"/>
      <c r="H33" s="658"/>
    </row>
    <row r="34" spans="1:8" s="196" customFormat="1" ht="24" customHeight="1" x14ac:dyDescent="0.2">
      <c r="A34" s="745">
        <v>4</v>
      </c>
      <c r="B34" s="746" t="s">
        <v>886</v>
      </c>
      <c r="C34" s="742" t="s">
        <v>598</v>
      </c>
      <c r="D34" s="738">
        <v>33</v>
      </c>
      <c r="E34" s="738" t="s">
        <v>963</v>
      </c>
      <c r="F34" s="738" t="s">
        <v>638</v>
      </c>
      <c r="G34" s="658"/>
      <c r="H34" s="658"/>
    </row>
    <row r="35" spans="1:8" s="196" customFormat="1" ht="24" customHeight="1" x14ac:dyDescent="0.2">
      <c r="A35" s="747">
        <v>5</v>
      </c>
      <c r="B35" s="742" t="s">
        <v>599</v>
      </c>
      <c r="C35" s="742" t="s">
        <v>600</v>
      </c>
      <c r="D35" s="738">
        <v>34</v>
      </c>
      <c r="E35" s="738" t="s">
        <v>639</v>
      </c>
      <c r="F35" s="738" t="s">
        <v>640</v>
      </c>
      <c r="G35" s="658"/>
      <c r="H35" s="658"/>
    </row>
    <row r="36" spans="1:8" s="196" customFormat="1" ht="24" customHeight="1" x14ac:dyDescent="0.2">
      <c r="A36" s="745">
        <v>6</v>
      </c>
      <c r="B36" s="742" t="s">
        <v>893</v>
      </c>
      <c r="C36" s="742" t="s">
        <v>601</v>
      </c>
      <c r="D36" s="738">
        <v>35</v>
      </c>
      <c r="E36" s="738" t="s">
        <v>645</v>
      </c>
      <c r="F36" s="738" t="s">
        <v>665</v>
      </c>
      <c r="G36" s="658"/>
      <c r="H36" s="658"/>
    </row>
    <row r="37" spans="1:8" s="196" customFormat="1" ht="24" customHeight="1" x14ac:dyDescent="0.2">
      <c r="A37" s="745">
        <v>7</v>
      </c>
      <c r="B37" s="742" t="s">
        <v>611</v>
      </c>
      <c r="C37" s="742" t="s">
        <v>612</v>
      </c>
      <c r="D37" s="738">
        <v>36</v>
      </c>
      <c r="E37" s="738" t="s">
        <v>646</v>
      </c>
      <c r="F37" s="738" t="s">
        <v>666</v>
      </c>
      <c r="G37" s="658"/>
      <c r="H37" s="658"/>
    </row>
    <row r="38" spans="1:8" s="196" customFormat="1" ht="24" customHeight="1" x14ac:dyDescent="0.2">
      <c r="A38" s="745">
        <v>8</v>
      </c>
      <c r="B38" s="742" t="s">
        <v>602</v>
      </c>
      <c r="C38" s="742" t="s">
        <v>603</v>
      </c>
      <c r="D38" s="738">
        <v>37</v>
      </c>
      <c r="E38" s="738" t="s">
        <v>647</v>
      </c>
      <c r="F38" s="738" t="s">
        <v>667</v>
      </c>
      <c r="G38" s="658"/>
      <c r="H38" s="658"/>
    </row>
    <row r="39" spans="1:8" s="196" customFormat="1" ht="24" customHeight="1" x14ac:dyDescent="0.2">
      <c r="A39" s="745">
        <v>9</v>
      </c>
      <c r="B39" s="742" t="s">
        <v>36</v>
      </c>
      <c r="C39" s="742" t="s">
        <v>604</v>
      </c>
      <c r="D39" s="738">
        <v>38</v>
      </c>
      <c r="E39" s="738" t="s">
        <v>652</v>
      </c>
      <c r="F39" s="738" t="s">
        <v>668</v>
      </c>
      <c r="G39" s="658"/>
      <c r="H39" s="658"/>
    </row>
    <row r="40" spans="1:8" s="196" customFormat="1" ht="24" customHeight="1" x14ac:dyDescent="0.2">
      <c r="A40" s="745">
        <v>10</v>
      </c>
      <c r="B40" s="742" t="s">
        <v>605</v>
      </c>
      <c r="C40" s="742" t="s">
        <v>606</v>
      </c>
      <c r="D40" s="738">
        <v>39</v>
      </c>
      <c r="E40" s="738" t="s">
        <v>648</v>
      </c>
      <c r="F40" s="738" t="s">
        <v>669</v>
      </c>
      <c r="G40" s="658"/>
      <c r="H40" s="658"/>
    </row>
    <row r="41" spans="1:8" s="196" customFormat="1" ht="24" customHeight="1" x14ac:dyDescent="0.2">
      <c r="A41" s="745">
        <v>11</v>
      </c>
      <c r="B41" s="656" t="s">
        <v>350</v>
      </c>
      <c r="C41" s="657" t="s">
        <v>351</v>
      </c>
      <c r="D41" s="738">
        <v>40</v>
      </c>
      <c r="E41" s="738" t="s">
        <v>649</v>
      </c>
      <c r="F41" s="738" t="s">
        <v>670</v>
      </c>
      <c r="G41" s="658"/>
      <c r="H41" s="658"/>
    </row>
    <row r="42" spans="1:8" s="196" customFormat="1" ht="24" customHeight="1" x14ac:dyDescent="0.2">
      <c r="A42" s="1032">
        <v>12</v>
      </c>
      <c r="B42" s="1032" t="s">
        <v>1414</v>
      </c>
      <c r="C42" s="1032" t="s">
        <v>1415</v>
      </c>
      <c r="D42" s="738">
        <v>41</v>
      </c>
      <c r="E42" s="738" t="s">
        <v>650</v>
      </c>
      <c r="F42" s="738" t="s">
        <v>671</v>
      </c>
      <c r="G42" s="658"/>
      <c r="H42" s="658"/>
    </row>
    <row r="43" spans="1:8" s="196" customFormat="1" ht="24" customHeight="1" x14ac:dyDescent="0.2">
      <c r="A43" s="748"/>
      <c r="B43" s="748"/>
      <c r="C43" s="748"/>
      <c r="D43" s="738">
        <v>42</v>
      </c>
      <c r="E43" s="738" t="s">
        <v>651</v>
      </c>
      <c r="F43" s="738" t="s">
        <v>672</v>
      </c>
      <c r="G43" s="658"/>
      <c r="H43" s="658"/>
    </row>
    <row r="44" spans="1:8" s="196" customFormat="1" ht="24" customHeight="1" x14ac:dyDescent="0.2">
      <c r="A44" s="748"/>
      <c r="B44" s="748"/>
      <c r="C44" s="748"/>
      <c r="D44" s="738">
        <v>43</v>
      </c>
      <c r="E44" s="738" t="s">
        <v>681</v>
      </c>
      <c r="F44" s="742" t="s">
        <v>682</v>
      </c>
      <c r="G44" s="658"/>
      <c r="H44" s="658"/>
    </row>
    <row r="45" spans="1:8" s="196" customFormat="1" ht="24" customHeight="1" x14ac:dyDescent="0.2">
      <c r="A45" s="748"/>
      <c r="B45" s="748"/>
      <c r="C45" s="748"/>
      <c r="D45" s="738">
        <v>44</v>
      </c>
      <c r="E45" s="738" t="s">
        <v>683</v>
      </c>
      <c r="F45" s="742" t="s">
        <v>684</v>
      </c>
      <c r="G45" s="658"/>
      <c r="H45" s="658"/>
    </row>
    <row r="46" spans="1:8" s="196" customFormat="1" ht="24" customHeight="1" x14ac:dyDescent="0.2">
      <c r="A46" s="748"/>
      <c r="B46" s="748"/>
      <c r="C46" s="748"/>
      <c r="D46" s="738">
        <v>45</v>
      </c>
      <c r="E46" s="656" t="s">
        <v>964</v>
      </c>
      <c r="F46" s="738" t="s">
        <v>685</v>
      </c>
      <c r="G46" s="658"/>
      <c r="H46" s="658"/>
    </row>
    <row r="47" spans="1:8" s="196" customFormat="1" ht="24" customHeight="1" x14ac:dyDescent="0.2">
      <c r="A47" s="748"/>
      <c r="B47" s="748"/>
      <c r="C47" s="748"/>
      <c r="D47" s="738">
        <v>46</v>
      </c>
      <c r="E47" s="656" t="s">
        <v>968</v>
      </c>
      <c r="F47" s="738" t="s">
        <v>686</v>
      </c>
      <c r="G47" s="658"/>
      <c r="H47" s="658"/>
    </row>
    <row r="48" spans="1:8" s="196" customFormat="1" ht="24" customHeight="1" x14ac:dyDescent="0.2">
      <c r="A48" s="748"/>
      <c r="B48" s="748"/>
      <c r="C48" s="748"/>
      <c r="D48" s="738">
        <v>47</v>
      </c>
      <c r="E48" s="738" t="s">
        <v>687</v>
      </c>
      <c r="F48" s="738" t="s">
        <v>688</v>
      </c>
      <c r="G48" s="658"/>
      <c r="H48" s="658"/>
    </row>
    <row r="49" spans="1:8" s="196" customFormat="1" ht="24" customHeight="1" x14ac:dyDescent="0.2">
      <c r="A49" s="748"/>
      <c r="B49" s="748"/>
      <c r="C49" s="748"/>
      <c r="D49" s="738">
        <v>48</v>
      </c>
      <c r="E49" s="738" t="s">
        <v>689</v>
      </c>
      <c r="F49" s="738" t="s">
        <v>690</v>
      </c>
      <c r="G49" s="658"/>
      <c r="H49" s="658"/>
    </row>
    <row r="50" spans="1:8" s="196" customFormat="1" ht="24" customHeight="1" x14ac:dyDescent="0.2">
      <c r="A50" s="748"/>
      <c r="B50" s="748"/>
      <c r="C50" s="748"/>
      <c r="D50" s="738">
        <v>49</v>
      </c>
      <c r="E50" s="738" t="s">
        <v>618</v>
      </c>
      <c r="F50" s="738" t="s">
        <v>619</v>
      </c>
      <c r="G50" s="658"/>
      <c r="H50" s="658"/>
    </row>
    <row r="51" spans="1:8" s="196" customFormat="1" ht="24" customHeight="1" x14ac:dyDescent="0.2">
      <c r="A51" s="748"/>
      <c r="B51" s="748"/>
      <c r="C51" s="748"/>
      <c r="D51" s="738">
        <v>50</v>
      </c>
      <c r="E51" s="738" t="s">
        <v>188</v>
      </c>
      <c r="F51" s="742" t="s">
        <v>691</v>
      </c>
      <c r="G51" s="658"/>
      <c r="H51" s="658"/>
    </row>
    <row r="52" spans="1:8" s="196" customFormat="1" ht="24" customHeight="1" x14ac:dyDescent="0.2">
      <c r="A52" s="748"/>
      <c r="B52" s="748"/>
      <c r="C52" s="748"/>
      <c r="D52" s="738">
        <v>51</v>
      </c>
      <c r="E52" s="659" t="s">
        <v>10</v>
      </c>
      <c r="F52" s="749" t="s">
        <v>708</v>
      </c>
      <c r="G52" s="658"/>
      <c r="H52" s="658"/>
    </row>
    <row r="53" spans="1:8" s="196" customFormat="1" ht="24" customHeight="1" x14ac:dyDescent="0.3">
      <c r="A53" s="748"/>
      <c r="B53" s="748"/>
      <c r="C53" s="748"/>
      <c r="D53" s="738">
        <v>52</v>
      </c>
      <c r="E53" s="750" t="s">
        <v>20</v>
      </c>
      <c r="F53" s="751" t="s">
        <v>709</v>
      </c>
      <c r="G53" s="658"/>
      <c r="H53" s="658"/>
    </row>
    <row r="54" spans="1:8" s="196" customFormat="1" ht="24" customHeight="1" x14ac:dyDescent="0.3">
      <c r="A54" s="748"/>
      <c r="B54" s="748"/>
      <c r="C54" s="748"/>
      <c r="D54" s="738">
        <v>53</v>
      </c>
      <c r="E54" s="750" t="s">
        <v>22</v>
      </c>
      <c r="F54" s="751" t="s">
        <v>710</v>
      </c>
      <c r="G54" s="658"/>
      <c r="H54" s="658"/>
    </row>
    <row r="55" spans="1:8" s="196" customFormat="1" ht="24" customHeight="1" x14ac:dyDescent="0.2">
      <c r="A55" s="748"/>
      <c r="B55" s="748"/>
      <c r="C55" s="748"/>
      <c r="D55" s="738">
        <v>54</v>
      </c>
      <c r="E55" s="739" t="s">
        <v>711</v>
      </c>
      <c r="F55" s="739" t="s">
        <v>712</v>
      </c>
      <c r="G55" s="658"/>
      <c r="H55" s="658"/>
    </row>
    <row r="56" spans="1:8" s="196" customFormat="1" ht="24" customHeight="1" x14ac:dyDescent="0.2">
      <c r="A56" s="748"/>
      <c r="B56" s="748"/>
      <c r="C56" s="748"/>
      <c r="D56" s="738">
        <v>55</v>
      </c>
      <c r="E56" s="738" t="s">
        <v>965</v>
      </c>
      <c r="F56" s="738" t="s">
        <v>716</v>
      </c>
      <c r="G56" s="658"/>
      <c r="H56" s="658"/>
    </row>
    <row r="57" spans="1:8" s="196" customFormat="1" ht="24" customHeight="1" x14ac:dyDescent="0.2">
      <c r="A57" s="748"/>
      <c r="B57" s="748"/>
      <c r="C57" s="748"/>
      <c r="D57" s="738">
        <v>56</v>
      </c>
      <c r="E57" s="738" t="s">
        <v>715</v>
      </c>
      <c r="F57" s="738" t="s">
        <v>717</v>
      </c>
      <c r="G57" s="658"/>
      <c r="H57" s="658"/>
    </row>
    <row r="58" spans="1:8" s="196" customFormat="1" ht="24" customHeight="1" x14ac:dyDescent="0.2">
      <c r="A58" s="748"/>
      <c r="B58" s="748"/>
      <c r="C58" s="748"/>
      <c r="D58" s="738">
        <v>57</v>
      </c>
      <c r="E58" s="738" t="s">
        <v>966</v>
      </c>
      <c r="F58" s="738" t="s">
        <v>719</v>
      </c>
      <c r="G58" s="658"/>
      <c r="H58" s="658"/>
    </row>
    <row r="59" spans="1:8" s="196" customFormat="1" ht="24" customHeight="1" x14ac:dyDescent="0.2">
      <c r="A59" s="748"/>
      <c r="B59" s="748"/>
      <c r="C59" s="748"/>
      <c r="D59" s="738">
        <v>58</v>
      </c>
      <c r="E59" s="738" t="s">
        <v>747</v>
      </c>
      <c r="F59" s="738" t="s">
        <v>748</v>
      </c>
      <c r="G59" s="658"/>
      <c r="H59" s="658"/>
    </row>
    <row r="60" spans="1:8" s="196" customFormat="1" ht="24" customHeight="1" x14ac:dyDescent="0.2">
      <c r="A60" s="748"/>
      <c r="B60" s="748"/>
      <c r="C60" s="748"/>
      <c r="D60" s="738">
        <v>59</v>
      </c>
      <c r="E60" s="738" t="s">
        <v>752</v>
      </c>
      <c r="F60" s="738" t="s">
        <v>753</v>
      </c>
      <c r="G60" s="658"/>
      <c r="H60" s="658"/>
    </row>
    <row r="61" spans="1:8" s="196" customFormat="1" ht="24" customHeight="1" x14ac:dyDescent="0.2">
      <c r="A61" s="748"/>
      <c r="B61" s="748"/>
      <c r="C61" s="748"/>
      <c r="D61" s="738">
        <v>60</v>
      </c>
      <c r="E61" s="738" t="s">
        <v>967</v>
      </c>
      <c r="F61" s="738" t="s">
        <v>770</v>
      </c>
      <c r="G61" s="658"/>
      <c r="H61" s="658"/>
    </row>
    <row r="62" spans="1:8" s="196" customFormat="1" ht="24" customHeight="1" x14ac:dyDescent="0.2">
      <c r="A62" s="748"/>
      <c r="B62" s="748"/>
      <c r="C62" s="748"/>
      <c r="D62" s="738">
        <v>61</v>
      </c>
      <c r="E62" s="752" t="s">
        <v>673</v>
      </c>
      <c r="F62" s="749" t="s">
        <v>894</v>
      </c>
      <c r="G62" s="658"/>
      <c r="H62" s="658"/>
    </row>
    <row r="63" spans="1:8" s="196" customFormat="1" ht="24" customHeight="1" x14ac:dyDescent="0.2">
      <c r="A63" s="748"/>
      <c r="B63" s="748"/>
      <c r="C63" s="748"/>
      <c r="D63" s="738">
        <v>62</v>
      </c>
      <c r="E63" s="752" t="s">
        <v>674</v>
      </c>
      <c r="F63" s="749" t="s">
        <v>804</v>
      </c>
      <c r="G63" s="658"/>
      <c r="H63" s="658"/>
    </row>
    <row r="64" spans="1:8" s="196" customFormat="1" ht="24" customHeight="1" x14ac:dyDescent="0.2">
      <c r="A64" s="748"/>
      <c r="B64" s="748"/>
      <c r="C64" s="748"/>
      <c r="D64" s="738">
        <v>63</v>
      </c>
      <c r="E64" s="659" t="s">
        <v>895</v>
      </c>
      <c r="F64" s="749" t="s">
        <v>805</v>
      </c>
      <c r="G64" s="658"/>
      <c r="H64" s="658"/>
    </row>
    <row r="65" spans="1:8" s="196" customFormat="1" ht="24" customHeight="1" x14ac:dyDescent="0.2">
      <c r="A65" s="748"/>
      <c r="B65" s="748"/>
      <c r="C65" s="748"/>
      <c r="D65" s="738">
        <v>64</v>
      </c>
      <c r="E65" s="738" t="s">
        <v>971</v>
      </c>
      <c r="F65" s="738" t="s">
        <v>972</v>
      </c>
      <c r="G65" s="658"/>
      <c r="H65" s="658"/>
    </row>
    <row r="66" spans="1:8" s="196" customFormat="1" ht="24" customHeight="1" x14ac:dyDescent="0.2">
      <c r="A66" s="748"/>
      <c r="B66" s="748"/>
      <c r="C66" s="748"/>
      <c r="D66" s="738">
        <v>65</v>
      </c>
      <c r="E66" s="738" t="s">
        <v>973</v>
      </c>
      <c r="F66" s="738" t="s">
        <v>974</v>
      </c>
      <c r="G66" s="658"/>
      <c r="H66" s="658"/>
    </row>
    <row r="67" spans="1:8" s="196" customFormat="1" ht="24" customHeight="1" x14ac:dyDescent="0.2">
      <c r="A67" s="748"/>
      <c r="B67" s="748"/>
      <c r="C67" s="748"/>
      <c r="D67" s="738">
        <v>66</v>
      </c>
      <c r="E67" s="738" t="s">
        <v>975</v>
      </c>
      <c r="F67" s="738" t="s">
        <v>976</v>
      </c>
      <c r="G67" s="658"/>
      <c r="H67" s="658"/>
    </row>
    <row r="68" spans="1:8" s="196" customFormat="1" ht="24" customHeight="1" x14ac:dyDescent="0.2">
      <c r="A68" s="748"/>
      <c r="B68" s="748"/>
      <c r="C68" s="748"/>
      <c r="D68" s="738">
        <v>67</v>
      </c>
      <c r="E68" s="659" t="s">
        <v>977</v>
      </c>
      <c r="F68" s="749" t="s">
        <v>978</v>
      </c>
      <c r="G68" s="658"/>
      <c r="H68" s="658"/>
    </row>
    <row r="69" spans="1:8" s="196" customFormat="1" ht="24" customHeight="1" x14ac:dyDescent="0.2">
      <c r="A69" s="748"/>
      <c r="B69" s="748"/>
      <c r="C69" s="748"/>
      <c r="D69" s="738">
        <v>68</v>
      </c>
      <c r="E69" s="738" t="s">
        <v>675</v>
      </c>
      <c r="F69" s="738" t="s">
        <v>676</v>
      </c>
      <c r="G69" s="658"/>
      <c r="H69" s="658"/>
    </row>
    <row r="70" spans="1:8" s="196" customFormat="1" ht="24" customHeight="1" x14ac:dyDescent="0.2">
      <c r="A70" s="748"/>
      <c r="B70" s="748"/>
      <c r="C70" s="748"/>
      <c r="D70" s="738">
        <v>69</v>
      </c>
      <c r="E70" s="738" t="s">
        <v>677</v>
      </c>
      <c r="F70" s="738" t="s">
        <v>678</v>
      </c>
      <c r="G70" s="658"/>
      <c r="H70" s="658"/>
    </row>
    <row r="71" spans="1:8" s="196" customFormat="1" ht="24" customHeight="1" x14ac:dyDescent="0.2">
      <c r="A71" s="748"/>
      <c r="B71" s="748"/>
      <c r="C71" s="748"/>
      <c r="D71" s="738">
        <v>70</v>
      </c>
      <c r="E71" s="738" t="s">
        <v>679</v>
      </c>
      <c r="F71" s="738" t="s">
        <v>680</v>
      </c>
      <c r="G71" s="658"/>
      <c r="H71" s="658"/>
    </row>
    <row r="72" spans="1:8" s="196" customFormat="1" ht="24" customHeight="1" x14ac:dyDescent="0.2">
      <c r="A72" s="748"/>
      <c r="B72" s="748"/>
      <c r="C72" s="748"/>
      <c r="D72" s="738">
        <v>71</v>
      </c>
      <c r="E72" s="743" t="s">
        <v>692</v>
      </c>
      <c r="F72" s="738" t="s">
        <v>693</v>
      </c>
      <c r="G72" s="658"/>
      <c r="H72" s="658"/>
    </row>
    <row r="73" spans="1:8" s="196" customFormat="1" ht="33.75" customHeight="1" x14ac:dyDescent="0.2">
      <c r="A73" s="748"/>
      <c r="B73" s="748"/>
      <c r="C73" s="748"/>
      <c r="D73" s="738">
        <v>72</v>
      </c>
      <c r="E73" s="742" t="s">
        <v>896</v>
      </c>
      <c r="F73" s="742" t="s">
        <v>694</v>
      </c>
      <c r="G73" s="658"/>
      <c r="H73" s="658"/>
    </row>
    <row r="74" spans="1:8" s="196" customFormat="1" ht="24" customHeight="1" x14ac:dyDescent="0.2">
      <c r="A74" s="748"/>
      <c r="B74" s="748"/>
      <c r="C74" s="748"/>
      <c r="D74" s="738">
        <v>73</v>
      </c>
      <c r="E74" s="743" t="s">
        <v>897</v>
      </c>
      <c r="F74" s="738" t="s">
        <v>695</v>
      </c>
      <c r="G74" s="658"/>
      <c r="H74" s="658"/>
    </row>
    <row r="75" spans="1:8" s="196" customFormat="1" ht="24" customHeight="1" x14ac:dyDescent="0.2">
      <c r="A75" s="748"/>
      <c r="B75" s="748"/>
      <c r="C75" s="748"/>
      <c r="D75" s="738">
        <v>74</v>
      </c>
      <c r="E75" s="743" t="s">
        <v>696</v>
      </c>
      <c r="F75" s="738" t="s">
        <v>697</v>
      </c>
      <c r="G75" s="658"/>
      <c r="H75" s="658"/>
    </row>
    <row r="76" spans="1:8" s="196" customFormat="1" ht="24" customHeight="1" x14ac:dyDescent="0.2">
      <c r="A76" s="748"/>
      <c r="B76" s="748"/>
      <c r="C76" s="748"/>
      <c r="D76" s="738">
        <v>75</v>
      </c>
      <c r="E76" s="738" t="s">
        <v>698</v>
      </c>
      <c r="F76" s="738" t="s">
        <v>699</v>
      </c>
      <c r="G76" s="658"/>
      <c r="H76" s="658"/>
    </row>
    <row r="77" spans="1:8" s="196" customFormat="1" ht="27.75" customHeight="1" x14ac:dyDescent="0.2">
      <c r="A77" s="748"/>
      <c r="B77" s="748"/>
      <c r="C77" s="748"/>
      <c r="D77" s="738">
        <v>76</v>
      </c>
      <c r="E77" s="738" t="s">
        <v>700</v>
      </c>
      <c r="F77" s="738" t="s">
        <v>701</v>
      </c>
      <c r="G77" s="658"/>
      <c r="H77" s="658"/>
    </row>
    <row r="78" spans="1:8" s="196" customFormat="1" ht="27.75" customHeight="1" x14ac:dyDescent="0.2">
      <c r="A78" s="748"/>
      <c r="B78" s="748"/>
      <c r="C78" s="748"/>
      <c r="D78" s="738">
        <v>77</v>
      </c>
      <c r="E78" s="738" t="s">
        <v>702</v>
      </c>
      <c r="F78" s="742" t="s">
        <v>703</v>
      </c>
      <c r="G78" s="658"/>
      <c r="H78" s="658"/>
    </row>
    <row r="79" spans="1:8" s="195" customFormat="1" ht="27.75" customHeight="1" x14ac:dyDescent="0.2">
      <c r="A79" s="748"/>
      <c r="B79" s="748"/>
      <c r="C79" s="748"/>
      <c r="D79" s="738">
        <v>78</v>
      </c>
      <c r="E79" s="752" t="s">
        <v>236</v>
      </c>
      <c r="F79" s="749" t="s">
        <v>237</v>
      </c>
      <c r="G79" s="658"/>
      <c r="H79" s="658"/>
    </row>
    <row r="80" spans="1:8" s="195" customFormat="1" ht="27.75" customHeight="1" x14ac:dyDescent="0.2">
      <c r="A80" s="748"/>
      <c r="B80" s="748"/>
      <c r="C80" s="748"/>
      <c r="D80" s="738">
        <v>79</v>
      </c>
      <c r="E80" s="738" t="s">
        <v>704</v>
      </c>
      <c r="F80" s="738" t="s">
        <v>417</v>
      </c>
      <c r="G80" s="658"/>
      <c r="H80" s="658"/>
    </row>
    <row r="81" spans="1:8" s="195" customFormat="1" ht="27.75" customHeight="1" x14ac:dyDescent="0.2">
      <c r="A81" s="748"/>
      <c r="B81" s="748"/>
      <c r="C81" s="748"/>
      <c r="D81" s="738">
        <v>80</v>
      </c>
      <c r="E81" s="738" t="s">
        <v>705</v>
      </c>
      <c r="F81" s="738" t="s">
        <v>238</v>
      </c>
      <c r="G81" s="658"/>
      <c r="H81" s="658"/>
    </row>
    <row r="82" spans="1:8" s="195" customFormat="1" ht="27.75" customHeight="1" x14ac:dyDescent="0.2">
      <c r="A82" s="748"/>
      <c r="B82" s="748"/>
      <c r="C82" s="748"/>
      <c r="D82" s="738">
        <v>81</v>
      </c>
      <c r="E82" s="659" t="s">
        <v>41</v>
      </c>
      <c r="F82" s="749" t="s">
        <v>749</v>
      </c>
      <c r="G82" s="658"/>
      <c r="H82" s="658"/>
    </row>
    <row r="83" spans="1:8" s="195" customFormat="1" ht="27.75" customHeight="1" x14ac:dyDescent="0.2">
      <c r="A83" s="748"/>
      <c r="B83" s="748"/>
      <c r="C83" s="748"/>
      <c r="D83" s="738">
        <v>82</v>
      </c>
      <c r="E83" s="659" t="s">
        <v>241</v>
      </c>
      <c r="F83" s="749" t="s">
        <v>706</v>
      </c>
      <c r="G83" s="658"/>
      <c r="H83" s="658"/>
    </row>
    <row r="84" spans="1:8" s="195" customFormat="1" ht="21.75" customHeight="1" x14ac:dyDescent="0.2">
      <c r="A84" s="748"/>
      <c r="B84" s="748"/>
      <c r="C84" s="748"/>
      <c r="D84" s="738">
        <v>83</v>
      </c>
      <c r="E84" s="659" t="s">
        <v>245</v>
      </c>
      <c r="F84" s="749" t="s">
        <v>239</v>
      </c>
      <c r="G84" s="658"/>
      <c r="H84" s="658"/>
    </row>
    <row r="85" spans="1:8" s="195" customFormat="1" ht="21.75" customHeight="1" x14ac:dyDescent="0.2">
      <c r="A85" s="748"/>
      <c r="B85" s="748"/>
      <c r="C85" s="748"/>
      <c r="D85" s="738">
        <v>84</v>
      </c>
      <c r="E85" s="659" t="s">
        <v>66</v>
      </c>
      <c r="F85" s="749" t="s">
        <v>240</v>
      </c>
      <c r="G85" s="658"/>
      <c r="H85" s="658"/>
    </row>
    <row r="86" spans="1:8" s="195" customFormat="1" ht="21.75" customHeight="1" x14ac:dyDescent="0.2">
      <c r="A86" s="748"/>
      <c r="B86" s="748"/>
      <c r="C86" s="748"/>
      <c r="D86" s="738">
        <v>85</v>
      </c>
      <c r="E86" s="659" t="s">
        <v>707</v>
      </c>
      <c r="F86" s="749" t="s">
        <v>244</v>
      </c>
      <c r="G86" s="658"/>
      <c r="H86" s="658"/>
    </row>
    <row r="87" spans="1:8" s="195" customFormat="1" ht="37.5" customHeight="1" x14ac:dyDescent="0.2">
      <c r="A87" s="748"/>
      <c r="B87" s="748"/>
      <c r="C87" s="748"/>
      <c r="D87" s="738">
        <v>86</v>
      </c>
      <c r="E87" s="659" t="s">
        <v>243</v>
      </c>
      <c r="F87" s="749" t="s">
        <v>242</v>
      </c>
      <c r="G87" s="658"/>
      <c r="H87" s="658"/>
    </row>
    <row r="88" spans="1:8" s="195" customFormat="1" ht="21.75" customHeight="1" x14ac:dyDescent="0.2">
      <c r="A88" s="748"/>
      <c r="B88" s="748"/>
      <c r="C88" s="748"/>
      <c r="D88" s="738">
        <v>87</v>
      </c>
      <c r="E88" s="754" t="s">
        <v>188</v>
      </c>
      <c r="F88" s="754" t="s">
        <v>183</v>
      </c>
      <c r="G88" s="658"/>
      <c r="H88" s="658"/>
    </row>
    <row r="89" spans="1:8" s="195" customFormat="1" ht="21.75" customHeight="1" x14ac:dyDescent="0.2">
      <c r="A89" s="748"/>
      <c r="B89" s="748"/>
      <c r="C89" s="748"/>
      <c r="D89" s="738">
        <v>88</v>
      </c>
      <c r="E89" s="738"/>
      <c r="F89" s="738"/>
      <c r="G89" s="658"/>
      <c r="H89" s="658"/>
    </row>
    <row r="90" spans="1:8" s="195" customFormat="1" x14ac:dyDescent="0.2">
      <c r="A90" s="748"/>
      <c r="B90" s="748"/>
      <c r="C90" s="748"/>
      <c r="D90" s="738">
        <v>89</v>
      </c>
      <c r="E90" s="738"/>
      <c r="F90" s="738"/>
      <c r="G90" s="658"/>
      <c r="H90" s="658"/>
    </row>
    <row r="91" spans="1:8" s="195" customFormat="1" x14ac:dyDescent="0.2">
      <c r="A91" s="748"/>
      <c r="B91" s="748"/>
      <c r="C91" s="748"/>
      <c r="D91" s="748"/>
      <c r="E91" s="748"/>
      <c r="F91" s="748"/>
      <c r="G91" s="658"/>
      <c r="H91" s="658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5" customFormat="1" ht="26.25" customHeight="1" x14ac:dyDescent="0.2">
      <c r="A1" s="2465" t="s">
        <v>59</v>
      </c>
      <c r="B1" s="2468" t="s">
        <v>60</v>
      </c>
      <c r="C1" s="2469" t="s">
        <v>1191</v>
      </c>
      <c r="D1" s="2469"/>
      <c r="E1" s="2469"/>
      <c r="F1" s="2469" t="s">
        <v>1172</v>
      </c>
      <c r="G1" s="2469"/>
      <c r="H1" s="2469"/>
      <c r="I1" s="2470" t="s">
        <v>1192</v>
      </c>
      <c r="J1" s="2470"/>
      <c r="K1" s="2470"/>
      <c r="L1" s="2470"/>
      <c r="M1" s="2470"/>
      <c r="N1" s="2470"/>
      <c r="O1" s="2470"/>
      <c r="P1" s="2469" t="s">
        <v>1193</v>
      </c>
      <c r="Q1" s="2469"/>
      <c r="R1" s="2469"/>
      <c r="S1" s="2469" t="s">
        <v>1173</v>
      </c>
      <c r="T1" s="2469"/>
      <c r="U1" s="2469"/>
      <c r="V1" s="2471" t="s">
        <v>1194</v>
      </c>
      <c r="W1" s="2471"/>
      <c r="X1" s="2471"/>
      <c r="Y1" s="2470" t="s">
        <v>1195</v>
      </c>
      <c r="Z1" s="2470"/>
      <c r="AA1" s="2470"/>
      <c r="AB1" s="2470"/>
      <c r="AC1" s="2470"/>
      <c r="AD1" s="2470"/>
      <c r="AE1" s="2470"/>
      <c r="AF1" s="2470"/>
      <c r="AG1" s="2470"/>
      <c r="AH1" s="2470"/>
      <c r="AI1" s="2470"/>
      <c r="AJ1" s="2470"/>
      <c r="AK1" s="2474" t="s">
        <v>1196</v>
      </c>
      <c r="AL1" s="2474"/>
      <c r="AM1" s="2474"/>
      <c r="AN1" s="2470" t="s">
        <v>1197</v>
      </c>
      <c r="AO1" s="2470"/>
      <c r="AP1" s="2470"/>
      <c r="AQ1" s="2475" t="s">
        <v>1198</v>
      </c>
      <c r="AR1" s="2475"/>
      <c r="AS1" s="2475"/>
      <c r="AT1" s="2475"/>
      <c r="AU1" s="2475"/>
      <c r="AV1" s="2475"/>
      <c r="AW1" s="2475"/>
      <c r="AX1" s="2475"/>
      <c r="AY1" s="2475"/>
      <c r="AZ1" s="2474" t="s">
        <v>1199</v>
      </c>
      <c r="BA1" s="2474"/>
      <c r="BB1" s="2474"/>
      <c r="BC1" s="2471" t="s">
        <v>1200</v>
      </c>
      <c r="BD1" s="2471"/>
      <c r="BE1" s="2471"/>
      <c r="BF1" s="2471"/>
      <c r="BG1" s="2471"/>
      <c r="BH1" s="2471"/>
      <c r="BI1" s="2471"/>
      <c r="BJ1" s="2471"/>
      <c r="BK1" s="2471"/>
      <c r="BL1" s="2471"/>
      <c r="BM1" s="2471"/>
      <c r="BN1" s="2471"/>
      <c r="BO1" s="2471"/>
      <c r="BP1" s="2475" t="s">
        <v>1201</v>
      </c>
      <c r="BQ1" s="2475"/>
      <c r="BR1" s="2475"/>
      <c r="BS1" s="2470" t="s">
        <v>1202</v>
      </c>
      <c r="BT1" s="2470"/>
      <c r="BU1" s="2470"/>
      <c r="BV1" s="2470"/>
      <c r="BW1" s="2470"/>
      <c r="BX1" s="2470"/>
      <c r="BY1" s="2473" t="s">
        <v>1203</v>
      </c>
      <c r="BZ1" s="2473"/>
      <c r="CA1" s="2473"/>
      <c r="CB1" s="2473"/>
      <c r="CC1" s="2473"/>
      <c r="CD1" s="2473"/>
      <c r="CE1" s="2470" t="s">
        <v>1204</v>
      </c>
      <c r="CF1" s="2470"/>
      <c r="CG1" s="2470"/>
      <c r="CH1" s="2470"/>
      <c r="CI1" s="2470"/>
      <c r="CJ1" s="2470"/>
      <c r="CK1" s="2470" t="s">
        <v>1205</v>
      </c>
      <c r="CL1" s="2470"/>
      <c r="CM1" s="2470"/>
      <c r="CN1" s="2470"/>
      <c r="CO1" s="2470"/>
      <c r="CP1" s="2470"/>
      <c r="CQ1" s="2470" t="s">
        <v>633</v>
      </c>
      <c r="CR1" s="2470"/>
      <c r="CS1" s="2470"/>
      <c r="CT1" s="2470"/>
      <c r="CU1" s="2470"/>
      <c r="CV1" s="2470"/>
      <c r="CW1" s="2470"/>
      <c r="CX1" s="2470"/>
      <c r="CY1" s="2470"/>
      <c r="CZ1" s="2470" t="s">
        <v>1066</v>
      </c>
      <c r="DA1" s="2470"/>
      <c r="DB1" s="2470"/>
      <c r="DC1" s="954"/>
      <c r="DD1" s="954"/>
    </row>
    <row r="2" spans="1:108" s="959" customFormat="1" ht="26.25" customHeight="1" x14ac:dyDescent="0.2">
      <c r="A2" s="2466"/>
      <c r="B2" s="2468"/>
      <c r="C2" s="1139" t="s">
        <v>1206</v>
      </c>
      <c r="D2" s="1138" t="s">
        <v>1207</v>
      </c>
      <c r="E2" s="1138" t="s">
        <v>1208</v>
      </c>
      <c r="F2" s="1139" t="s">
        <v>1209</v>
      </c>
      <c r="G2" s="1138" t="s">
        <v>1207</v>
      </c>
      <c r="H2" s="1138" t="s">
        <v>1208</v>
      </c>
      <c r="I2" s="1139" t="s">
        <v>1210</v>
      </c>
      <c r="J2" s="1138" t="s">
        <v>1207</v>
      </c>
      <c r="K2" s="1138" t="s">
        <v>1208</v>
      </c>
      <c r="L2" s="1139" t="s">
        <v>1206</v>
      </c>
      <c r="M2" s="1138" t="s">
        <v>1207</v>
      </c>
      <c r="N2" s="1138" t="s">
        <v>1208</v>
      </c>
      <c r="O2" s="1140" t="s">
        <v>1211</v>
      </c>
      <c r="P2" s="1139" t="s">
        <v>1210</v>
      </c>
      <c r="Q2" s="1138" t="s">
        <v>1207</v>
      </c>
      <c r="R2" s="1138" t="s">
        <v>1208</v>
      </c>
      <c r="S2" s="1139" t="s">
        <v>1209</v>
      </c>
      <c r="T2" s="1138" t="s">
        <v>1207</v>
      </c>
      <c r="U2" s="1138" t="s">
        <v>1208</v>
      </c>
      <c r="V2" s="1139" t="s">
        <v>1212</v>
      </c>
      <c r="W2" s="1138" t="s">
        <v>1207</v>
      </c>
      <c r="X2" s="1138" t="s">
        <v>1208</v>
      </c>
      <c r="Y2" s="1139" t="s">
        <v>1209</v>
      </c>
      <c r="Z2" s="1138" t="s">
        <v>1207</v>
      </c>
      <c r="AA2" s="1138" t="s">
        <v>1208</v>
      </c>
      <c r="AB2" s="1139" t="s">
        <v>1213</v>
      </c>
      <c r="AC2" s="1138" t="s">
        <v>1207</v>
      </c>
      <c r="AD2" s="1138" t="s">
        <v>1208</v>
      </c>
      <c r="AE2" s="1139" t="s">
        <v>1214</v>
      </c>
      <c r="AF2" s="1138" t="s">
        <v>1207</v>
      </c>
      <c r="AG2" s="1138" t="s">
        <v>1208</v>
      </c>
      <c r="AH2" s="1139" t="s">
        <v>1212</v>
      </c>
      <c r="AI2" s="1138" t="s">
        <v>1207</v>
      </c>
      <c r="AJ2" s="1138" t="s">
        <v>1208</v>
      </c>
      <c r="AK2" s="1139" t="s">
        <v>1212</v>
      </c>
      <c r="AL2" s="1138" t="s">
        <v>1207</v>
      </c>
      <c r="AM2" s="1138" t="s">
        <v>1208</v>
      </c>
      <c r="AN2" s="1139" t="s">
        <v>1215</v>
      </c>
      <c r="AO2" s="1138" t="s">
        <v>1207</v>
      </c>
      <c r="AP2" s="1138" t="s">
        <v>1208</v>
      </c>
      <c r="AQ2" s="1139" t="s">
        <v>1215</v>
      </c>
      <c r="AR2" s="1138" t="s">
        <v>1207</v>
      </c>
      <c r="AS2" s="1138" t="s">
        <v>1208</v>
      </c>
      <c r="AT2" s="1139" t="s">
        <v>1216</v>
      </c>
      <c r="AU2" s="1138" t="s">
        <v>1207</v>
      </c>
      <c r="AV2" s="1138" t="s">
        <v>1208</v>
      </c>
      <c r="AW2" s="1139" t="s">
        <v>1213</v>
      </c>
      <c r="AX2" s="1138" t="s">
        <v>1207</v>
      </c>
      <c r="AY2" s="1138" t="s">
        <v>1208</v>
      </c>
      <c r="AZ2" s="1139" t="s">
        <v>1217</v>
      </c>
      <c r="BA2" s="1138" t="s">
        <v>1207</v>
      </c>
      <c r="BB2" s="1138" t="s">
        <v>1208</v>
      </c>
      <c r="BC2" s="1139" t="s">
        <v>1218</v>
      </c>
      <c r="BD2" s="1138" t="s">
        <v>1207</v>
      </c>
      <c r="BE2" s="1138" t="s">
        <v>1208</v>
      </c>
      <c r="BF2" s="1140" t="s">
        <v>1211</v>
      </c>
      <c r="BG2" s="1139" t="s">
        <v>1213</v>
      </c>
      <c r="BH2" s="1138" t="s">
        <v>1207</v>
      </c>
      <c r="BI2" s="1138" t="s">
        <v>1208</v>
      </c>
      <c r="BJ2" s="1139" t="s">
        <v>1212</v>
      </c>
      <c r="BK2" s="1138" t="s">
        <v>1207</v>
      </c>
      <c r="BL2" s="1138" t="s">
        <v>1208</v>
      </c>
      <c r="BM2" s="1139" t="s">
        <v>1212</v>
      </c>
      <c r="BN2" s="1138" t="s">
        <v>1207</v>
      </c>
      <c r="BO2" s="1138" t="s">
        <v>1208</v>
      </c>
      <c r="BP2" s="1139" t="s">
        <v>1217</v>
      </c>
      <c r="BQ2" s="1138" t="s">
        <v>1207</v>
      </c>
      <c r="BR2" s="1138" t="s">
        <v>1208</v>
      </c>
      <c r="BS2" s="1139" t="s">
        <v>1219</v>
      </c>
      <c r="BT2" s="1138" t="s">
        <v>1207</v>
      </c>
      <c r="BU2" s="1138" t="s">
        <v>1208</v>
      </c>
      <c r="BV2" s="1139" t="s">
        <v>1220</v>
      </c>
      <c r="BW2" s="1138" t="s">
        <v>1207</v>
      </c>
      <c r="BX2" s="1138" t="s">
        <v>1208</v>
      </c>
      <c r="BY2" s="1138" t="s">
        <v>1221</v>
      </c>
      <c r="BZ2" s="1138" t="s">
        <v>1207</v>
      </c>
      <c r="CA2" s="1138" t="s">
        <v>1208</v>
      </c>
      <c r="CB2" s="1138" t="s">
        <v>1213</v>
      </c>
      <c r="CC2" s="1138" t="s">
        <v>1207</v>
      </c>
      <c r="CD2" s="1138" t="s">
        <v>1208</v>
      </c>
      <c r="CE2" s="1139" t="s">
        <v>1219</v>
      </c>
      <c r="CF2" s="1138" t="s">
        <v>1207</v>
      </c>
      <c r="CG2" s="1138" t="s">
        <v>1208</v>
      </c>
      <c r="CH2" s="1139" t="s">
        <v>1220</v>
      </c>
      <c r="CI2" s="1138" t="s">
        <v>1207</v>
      </c>
      <c r="CJ2" s="1138" t="s">
        <v>1208</v>
      </c>
      <c r="CK2" s="1139" t="s">
        <v>1221</v>
      </c>
      <c r="CL2" s="1138" t="s">
        <v>1207</v>
      </c>
      <c r="CM2" s="1138" t="s">
        <v>1208</v>
      </c>
      <c r="CN2" s="1139" t="s">
        <v>1213</v>
      </c>
      <c r="CO2" s="1138" t="s">
        <v>1207</v>
      </c>
      <c r="CP2" s="1138" t="s">
        <v>1208</v>
      </c>
      <c r="CQ2" s="1139" t="s">
        <v>1212</v>
      </c>
      <c r="CR2" s="1138" t="s">
        <v>1207</v>
      </c>
      <c r="CS2" s="1138" t="s">
        <v>1208</v>
      </c>
      <c r="CT2" s="1139" t="s">
        <v>1213</v>
      </c>
      <c r="CU2" s="1138" t="s">
        <v>1207</v>
      </c>
      <c r="CV2" s="1138" t="s">
        <v>1208</v>
      </c>
      <c r="CW2" s="1139" t="s">
        <v>1209</v>
      </c>
      <c r="CX2" s="1138" t="s">
        <v>1207</v>
      </c>
      <c r="CY2" s="1138" t="s">
        <v>1208</v>
      </c>
      <c r="CZ2" s="1139" t="s">
        <v>1066</v>
      </c>
      <c r="DA2" s="1138" t="s">
        <v>1207</v>
      </c>
      <c r="DB2" s="1138" t="s">
        <v>1208</v>
      </c>
      <c r="DC2" s="958"/>
      <c r="DD2" s="958"/>
    </row>
    <row r="3" spans="1:108" s="957" customFormat="1" ht="26.25" customHeight="1" x14ac:dyDescent="0.2">
      <c r="A3" s="2467"/>
      <c r="B3" s="2468"/>
      <c r="C3" s="2460" t="s">
        <v>1222</v>
      </c>
      <c r="D3" s="2460"/>
      <c r="E3" s="2460"/>
      <c r="F3" s="2460" t="s">
        <v>1223</v>
      </c>
      <c r="G3" s="2460"/>
      <c r="H3" s="2460"/>
      <c r="I3" s="2460" t="s">
        <v>1224</v>
      </c>
      <c r="J3" s="2460"/>
      <c r="K3" s="2460"/>
      <c r="L3" s="2460" t="s">
        <v>1225</v>
      </c>
      <c r="M3" s="2460"/>
      <c r="N3" s="2460"/>
      <c r="O3" s="1141" t="s">
        <v>1226</v>
      </c>
      <c r="P3" s="2472" t="s">
        <v>1227</v>
      </c>
      <c r="Q3" s="2472"/>
      <c r="R3" s="2472"/>
      <c r="S3" s="2460" t="s">
        <v>1228</v>
      </c>
      <c r="T3" s="2460"/>
      <c r="U3" s="2460"/>
      <c r="V3" s="2460" t="s">
        <v>1229</v>
      </c>
      <c r="W3" s="2460"/>
      <c r="X3" s="2460"/>
      <c r="Y3" s="2460" t="s">
        <v>1411</v>
      </c>
      <c r="Z3" s="2460"/>
      <c r="AA3" s="2460"/>
      <c r="AB3" s="2460" t="s">
        <v>1230</v>
      </c>
      <c r="AC3" s="2460"/>
      <c r="AD3" s="2460"/>
      <c r="AE3" s="2460" t="s">
        <v>1231</v>
      </c>
      <c r="AF3" s="2460"/>
      <c r="AG3" s="2460"/>
      <c r="AH3" s="2462" t="s">
        <v>1232</v>
      </c>
      <c r="AI3" s="2462"/>
      <c r="AJ3" s="2462"/>
      <c r="AK3" s="2460" t="s">
        <v>1233</v>
      </c>
      <c r="AL3" s="2460"/>
      <c r="AM3" s="2460"/>
      <c r="AN3" s="2460" t="s">
        <v>1234</v>
      </c>
      <c r="AO3" s="2460"/>
      <c r="AP3" s="2460"/>
      <c r="AQ3" s="2460" t="s">
        <v>1235</v>
      </c>
      <c r="AR3" s="2460"/>
      <c r="AS3" s="2460"/>
      <c r="AT3" s="2460" t="s">
        <v>1236</v>
      </c>
      <c r="AU3" s="2460"/>
      <c r="AV3" s="2460"/>
      <c r="AW3" s="2460" t="s">
        <v>1237</v>
      </c>
      <c r="AX3" s="2460"/>
      <c r="AY3" s="2460"/>
      <c r="AZ3" s="2460" t="s">
        <v>1238</v>
      </c>
      <c r="BA3" s="2460"/>
      <c r="BB3" s="2460"/>
      <c r="BC3" s="2460" t="s">
        <v>1239</v>
      </c>
      <c r="BD3" s="2460"/>
      <c r="BE3" s="2460"/>
      <c r="BF3" s="1141" t="s">
        <v>1240</v>
      </c>
      <c r="BG3" s="2460" t="s">
        <v>1241</v>
      </c>
      <c r="BH3" s="2460"/>
      <c r="BI3" s="2460"/>
      <c r="BJ3" s="2460" t="s">
        <v>1242</v>
      </c>
      <c r="BK3" s="2460"/>
      <c r="BL3" s="2460"/>
      <c r="BM3" s="2460" t="s">
        <v>1243</v>
      </c>
      <c r="BN3" s="2460"/>
      <c r="BO3" s="2460"/>
      <c r="BP3" s="2460" t="s">
        <v>1244</v>
      </c>
      <c r="BQ3" s="2460"/>
      <c r="BR3" s="2460"/>
      <c r="BS3" s="2460" t="s">
        <v>1245</v>
      </c>
      <c r="BT3" s="2460"/>
      <c r="BU3" s="2460"/>
      <c r="BV3" s="2460" t="s">
        <v>1246</v>
      </c>
      <c r="BW3" s="2460"/>
      <c r="BX3" s="2460"/>
      <c r="BY3" s="2460" t="s">
        <v>1247</v>
      </c>
      <c r="BZ3" s="2460"/>
      <c r="CA3" s="2460"/>
      <c r="CB3" s="2460" t="s">
        <v>1248</v>
      </c>
      <c r="CC3" s="2460"/>
      <c r="CD3" s="2460"/>
      <c r="CE3" s="2460" t="s">
        <v>1249</v>
      </c>
      <c r="CF3" s="2460"/>
      <c r="CG3" s="2460"/>
      <c r="CH3" s="2460" t="s">
        <v>1246</v>
      </c>
      <c r="CI3" s="2460"/>
      <c r="CJ3" s="2460"/>
      <c r="CK3" s="2460" t="s">
        <v>1250</v>
      </c>
      <c r="CL3" s="2460"/>
      <c r="CM3" s="2460"/>
      <c r="CN3" s="2460" t="s">
        <v>1251</v>
      </c>
      <c r="CO3" s="2460"/>
      <c r="CP3" s="2460"/>
      <c r="CQ3" s="2460" t="s">
        <v>1252</v>
      </c>
      <c r="CR3" s="2460"/>
      <c r="CS3" s="2460"/>
      <c r="CT3" s="2460" t="s">
        <v>1253</v>
      </c>
      <c r="CU3" s="2460"/>
      <c r="CV3" s="2460"/>
      <c r="CW3" s="2460" t="s">
        <v>1254</v>
      </c>
      <c r="CX3" s="2460"/>
      <c r="CY3" s="2460"/>
      <c r="CZ3" s="2461" t="s">
        <v>1255</v>
      </c>
      <c r="DA3" s="2461"/>
      <c r="DB3" s="2461"/>
      <c r="DC3" s="956"/>
      <c r="DD3" s="956"/>
    </row>
    <row r="4" spans="1:108" s="587" customFormat="1" ht="26.25" customHeight="1" x14ac:dyDescent="0.2">
      <c r="A4" s="2463" t="str">
        <f>'Лист контроля  '!N4</f>
        <v>23.02.2026г</v>
      </c>
      <c r="B4" s="1153">
        <v>1</v>
      </c>
      <c r="C4" s="1142">
        <f>'Лист контроля  '!C35</f>
        <v>0.16</v>
      </c>
      <c r="D4" s="1143">
        <f>COUNT('Лист контроля  '!C11:C17,'Лист контроля  '!C25:C31)</f>
        <v>3</v>
      </c>
      <c r="E4" s="1149">
        <f>COUNTIF('Лист контроля  '!C11:C17,"&gt;0,80")+COUNTIF('Лист контроля  '!C25:C31,"&gt;0,80")</f>
        <v>0</v>
      </c>
      <c r="F4" s="1144"/>
      <c r="G4" s="1144"/>
      <c r="H4" s="1145"/>
      <c r="I4" s="1143">
        <f>'Лист контроля  '!F35</f>
        <v>15.2</v>
      </c>
      <c r="J4" s="1143">
        <f>COUNT('Лист контроля  '!F11:F22,'Лист контроля  '!F25:F34)</f>
        <v>4</v>
      </c>
      <c r="K4" s="1143">
        <f>COUNTIF('Лист контроля  '!F11:F22,"&gt;8,0")+COUNTIF('Лист контроля  '!F25:F34,"&gt;8,0")</f>
        <v>4</v>
      </c>
      <c r="L4" s="1142">
        <f>'Лист контроля  '!E35</f>
        <v>7.0000000000000007E-2</v>
      </c>
      <c r="M4" s="1143">
        <f>COUNT('Лист контроля  '!E11:E22,'Лист контроля  '!E25:E34)</f>
        <v>4</v>
      </c>
      <c r="N4" s="1149">
        <f>COUNTIF('Лист контроля  '!E11:E22,"&gt;0,80")+COUNTIF('Лист контроля  '!E25:E34,"&gt;0,80")</f>
        <v>0</v>
      </c>
      <c r="O4" s="1149">
        <f>COUNTIF('Лист контроля  '!E11:E22,"&gt;0,20")+COUNTIF('Лист контроля  '!E25:E34,"&gt;0,20")</f>
        <v>0</v>
      </c>
      <c r="P4" s="1146">
        <f>'Лист контроля  '!AC90</f>
        <v>68.5</v>
      </c>
      <c r="Q4" s="1147">
        <f>COUNT('Лист контроля  '!AC78:AC89)</f>
        <v>2</v>
      </c>
      <c r="R4" s="1143">
        <f>COUNTIF('Лист контроля  '!AC78:AC89,"&lt;90,0")</f>
        <v>2</v>
      </c>
      <c r="S4" s="1148"/>
      <c r="T4" s="1144"/>
      <c r="U4" s="1144"/>
      <c r="V4" s="1149">
        <f>'Лист контроля  '!AC55</f>
        <v>59</v>
      </c>
      <c r="W4" s="1143">
        <f>COUNT('Лист контроля  '!AC40:AC46,'Лист контроля  '!AC48:AC54)</f>
        <v>6</v>
      </c>
      <c r="X4" s="1149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6">
        <f>'Лист контроля  '!J35</f>
        <v>98.7</v>
      </c>
      <c r="Z4" s="1143">
        <f>COUNT('Лист контроля  '!J9:J32)</f>
        <v>12</v>
      </c>
      <c r="AA4" s="1143">
        <f>COUNTIF('Лист контроля  '!J9:J32,"&lt;102")+COUNTIF('Лист контроля  '!J9:J32,"&gt;106")</f>
        <v>12</v>
      </c>
      <c r="AB4" s="1146">
        <f>'Лист контроля  '!I35</f>
        <v>88.8</v>
      </c>
      <c r="AC4" s="1143">
        <f>COUNT('Лист контроля  '!I9:I35)</f>
        <v>3</v>
      </c>
      <c r="AD4" s="1143">
        <f>COUNTIF('Лист контроля  '!I9:I35,"&lt;86,8")</f>
        <v>0</v>
      </c>
      <c r="AE4" s="1142">
        <f>'Лист контроля  '!G35</f>
        <v>0.47</v>
      </c>
      <c r="AF4" s="1143">
        <f>COUNT('Лист контроля  '!G9:G32)</f>
        <v>2</v>
      </c>
      <c r="AG4" s="1150">
        <f>COUNTIF('Лист контроля  '!G9:G32,"&lt;0,2")+COUNTIF('Лист контроля  '!G9:G32,"&gt;1,0")</f>
        <v>0</v>
      </c>
      <c r="AH4" s="1143">
        <f>'Лист контроля  '!F73</f>
        <v>58</v>
      </c>
      <c r="AI4" s="1143">
        <f>COUNT('Лист контроля  '!F73)</f>
        <v>1</v>
      </c>
      <c r="AJ4" s="1143">
        <f>COUNTIF('Лист контроля  '!F73,"&gt;70")</f>
        <v>0</v>
      </c>
      <c r="AK4" s="1149">
        <f>'Лист контроля  '!AB55</f>
        <v>78</v>
      </c>
      <c r="AL4" s="1143">
        <f>COUNT('Лист контроля  '!AB40:AB46,'Лист контроля  '!AB48:AB54)</f>
        <v>6</v>
      </c>
      <c r="AM4" s="1149">
        <f>COUNTIF('Лист контроля  '!AB40:AB46,"&gt;71")+COUNTIF('Лист контроля  '!AB48:AB54,"&gt;71")</f>
        <v>5</v>
      </c>
      <c r="AN4" s="1501">
        <f>MAX('Лист контроля  '!U53,'Лист контроля  '!W53)</f>
        <v>6</v>
      </c>
      <c r="AO4" s="1143">
        <f>COUNT('Лист контроля  '!U40:U53,'Лист контроля  '!W40:W53)</f>
        <v>4</v>
      </c>
      <c r="AP4" s="1143">
        <f>COUNTIF('Лист контроля  '!U40:U53,"&gt;20")+COUNTIF('Лист контроля  '!W40:W53,"&gt;20")</f>
        <v>0</v>
      </c>
      <c r="AQ4" s="1143">
        <f>MAX('Лист контроля  '!P55,'Лист контроля  '!S53)</f>
        <v>9.6999999999999993</v>
      </c>
      <c r="AR4" s="1143">
        <f>COUNT('Лист контроля  '!P40:P46,'Лист контроля  '!P48:P54,'Лист контроля  '!S40:S53)</f>
        <v>13</v>
      </c>
      <c r="AS4" s="1143">
        <f>COUNTIF('Лист контроля  '!P40:P46,"&gt;15")+COUNTIF('Лист контроля  '!P48:P54,"&gt;15")+COUNTIF('Лист контроля  '!S40:S53,"&gt;15")</f>
        <v>0</v>
      </c>
      <c r="AT4" s="1146">
        <f>MAX('Лист контроля  '!O55,'Лист контроля  '!R53)</f>
        <v>3.2</v>
      </c>
      <c r="AU4" s="1150">
        <f>COUNT('Лист контроля  '!O40:O46,'Лист контроля  '!O48:O54,'Лист контроля  '!R40:R53)</f>
        <v>13</v>
      </c>
      <c r="AV4" s="1143">
        <f>COUNTIF('Лист контроля  '!O40:O46,"&gt;3,0")+COUNTIF('Лист контроля  '!O48:O54,"&gt;3,0")+COUNTIF('Лист контроля  '!R40:R53,"&gt;3,0")</f>
        <v>1</v>
      </c>
      <c r="AW4" s="1143">
        <f>'Лист контроля  '!Q55</f>
        <v>56.2</v>
      </c>
      <c r="AX4" s="1143">
        <f>COUNT('Лист контроля  '!Q40:Q46,'Лист контроля  '!Q48:Q54)</f>
        <v>6</v>
      </c>
      <c r="AY4" s="1143">
        <f>COUNTIF('Лист контроля  '!Q40:Q46,"&lt;60,0")+COUNTIF('Лист контроля  '!Q48:Q54,"&lt;60,0")</f>
        <v>4</v>
      </c>
      <c r="AZ4" s="1142">
        <f>'Лист контроля  '!Y55</f>
        <v>0.52</v>
      </c>
      <c r="BA4" s="1143">
        <f>COUNT('Лист контроля  '!Y40:Y54)</f>
        <v>3</v>
      </c>
      <c r="BB4" s="1143">
        <f>COUNTIF('Лист контроля  '!Y40:Y54,"&gt;2,0")</f>
        <v>0</v>
      </c>
      <c r="BC4" s="1146">
        <f>'Лист контроля  '!X35</f>
        <v>66.2</v>
      </c>
      <c r="BD4" s="1143">
        <f>COUNT('Лист контроля  '!T9:T33,'Лист контроля  '!X9:X33,'Лист контроля  '!AB9:AB33)</f>
        <v>9</v>
      </c>
      <c r="BE4" s="1150">
        <f>COUNTIF('Лист контроля  '!T9:T33,"&lt;70,0")+COUNTIF('Лист контроля  '!X9:X33,"&lt;70,0")+COUNTIF('Лист контроля  '!AB9:AB33,"&lt;70,0")</f>
        <v>7</v>
      </c>
      <c r="BF4" s="1150">
        <f>COUNTIF('Лист контроля  '!T9:T33,"&lt;72,0")+COUNTIF('Лист контроля  '!X9:X33,"&lt;72,0")+COUNTIF('Лист контроля  '!AB9:AB33,"&lt;72,0")</f>
        <v>9</v>
      </c>
      <c r="BG4" s="1143">
        <f>'Лист контроля  '!U35</f>
        <v>96.2</v>
      </c>
      <c r="BH4" s="1143">
        <f>COUNT('Лист контроля  '!Q9:Q33,'Лист контроля  '!U9:U33,'Лист контроля  '!Y9:Y33)</f>
        <v>9</v>
      </c>
      <c r="BI4" s="1143">
        <f>COUNTIF('Лист контроля  '!Q9:Q33,"&lt;95,0")+COUNTIF('Лист контроля  '!U9:U33,"&lt;95,0")+COUNTIF('Лист контроля  '!Y9:Y33,"&lt;95,0")</f>
        <v>3</v>
      </c>
      <c r="BJ4" s="1146">
        <f>'Лист контроля  '!AD34</f>
        <v>30</v>
      </c>
      <c r="BK4" s="1149">
        <f>'Лист контроля  '!AD35</f>
        <v>17</v>
      </c>
      <c r="BL4" s="1149">
        <f>COUNTIF('Лист контроля  '!AD4:AD33,"&lt;25")+COUNTIF('Лист контроля  '!AD4:AD33,"&gt;36")</f>
        <v>0</v>
      </c>
      <c r="BM4" s="1149">
        <f>'Лист контроля  '!AE34</f>
        <v>49</v>
      </c>
      <c r="BN4" s="1149">
        <f>'Лист контроля  '!AD35</f>
        <v>17</v>
      </c>
      <c r="BO4" s="1149">
        <f>COUNTIF('Лист контроля  '!AE4:AE33,"&lt;42")+COUNTIF('Лист контроля  '!AE4:AE33,"&gt;52")</f>
        <v>2</v>
      </c>
      <c r="BP4" s="1146">
        <f>'Лист контроля  '!L29</f>
        <v>68.7</v>
      </c>
      <c r="BQ4" s="1143">
        <f>COUNT('Лист контроля  '!K9:M28)</f>
        <v>5</v>
      </c>
      <c r="BR4" s="1149">
        <f>COUNTIF('Лист контроля  '!K9:M28,"&lt;55")+COUNTIF('Лист контроля  '!K9:M28,"&gt;68")</f>
        <v>3</v>
      </c>
      <c r="BS4" s="1143">
        <f>'Лист контроля  '!G90</f>
        <v>19.100000000000001</v>
      </c>
      <c r="BT4" s="1143">
        <f>'Лист контроля  '!G91</f>
        <v>5</v>
      </c>
      <c r="BU4" s="1143">
        <f>COUNTIF('Лист контроля  '!G78:G89,"&gt;19,0")</f>
        <v>3</v>
      </c>
      <c r="BV4" s="1142">
        <f>'Лист контроля  '!N90</f>
        <v>0.06</v>
      </c>
      <c r="BW4" s="1143">
        <f>'Лист контроля  '!M90</f>
        <v>5</v>
      </c>
      <c r="BX4" s="1143">
        <f>COUNTIF('Лист контроля  '!M78:T89,"&gt;0,08")</f>
        <v>0</v>
      </c>
      <c r="BY4" s="1146">
        <f>'Лист контроля  '!AF60</f>
        <v>15.3</v>
      </c>
      <c r="BZ4" s="1143">
        <f>COUNT('Лист контроля  '!AF60)</f>
        <v>1</v>
      </c>
      <c r="CA4" s="1143">
        <f>COUNTIF('Лист контроля  '!AF60,"&gt;10,0")</f>
        <v>1</v>
      </c>
      <c r="CB4" s="1151">
        <f>'Лист контроля  '!B44</f>
        <v>74.5</v>
      </c>
      <c r="CC4" s="1143">
        <f>COUNT('Лист контроля  '!I40:I51,'Лист контроля  '!B44)</f>
        <v>4</v>
      </c>
      <c r="CD4" s="1143">
        <f>COUNTIF('Лист контроля  '!I40:I51,"&lt;82,0")+COUNTIF('Лист контроля  '!B44,"&lt;82,0")</f>
        <v>3</v>
      </c>
      <c r="CE4" s="1146">
        <f>'Лист контроля  '!F91</f>
        <v>17.100000000000001</v>
      </c>
      <c r="CF4" s="1143">
        <f>'Лист контроля  '!E91</f>
        <v>9</v>
      </c>
      <c r="CG4" s="1143">
        <f>COUNTIF('Лист контроля  '!E78:F89,"&gt;16,8")</f>
        <v>5</v>
      </c>
      <c r="CH4" s="1142">
        <f>'Лист контроля  '!L90</f>
        <v>0.06</v>
      </c>
      <c r="CI4" s="1143">
        <f>'Лист контроля  '!K90</f>
        <v>9</v>
      </c>
      <c r="CJ4" s="1143">
        <f>COUNTIF('Лист контроля  '!K78:L89,"&gt;0,08")</f>
        <v>0</v>
      </c>
      <c r="CK4" s="1146">
        <f>'Лист контроля  '!AF59</f>
        <v>12.6</v>
      </c>
      <c r="CL4" s="1143">
        <f>COUNT('Лист контроля  '!D47:D48)</f>
        <v>2</v>
      </c>
      <c r="CM4" s="1143">
        <f>COUNTIF('Лист контроля  '!D47:D48,"&gt;3,5")</f>
        <v>2</v>
      </c>
      <c r="CN4" s="1146">
        <f>'Лист контроля  '!B42</f>
        <v>83</v>
      </c>
      <c r="CO4" s="1143">
        <f>COUNT('Лист контроля  '!G40:H51,'Лист контроля  '!B40:B41)</f>
        <v>7</v>
      </c>
      <c r="CP4" s="1143">
        <f>COUNTIF('Лист контроля  '!G40:H51,"&lt;91,0")+COUNTIF('Лист контроля  '!B40:B41,"&lt;91,0")</f>
        <v>7</v>
      </c>
      <c r="CQ4" s="1149">
        <f>'Лист контроля  '!F72</f>
        <v>29</v>
      </c>
      <c r="CR4" s="1143">
        <f>COUNT('Лист контроля  '!F72)</f>
        <v>1</v>
      </c>
      <c r="CS4" s="1143">
        <f>COUNTIF('Лист контроля  '!F72,"&lt;30")+COUNTIF('Лист контроля  '!F72,"&gt;40")</f>
        <v>1</v>
      </c>
      <c r="CT4" s="1142">
        <f>'Лист контроля  '!C90</f>
        <v>0.06</v>
      </c>
      <c r="CU4" s="1143">
        <f>COUNT('Лист контроля  '!C78:C89)</f>
        <v>2</v>
      </c>
      <c r="CV4" s="1143">
        <f>COUNTIF('Лист контроля  '!C78:C89,"&gt;0,3")</f>
        <v>0</v>
      </c>
      <c r="CW4" s="1143">
        <f>'Лист контроля  '!B90</f>
        <v>9.1</v>
      </c>
      <c r="CX4" s="1143">
        <f>COUNT('Лист контроля  '!B78:B89)</f>
        <v>2</v>
      </c>
      <c r="CY4" s="1143">
        <f>COUNTIF('Лист контроля  '!B78:B89,"&gt;25,0")</f>
        <v>0</v>
      </c>
      <c r="CZ4" s="1149">
        <f>'Лист контроля  '!H90</f>
        <v>303</v>
      </c>
      <c r="DA4" s="1143">
        <f>COUNT('Лист контроля  '!H78:H89)</f>
        <v>12</v>
      </c>
      <c r="DB4" s="1143">
        <f>COUNTIF('Лист контроля  '!H78:H89,"&lt;220")</f>
        <v>1</v>
      </c>
      <c r="DC4" s="954"/>
      <c r="DD4" s="954"/>
    </row>
    <row r="5" spans="1:108" s="587" customFormat="1" ht="26.25" customHeight="1" x14ac:dyDescent="0.2">
      <c r="A5" s="2464"/>
      <c r="B5" s="1154">
        <v>2</v>
      </c>
      <c r="C5" s="1142">
        <f>'Лист контроля  '!AK35</f>
        <v>0.16</v>
      </c>
      <c r="D5" s="1143">
        <f>COUNT('Лист контроля  '!AK11:AK17,'Лист контроля  '!AK25:AK31)</f>
        <v>3</v>
      </c>
      <c r="E5" s="1149">
        <f>COUNTIF('Лист контроля  '!AK11:AK17,"&gt;0,80")+COUNTIF('Лист контроля  '!AK25:AK31,"&gt;0,80")</f>
        <v>0</v>
      </c>
      <c r="F5" s="1152" t="e">
        <f>'Лист контроля  '!BL102</f>
        <v>#DIV/0!</v>
      </c>
      <c r="G5" s="1144">
        <f>COUNT('Лист контроля  '!BL95:BL101)</f>
        <v>0</v>
      </c>
      <c r="H5" s="1143">
        <f>COUNTIF('Лист контроля  '!BL95:BL101,"&gt;24,0")</f>
        <v>0</v>
      </c>
      <c r="I5" s="1143" t="e">
        <f>'Лист контроля  '!AN35</f>
        <v>#DIV/0!</v>
      </c>
      <c r="J5" s="1143">
        <f>COUNT('Лист контроля  '!AN11:AN22,'Лист контроля  '!AN25:AN34)</f>
        <v>0</v>
      </c>
      <c r="K5" s="1143">
        <f>COUNTIF('Лист контроля  '!AN11:AN22,"&gt;8,0")+COUNTIF('Лист контроля  '!AN25:AN34,"&gt;8,0")</f>
        <v>0</v>
      </c>
      <c r="L5" s="1142">
        <f>'Лист контроля  '!AM35</f>
        <v>7.0000000000000007E-2</v>
      </c>
      <c r="M5" s="1143">
        <f>COUNT('Лист контроля  '!AM11:AM22,'Лист контроля  '!AM25:AM34)</f>
        <v>4</v>
      </c>
      <c r="N5" s="1149">
        <f>COUNTIF('Лист контроля  '!AM11:AM22,"&gt;0,80")+COUNTIF('Лист контроля  '!AM25:AM34,"&gt;0,80")</f>
        <v>0</v>
      </c>
      <c r="O5" s="1149">
        <f>COUNTIF('Лист контроля  '!AM11:AM22,"&gt;0,20")+COUNTIF('Лист контроля  '!AM25:AM34,"&gt;0,20")</f>
        <v>0</v>
      </c>
      <c r="P5" s="1146">
        <f>'Лист контроля  '!BK90</f>
        <v>69.5</v>
      </c>
      <c r="Q5" s="1147">
        <f>COUNT('Лист контроля  '!BK78:BK89)</f>
        <v>2</v>
      </c>
      <c r="R5" s="1143">
        <f>COUNTIF('Лист контроля  '!BK78:BK89,"&lt;90,0")</f>
        <v>2</v>
      </c>
      <c r="S5" s="1148" t="e">
        <f>'Лист контроля  '!BM102</f>
        <v>#DIV/0!</v>
      </c>
      <c r="T5" s="1144">
        <f>COUNT('Лист контроля  '!BM95:BM101)</f>
        <v>0</v>
      </c>
      <c r="U5" s="1144">
        <f>COUNTIF('Лист контроля  '!BM95:BM101,"&gt;40,0")</f>
        <v>0</v>
      </c>
      <c r="V5" s="1149">
        <f>'Лист контроля  '!BK55</f>
        <v>58</v>
      </c>
      <c r="W5" s="1143">
        <f>COUNT('Лист контроля  '!BK40:BK46,'Лист контроля  '!BK48:BK54)</f>
        <v>6</v>
      </c>
      <c r="X5" s="1149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6">
        <f>'Лист контроля  '!AR35</f>
        <v>100.8</v>
      </c>
      <c r="Z5" s="1143">
        <f>COUNT('Лист контроля  '!AR9:AR32)</f>
        <v>10</v>
      </c>
      <c r="AA5" s="1143">
        <f>COUNTIF('Лист контроля  '!AR9:AR32,"&lt;102")+COUNTIF('Лист контроля  '!AR9:AR32,"&gt;106")</f>
        <v>9</v>
      </c>
      <c r="AB5" s="1146">
        <f>'Лист контроля  '!AQ35</f>
        <v>88.9</v>
      </c>
      <c r="AC5" s="1143">
        <f>COUNT('Лист контроля  '!AQ9:AQ35)</f>
        <v>3</v>
      </c>
      <c r="AD5" s="1143">
        <f>COUNTIF('Лист контроля  '!AQ9:AQ35,"&lt;86,8")</f>
        <v>0</v>
      </c>
      <c r="AE5" s="1142">
        <f>'Лист контроля  '!AO35</f>
        <v>0.39</v>
      </c>
      <c r="AF5" s="1143">
        <f>COUNT('Лист контроля  '!AO9:AO32)</f>
        <v>3</v>
      </c>
      <c r="AG5" s="1150">
        <f>COUNTIF('Лист контроля  '!AO9:AO32,"&lt;0,2")+COUNTIF('Лист контроля  '!AO9:AO32,"&gt;1,0")</f>
        <v>0</v>
      </c>
      <c r="AH5" s="1143">
        <f>'Лист контроля  '!AN73</f>
        <v>62</v>
      </c>
      <c r="AI5" s="1143">
        <f>COUNT('Лист контроля  '!AN73)</f>
        <v>1</v>
      </c>
      <c r="AJ5" s="1143">
        <f>COUNTIF('Лист контроля  '!AN73,"&gt;70")</f>
        <v>0</v>
      </c>
      <c r="AK5" s="1149">
        <f>'Лист контроля  '!BJ55</f>
        <v>74</v>
      </c>
      <c r="AL5" s="1143">
        <f>COUNT('Лист контроля  '!BJ40:BJ46,'Лист контроля  '!BJ48:BJ54)</f>
        <v>6</v>
      </c>
      <c r="AM5" s="1149">
        <f>COUNTIF('Лист контроля  '!BJ40:BJ46,"&gt;71")+COUNTIF('Лист контроля  '!BJ48:BJ54,"&gt;71")</f>
        <v>4</v>
      </c>
      <c r="AN5" s="1501">
        <f>MAX('Лист контроля  '!BC53,'Лист контроля  '!BE53)</f>
        <v>4.8</v>
      </c>
      <c r="AO5" s="1143">
        <f>COUNT('Лист контроля  '!BC40:BC53,'Лист контроля  '!BE40:BE53)</f>
        <v>4</v>
      </c>
      <c r="AP5" s="1143">
        <f>COUNTIF('Лист контроля  '!BC40:BC53,"&gt;20")+COUNTIF('Лист контроля  '!BE40:BE53,"&gt;20")</f>
        <v>0</v>
      </c>
      <c r="AQ5" s="1143">
        <f>MAX('Лист контроля  '!AX55,'Лист контроля  '!BA53)</f>
        <v>9.6</v>
      </c>
      <c r="AR5" s="1143">
        <f>COUNT('Лист контроля  '!AX40:AX46,'Лист контроля  '!AX48:AX54,'Лист контроля  '!BA40:BA53)</f>
        <v>13</v>
      </c>
      <c r="AS5" s="1143">
        <f>COUNTIF('Лист контроля  '!AX40:AX46,"&gt;15")+COUNTIF('Лист контроля  '!AX48:AX54,"&gt;15")+COUNTIF('Лист контроля  '!BA40:BA53,"&gt;15")</f>
        <v>0</v>
      </c>
      <c r="AT5" s="1146">
        <f>MAX('Лист контроля  '!AW55,'Лист контроля  '!AZ53)</f>
        <v>2.5</v>
      </c>
      <c r="AU5" s="1150">
        <f>COUNT('Лист контроля  '!AW40:AW46,'Лист контроля  '!AW48:AW54,'Лист контроля  '!AZ40:AZ53)</f>
        <v>13</v>
      </c>
      <c r="AV5" s="1143">
        <f>COUNTIF('Лист контроля  '!AW40:AW46,"&gt;3,0")+COUNTIF('Лист контроля  '!AW48:AW54,"&gt;3,0")+COUNTIF('Лист контроля  '!AZ40:AZ53,"&gt;3,0")</f>
        <v>2</v>
      </c>
      <c r="AW5" s="1143">
        <f>'Лист контроля  '!AY55</f>
        <v>62</v>
      </c>
      <c r="AX5" s="1143">
        <f>COUNT('Лист контроля  '!AY40:AY46,'Лист контроля  '!AY48:AY54)</f>
        <v>6</v>
      </c>
      <c r="AY5" s="1143">
        <f>COUNTIF('Лист контроля  '!AY40:AY46,"&lt;60,0")+COUNTIF('Лист контроля  '!AY48:AY54,"&lt;60,0")</f>
        <v>3</v>
      </c>
      <c r="AZ5" s="1142">
        <f>'Лист контроля  '!BG55</f>
        <v>0.53</v>
      </c>
      <c r="BA5" s="1143">
        <f>COUNT('Лист контроля  '!BG40:BG54)</f>
        <v>3</v>
      </c>
      <c r="BB5" s="1143">
        <f>COUNTIF('Лист контроля  '!BG40:BG54,"&gt;2,0")</f>
        <v>0</v>
      </c>
      <c r="BC5" s="1146">
        <f>'Лист контроля  '!BF35</f>
        <v>70.8</v>
      </c>
      <c r="BD5" s="1143">
        <f>COUNT('Лист контроля  '!BB9:BB33,'Лист контроля  '!BF9:BF33,'Лист контроля  '!BJ9:BJ33)</f>
        <v>9</v>
      </c>
      <c r="BE5" s="1150">
        <f>COUNTIF('Лист контроля  '!BB9:BB33,"&lt;70,0")+COUNTIF('Лист контроля  '!BF9:BF33,"&lt;70,0")+COUNTIF('Лист контроля  '!BJ9:BJ33,"&lt;70,0")</f>
        <v>4</v>
      </c>
      <c r="BF5" s="1150">
        <f>COUNTIF('Лист контроля  '!BB9:BB33,"&lt;72,0")+COUNTIF('Лист контроля  '!BF9:BF33,"&lt;72,0")+COUNTIF('Лист контроля  '!BJ9:BJ33,"&lt;72,0")</f>
        <v>9</v>
      </c>
      <c r="BG5" s="1143">
        <f>'Лист контроля  '!BC35</f>
        <v>97</v>
      </c>
      <c r="BH5" s="1143">
        <f>COUNT('Лист контроля  '!AY9:AY33,'Лист контроля  '!BC9:BC33,'Лист контроля  '!BG9:BG33)</f>
        <v>6</v>
      </c>
      <c r="BI5" s="1143">
        <f>COUNTIF('Лист контроля  '!AY9:AY33,"&lt;95,0")+COUNTIF('Лист контроля  '!BC9:BC33,"&lt;95,0")+COUNTIF('Лист контроля  '!BG9:BG33,"&lt;95,0")</f>
        <v>1</v>
      </c>
      <c r="BJ5" s="1146">
        <f>'Лист контроля  '!BL34</f>
        <v>30</v>
      </c>
      <c r="BK5" s="1149">
        <f>'Лист контроля  '!BL35</f>
        <v>18</v>
      </c>
      <c r="BL5" s="1149">
        <f>COUNTIF('Лист контроля  '!BL4:BL33,"&lt;25")+COUNTIF('Лист контроля  '!BL4:BL33,"&gt;36")</f>
        <v>0</v>
      </c>
      <c r="BM5" s="1149">
        <f>'Лист контроля  '!BM34</f>
        <v>50</v>
      </c>
      <c r="BN5" s="1149">
        <f>'Лист контроля  '!BL35</f>
        <v>18</v>
      </c>
      <c r="BO5" s="1149">
        <f>COUNTIF('Лист контроля  '!BM4:BM33,"&lt;42")+COUNTIF('Лист контроля  '!BM4:BM33,"&gt;52")</f>
        <v>1</v>
      </c>
      <c r="BP5" s="1146">
        <f>'Лист контроля  '!AT29</f>
        <v>62.8</v>
      </c>
      <c r="BQ5" s="1143">
        <f>COUNT('Лист контроля  '!AS9:AU28)</f>
        <v>6</v>
      </c>
      <c r="BR5" s="1143">
        <f>COUNTIF('Лист контроля  '!AS9:AU28,"&lt;55")+COUNTIF('Лист контроля  '!AS9:AU28,"&gt;68")</f>
        <v>2</v>
      </c>
      <c r="BS5" s="1143">
        <f>'Лист контроля  '!AO90</f>
        <v>18.399999999999999</v>
      </c>
      <c r="BT5" s="1143">
        <f>'Лист контроля  '!AO91</f>
        <v>4</v>
      </c>
      <c r="BU5" s="1143">
        <f>COUNTIF('Лист контроля  '!AO78:AO89,"&gt;19,0")</f>
        <v>0</v>
      </c>
      <c r="BV5" s="1142">
        <f>'Лист контроля  '!AV90</f>
        <v>7.0000000000000007E-2</v>
      </c>
      <c r="BW5" s="1143">
        <f>'Лист контроля  '!AU90</f>
        <v>10</v>
      </c>
      <c r="BX5" s="1143">
        <f>COUNTIF('Лист контроля  '!AU78:BB89,"&gt;0,08")</f>
        <v>1</v>
      </c>
      <c r="BY5" s="1146">
        <f>'Лист контроля  '!BN60</f>
        <v>13.1</v>
      </c>
      <c r="BZ5" s="1143">
        <f>COUNT('Лист контроля  '!BN60)</f>
        <v>1</v>
      </c>
      <c r="CA5" s="1143">
        <f>COUNTIF('Лист контроля  '!BN60,"&gt;10,0")</f>
        <v>1</v>
      </c>
      <c r="CB5" s="1151">
        <f>'Лист контроля  '!AJ44</f>
        <v>84.5</v>
      </c>
      <c r="CC5" s="1143">
        <f>COUNT('Лист контроля  '!AQ40:AQ51,'Лист контроля  '!AJ44)</f>
        <v>3</v>
      </c>
      <c r="CD5" s="1143">
        <f>COUNTIF('Лист контроля  '!AQ40:AQ51,"&lt;82,0")+COUNTIF('Лист контроля  '!AJ44,"&lt;82,0")</f>
        <v>1</v>
      </c>
      <c r="CE5" s="1146">
        <f>'Лист контроля  '!AN91</f>
        <v>15.9</v>
      </c>
      <c r="CF5" s="1143">
        <f>'Лист контроля  '!AM91</f>
        <v>8</v>
      </c>
      <c r="CG5" s="1143">
        <f>COUNTIF('Лист контроля  '!AM78:AN89,"&gt;16,8")</f>
        <v>1</v>
      </c>
      <c r="CH5" s="1142">
        <f>'Лист контроля  '!AT90</f>
        <v>0.06</v>
      </c>
      <c r="CI5" s="1143">
        <f>'Лист контроля  '!AS90</f>
        <v>12</v>
      </c>
      <c r="CJ5" s="1143">
        <f>COUNTIF('Лист контроля  '!AS78:AT89,"&gt;0,08")</f>
        <v>0</v>
      </c>
      <c r="CK5" s="1146">
        <f>'Лист контроля  '!BN59</f>
        <v>8.8000000000000007</v>
      </c>
      <c r="CL5" s="1143">
        <f>COUNT('Лист контроля  '!AL47:AL48)</f>
        <v>2</v>
      </c>
      <c r="CM5" s="1143">
        <f>COUNTIF('Лист контроля  '!AL47:AL48,"&gt;3,5")</f>
        <v>2</v>
      </c>
      <c r="CN5" s="1146">
        <f>'Лист контроля  '!AJ42</f>
        <v>88.1</v>
      </c>
      <c r="CO5" s="1143">
        <f>COUNT('Лист контроля  '!AO40:AP51,'Лист контроля  '!AJ40:AJ41)</f>
        <v>6</v>
      </c>
      <c r="CP5" s="1143">
        <f>COUNTIF('Лист контроля  '!AO40:AP51,"&lt;91,0")+COUNTIF('Лист контроля  '!AJ40:AJ41,"&lt;91,0")</f>
        <v>6</v>
      </c>
      <c r="CQ5" s="1149">
        <f>'Лист контроля  '!AN72</f>
        <v>32</v>
      </c>
      <c r="CR5" s="1143">
        <f>COUNT('Лист контроля  '!AN72)</f>
        <v>1</v>
      </c>
      <c r="CS5" s="1143">
        <f>COUNTIF('Лист контроля  '!AN72,"&lt;30")+COUNTIF('Лист контроля  '!AN72,"&gt;40")</f>
        <v>0</v>
      </c>
      <c r="CT5" s="1142">
        <f>'Лист контроля  '!AK90</f>
        <v>0.06</v>
      </c>
      <c r="CU5" s="1143">
        <f>COUNT('Лист контроля  '!AK78:AK89)</f>
        <v>2</v>
      </c>
      <c r="CV5" s="1143">
        <f>COUNTIF('Лист контроля  '!AK78:AK89,"&gt;0,3")</f>
        <v>0</v>
      </c>
      <c r="CW5" s="1146">
        <f>'Лист контроля  '!AJ90</f>
        <v>10.199999999999999</v>
      </c>
      <c r="CX5" s="1143">
        <f>COUNT('Лист контроля  '!AJ78:AJ89)</f>
        <v>2</v>
      </c>
      <c r="CY5" s="1143">
        <f>COUNTIF('Лист контроля  '!AJ78:AJ89,"&gt;25,0")</f>
        <v>0</v>
      </c>
      <c r="CZ5" s="1149">
        <f>'Лист контроля  '!AP90</f>
        <v>301</v>
      </c>
      <c r="DA5" s="1143">
        <f>COUNT('Лист контроля  '!AP78:AP89)</f>
        <v>12</v>
      </c>
      <c r="DB5" s="1143">
        <f>COUNTIF('Лист контроля  '!AP78:AP89,"&lt;220")</f>
        <v>0</v>
      </c>
      <c r="DC5" s="954"/>
      <c r="DD5" s="954"/>
    </row>
    <row r="6" spans="1:108" s="1155" customFormat="1" ht="18" customHeight="1" x14ac:dyDescent="0.2"/>
    <row r="7" spans="1:108" s="1155" customFormat="1" ht="18" customHeight="1" x14ac:dyDescent="0.2">
      <c r="AK7" s="1157" t="s">
        <v>1257</v>
      </c>
      <c r="AT7" s="1156">
        <v>3</v>
      </c>
      <c r="BF7" s="1157" t="s">
        <v>1258</v>
      </c>
      <c r="BS7" s="1156">
        <v>19</v>
      </c>
      <c r="CE7" s="1156">
        <v>16.8</v>
      </c>
    </row>
    <row r="8" spans="1:108" s="1155" customFormat="1" ht="18" customHeight="1" x14ac:dyDescent="0.2">
      <c r="AK8" s="1157" t="s">
        <v>1256</v>
      </c>
      <c r="BF8" s="1157" t="s">
        <v>1259</v>
      </c>
    </row>
    <row r="9" spans="1:108" s="1155" customFormat="1" ht="18" customHeight="1" x14ac:dyDescent="0.2">
      <c r="BF9" s="1158"/>
    </row>
    <row r="10" spans="1:108" s="1155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2026-02-24T02:35:53Z</cp:lastPrinted>
  <dcterms:created xsi:type="dcterms:W3CDTF">2006-12-18T08:28:10Z</dcterms:created>
  <dcterms:modified xsi:type="dcterms:W3CDTF">2026-02-25T05:22:01Z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